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1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s" sheetId="1" state="visible" r:id="rId3"/>
    <sheet name="Updates" sheetId="2" state="hidden" r:id="rId4"/>
    <sheet name="DLCs" sheetId="3" state="hidden" r:id="rId5"/>
    <sheet name="Reward Seasons" sheetId="4" state="hidden" r:id="rId6"/>
    <sheet name="Classifications" sheetId="5" state="hidden" r:id="rId7"/>
    <sheet name="Reward Types" sheetId="6" state="hidden" r:id="rId8"/>
    <sheet name="Series" sheetId="7" state="hidden" r:id="rId9"/>
    <sheet name="Seasons" sheetId="8" state="hidden" r:id="rId10"/>
    <sheet name="Season Start" sheetId="9" state="hidden" r:id="rId11"/>
    <sheet name="Rarities" sheetId="10" state="hidden" r:id="rId12"/>
    <sheet name="Types" sheetId="11" state="hidden" r:id="rId13"/>
    <sheet name="Manufacturers" sheetId="12" state="hidden" r:id="rId14"/>
    <sheet name="Countries" sheetId="13" state="hidden" r:id="rId15"/>
    <sheet name="Reward Categories" sheetId="14" state="hidden" r:id="rId16"/>
    <sheet name="Wheelspin Rewards" sheetId="15" state="hidden" r:id="rId17"/>
  </sheets>
  <definedNames>
    <definedName function="false" hidden="true" localSheetId="0" name="Z_17774E34_CFB6_455D_A9AC_B77C1096BD92_.wvu.FilterData" vbProcedure="false">Cars!$A$1:$N$866</definedName>
    <definedName function="false" hidden="true" localSheetId="0" name="Z_267D7D2D_4F86_4E21_910D_113BF8AB3321_.wvu.FilterData" vbProcedure="false">Cars!$A$1:$N$866</definedName>
    <definedName function="false" hidden="true" localSheetId="0" name="Z_27C0334B_6AD0_45BB_BB0F_05FC337D4460_.wvu.FilterData" vbProcedure="false">Cars!$A$1:$N$866</definedName>
    <definedName function="false" hidden="true" localSheetId="0" name="Z_2F03F597_48EE_45B3_921A_AE4FA09F8D74_.wvu.FilterData" vbProcedure="false">Cars!$A$1:$N$866</definedName>
    <definedName function="false" hidden="true" localSheetId="0" name="Z_2FAE6B04_AC42_4F32_AA99_236DE767E64A_.wvu.FilterData" vbProcedure="false">Cars!$A$1:$N$866</definedName>
    <definedName function="false" hidden="true" localSheetId="0" name="Z_68D720B4_0B85_447E_A3A3_34870048C65C_.wvu.FilterData" vbProcedure="false">Cars!$A$1:$I$866</definedName>
    <definedName function="false" hidden="true" localSheetId="0" name="Z_7679FDE2_7966_4AA6_8328_56705E060D22_.wvu.FilterData" vbProcedure="false">Cars!$A$1:$I$866</definedName>
    <definedName function="false" hidden="true" localSheetId="0" name="Z_86CDB6F9_C464_4B68_84ED_CC3993CF2869_.wvu.FilterData" vbProcedure="false">Cars!$A$1:$N$866</definedName>
    <definedName function="false" hidden="true" localSheetId="0" name="Z_891A4907_81FE_4E40_A09F_26014253FDE4_.wvu.FilterData" vbProcedure="false">Cars!$A$1:$N$866</definedName>
    <definedName function="false" hidden="true" localSheetId="0" name="Z_8D7BFB34_7633_4421_A289_6F6D19422271_.wvu.FilterData" vbProcedure="false">Cars!$A$1:$N$866</definedName>
    <definedName function="false" hidden="true" localSheetId="0" name="Z_D4DF8048_A54E_48D6_9E1F_2644B74AE955_.wvu.FilterData" vbProcedure="false">Cars!$A$1:$N$866</definedName>
    <definedName function="false" hidden="true" localSheetId="0" name="Z_DD0779D8_DE06_4A18_ACBA_8AF81DA32EA3_.wvu.FilterData" vbProcedure="false">Cars!$A$1:$N$866</definedName>
    <definedName function="false" hidden="true" localSheetId="0" name="Z_FD5651F1_D24C_4643_9795_7E4560169984_.wvu.FilterData" vbProcedure="false">Cars!$A$1:$I$866</definedName>
    <definedName function="false" hidden="true" localSheetId="0" name="Z_FD875994_37C5_4D36_ABCF_AA374F38E336_.wvu.FilterData" vbProcedure="false">Cars!$A$1:$P$866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A99" authorId="0">
      <text>
        <r>
          <rPr>
            <sz val="10"/>
            <rFont val="Arial"/>
            <family val="2"/>
          </rPr>
          <t xml:space="preserve">Traffic</t>
        </r>
      </text>
    </comment>
    <comment ref="A160" authorId="0">
      <text>
        <r>
          <rPr>
            <sz val="10"/>
            <rFont val="Arial"/>
            <family val="2"/>
          </rPr>
          <t xml:space="preserve">Traffic</t>
        </r>
      </text>
    </comment>
    <comment ref="A285" authorId="0">
      <text>
        <r>
          <rPr>
            <sz val="10"/>
            <rFont val="Arial"/>
            <family val="2"/>
          </rPr>
          <t xml:space="preserve">Traffic</t>
        </r>
      </text>
    </comment>
    <comment ref="A307" authorId="0">
      <text>
        <r>
          <rPr>
            <sz val="10"/>
            <rFont val="Arial"/>
            <family val="2"/>
          </rPr>
          <t xml:space="preserve">Traffic</t>
        </r>
      </text>
    </comment>
    <comment ref="A311" authorId="0">
      <text>
        <r>
          <rPr>
            <sz val="10"/>
            <rFont val="Arial"/>
            <family val="2"/>
          </rPr>
          <t xml:space="preserve">Traffic</t>
        </r>
      </text>
    </comment>
    <comment ref="A327" authorId="0">
      <text>
        <r>
          <rPr>
            <sz val="10"/>
            <rFont val="Arial"/>
            <family val="2"/>
          </rPr>
          <t xml:space="preserve">Traffic</t>
        </r>
      </text>
    </comment>
    <comment ref="A328" authorId="0">
      <text>
        <r>
          <rPr>
            <sz val="10"/>
            <rFont val="Arial"/>
            <family val="2"/>
          </rPr>
          <t xml:space="preserve">Lucha De Carreteras: Return of the Monster Ghost</t>
        </r>
      </text>
    </comment>
    <comment ref="A388" authorId="0">
      <text>
        <r>
          <rPr>
            <sz val="10"/>
            <rFont val="Arial"/>
            <family val="2"/>
          </rPr>
          <t xml:space="preserve">Changed from Honda S2000</t>
        </r>
      </text>
    </comment>
    <comment ref="A393" authorId="0">
      <text>
        <r>
          <rPr>
            <sz val="10"/>
            <rFont val="Arial"/>
            <family val="2"/>
          </rPr>
          <t xml:space="preserve">Changed from Honda S2000</t>
        </r>
      </text>
    </comment>
    <comment ref="A423" authorId="0">
      <text>
        <r>
          <rPr>
            <sz val="10"/>
            <rFont val="Arial"/>
            <family val="2"/>
          </rPr>
          <t xml:space="preserve">Lucha De Carreteras: Return of the Monster Ghost</t>
        </r>
      </text>
    </comment>
    <comment ref="A458" authorId="0">
      <text>
        <r>
          <rPr>
            <sz val="10"/>
            <rFont val="Arial"/>
            <family val="2"/>
          </rPr>
          <t xml:space="preserve">Traffic</t>
        </r>
      </text>
    </comment>
    <comment ref="A550" authorId="0">
      <text>
        <r>
          <rPr>
            <sz val="10"/>
            <rFont val="Arial"/>
            <family val="2"/>
          </rPr>
          <t xml:space="preserve">Traffic</t>
        </r>
      </text>
    </comment>
    <comment ref="A603" authorId="0">
      <text>
        <r>
          <rPr>
            <sz val="10"/>
            <rFont val="Arial"/>
            <family val="2"/>
          </rPr>
          <t xml:space="preserve">Traffic</t>
        </r>
      </text>
    </comment>
    <comment ref="A609" authorId="0">
      <text>
        <r>
          <rPr>
            <sz val="10"/>
            <rFont val="Arial"/>
            <family val="2"/>
          </rPr>
          <t xml:space="preserve">Lucha De Carreteras: Forzudo</t>
        </r>
      </text>
    </comment>
    <comment ref="A626" authorId="0">
      <text>
        <r>
          <rPr>
            <sz val="10"/>
            <rFont val="Arial"/>
            <family val="2"/>
          </rPr>
          <t xml:space="preserve">Traffic</t>
        </r>
      </text>
    </comment>
    <comment ref="A691" authorId="0">
      <text>
        <r>
          <rPr>
            <sz val="10"/>
            <rFont val="Arial"/>
            <family val="2"/>
          </rPr>
          <t xml:space="preserve">Lucha De Carreteras: Return of the Monster Ghost</t>
        </r>
      </text>
    </comment>
    <comment ref="A734" authorId="0">
      <text>
        <r>
          <rPr>
            <sz val="10"/>
            <rFont val="Arial"/>
            <family val="2"/>
          </rPr>
          <t xml:space="preserve">Changed from Porsche Cayman</t>
        </r>
      </text>
    </comment>
    <comment ref="A736" authorId="0">
      <text>
        <r>
          <rPr>
            <sz val="10"/>
            <rFont val="Arial"/>
            <family val="2"/>
          </rPr>
          <t xml:space="preserve">Changed from Porsche Cayman</t>
        </r>
      </text>
    </comment>
    <comment ref="A793" authorId="0">
      <text>
        <r>
          <rPr>
            <sz val="10"/>
            <rFont val="Arial"/>
            <family val="2"/>
          </rPr>
          <t xml:space="preserve">Traffic</t>
        </r>
      </text>
    </comment>
    <comment ref="A833" authorId="0">
      <text>
        <r>
          <rPr>
            <sz val="10"/>
            <rFont val="Arial"/>
            <family val="2"/>
          </rPr>
          <t xml:space="preserve">Traffic</t>
        </r>
      </text>
    </comment>
    <comment ref="A834" authorId="0">
      <text>
        <r>
          <rPr>
            <sz val="10"/>
            <rFont val="Arial"/>
            <family val="2"/>
          </rPr>
          <t xml:space="preserve">Vocho: Group V</t>
        </r>
      </text>
    </comment>
    <comment ref="A835" authorId="0">
      <text>
        <r>
          <rPr>
            <sz val="10"/>
            <rFont val="Arial"/>
            <family val="2"/>
          </rPr>
          <t xml:space="preserve">Traffic</t>
        </r>
      </text>
    </comment>
    <comment ref="A845" authorId="0">
      <text>
        <r>
          <rPr>
            <sz val="10"/>
            <rFont val="Arial"/>
            <family val="2"/>
          </rPr>
          <t xml:space="preserve">Traffic</t>
        </r>
      </text>
    </comment>
    <comment ref="A847" authorId="0">
      <text>
        <r>
          <rPr>
            <sz val="10"/>
            <rFont val="Arial"/>
            <family val="2"/>
          </rPr>
          <t xml:space="preserve">Traffic</t>
        </r>
      </text>
    </comment>
    <comment ref="K181" authorId="0">
      <text>
        <r>
          <rPr>
            <sz val="10"/>
            <rFont val="Arial"/>
            <family val="2"/>
          </rPr>
          <t xml:space="preserve">1 for additional 7 SP</t>
        </r>
      </text>
    </comment>
    <comment ref="K183" authorId="0">
      <text>
        <r>
          <rPr>
            <sz val="10"/>
            <rFont val="Arial"/>
            <family val="2"/>
          </rPr>
          <t xml:space="preserve">1 for additional 4 SP</t>
        </r>
      </text>
    </comment>
    <comment ref="K220" authorId="0">
      <text>
        <r>
          <rPr>
            <sz val="10"/>
            <rFont val="Arial"/>
            <family val="2"/>
          </rPr>
          <t xml:space="preserve">1 for additional 13 SP</t>
        </r>
      </text>
    </comment>
    <comment ref="K223" authorId="0">
      <text>
        <r>
          <rPr>
            <sz val="10"/>
            <rFont val="Arial"/>
            <family val="2"/>
          </rPr>
          <t xml:space="preserve">1 for additional 13 SP</t>
        </r>
      </text>
    </comment>
    <comment ref="K273" authorId="0">
      <text>
        <r>
          <rPr>
            <sz val="10"/>
            <rFont val="Arial"/>
            <family val="2"/>
          </rPr>
          <t xml:space="preserve">1 for additional 13 SP</t>
        </r>
      </text>
    </comment>
    <comment ref="K362" authorId="0">
      <text>
        <r>
          <rPr>
            <sz val="10"/>
            <rFont val="Arial"/>
            <family val="2"/>
          </rPr>
          <t xml:space="preserve">1 for additional 6 SP</t>
        </r>
      </text>
    </comment>
    <comment ref="K437" authorId="0">
      <text>
        <r>
          <rPr>
            <sz val="10"/>
            <rFont val="Arial"/>
            <family val="2"/>
          </rPr>
          <t xml:space="preserve">1 for additional 13 SP</t>
        </r>
      </text>
    </comment>
    <comment ref="K440" authorId="0">
      <text>
        <r>
          <rPr>
            <sz val="10"/>
            <rFont val="Arial"/>
            <family val="2"/>
          </rPr>
          <t xml:space="preserve">1 for additional 6 SP</t>
        </r>
      </text>
    </comment>
    <comment ref="K441" authorId="0">
      <text>
        <r>
          <rPr>
            <sz val="10"/>
            <rFont val="Arial"/>
            <family val="2"/>
          </rPr>
          <t xml:space="preserve">1 for additional 6 SP</t>
        </r>
      </text>
    </comment>
    <comment ref="K716" authorId="0">
      <text>
        <r>
          <rPr>
            <sz val="10"/>
            <rFont val="Arial"/>
            <family val="2"/>
          </rPr>
          <t xml:space="preserve">1 for additional 6 SP</t>
        </r>
      </text>
    </comment>
  </commentList>
</comments>
</file>

<file path=xl/sharedStrings.xml><?xml version="1.0" encoding="utf-8"?>
<sst xmlns="http://schemas.openxmlformats.org/spreadsheetml/2006/main" count="4880" uniqueCount="1939">
  <si>
    <t xml:space="preserve">Name</t>
  </si>
  <si>
    <t xml:space="preserve">Manufacturer</t>
  </si>
  <si>
    <t xml:space="preserve">Year</t>
  </si>
  <si>
    <t xml:space="preserve">Model</t>
  </si>
  <si>
    <t xml:space="preserve">Type</t>
  </si>
  <si>
    <t xml:space="preserve">Rarity</t>
  </si>
  <si>
    <t xml:space="preserve">Country</t>
  </si>
  <si>
    <t xml:space="preserve">Value</t>
  </si>
  <si>
    <t xml:space="preserve">Super Wheelspins (pre Series 4)</t>
  </si>
  <si>
    <t xml:space="preserve">Wheelspins (pre Series 4)</t>
  </si>
  <si>
    <t xml:space="preserve">Skill-Points (pre Series 4)</t>
  </si>
  <si>
    <t xml:space="preserve">Expected Gain per Skill-Point when owned (pre Series 4)</t>
  </si>
  <si>
    <t xml:space="preserve">Expected Gain per Skill-Point when buying (pre Series 4)</t>
  </si>
  <si>
    <t xml:space="preserve">Abarth 595 '68</t>
  </si>
  <si>
    <t xml:space="preserve">Abarth</t>
  </si>
  <si>
    <t xml:space="preserve">Abarth 595 esseesse</t>
  </si>
  <si>
    <t xml:space="preserve">Cult Classics</t>
  </si>
  <si>
    <t xml:space="preserve">Common</t>
  </si>
  <si>
    <t xml:space="preserve">Abarth 131</t>
  </si>
  <si>
    <t xml:space="preserve">Fiat 131</t>
  </si>
  <si>
    <t xml:space="preserve">Classic Rally</t>
  </si>
  <si>
    <t xml:space="preserve">Abarth 695 '16</t>
  </si>
  <si>
    <t xml:space="preserve">695 Biposto</t>
  </si>
  <si>
    <t xml:space="preserve">Hot Hatch</t>
  </si>
  <si>
    <t xml:space="preserve">Abarth 124 '17</t>
  </si>
  <si>
    <t xml:space="preserve">124 Spider</t>
  </si>
  <si>
    <t xml:space="preserve">Modern Sports Cars</t>
  </si>
  <si>
    <t xml:space="preserve">Acura Integra</t>
  </si>
  <si>
    <t xml:space="preserve">Acura</t>
  </si>
  <si>
    <t xml:space="preserve">Integra Type R</t>
  </si>
  <si>
    <t xml:space="preserve">Retro Hot Hatch</t>
  </si>
  <si>
    <t xml:space="preserve">Acura RSX</t>
  </si>
  <si>
    <t xml:space="preserve">RSX Type S</t>
  </si>
  <si>
    <t xml:space="preserve">Acura NSX '17</t>
  </si>
  <si>
    <t xml:space="preserve">NSX</t>
  </si>
  <si>
    <t xml:space="preserve">Modern Supercars</t>
  </si>
  <si>
    <t xml:space="preserve">Rare</t>
  </si>
  <si>
    <t xml:space="preserve">Alfa Romeo TZ2</t>
  </si>
  <si>
    <t xml:space="preserve">Alfa Romeo</t>
  </si>
  <si>
    <t xml:space="preserve">Giulia TZ2</t>
  </si>
  <si>
    <t xml:space="preserve">Classic Racers</t>
  </si>
  <si>
    <t xml:space="preserve">Legendary</t>
  </si>
  <si>
    <t xml:space="preserve">Alfa Romeo GTA</t>
  </si>
  <si>
    <t xml:space="preserve">Giulia Sprint GTA Stradale</t>
  </si>
  <si>
    <t xml:space="preserve">Rare Classics</t>
  </si>
  <si>
    <t xml:space="preserve">Alfa Romeo 33S</t>
  </si>
  <si>
    <t xml:space="preserve">33 Stradale</t>
  </si>
  <si>
    <t xml:space="preserve">Alfa Romeo 155</t>
  </si>
  <si>
    <t xml:space="preserve">155 Q4</t>
  </si>
  <si>
    <t xml:space="preserve">Retro Saloons</t>
  </si>
  <si>
    <t xml:space="preserve">Alfa Romeo 8C</t>
  </si>
  <si>
    <t xml:space="preserve">8C Competizione</t>
  </si>
  <si>
    <t xml:space="preserve">GT Cars</t>
  </si>
  <si>
    <t xml:space="preserve">Epic</t>
  </si>
  <si>
    <t xml:space="preserve">Alfa Romeo 4C</t>
  </si>
  <si>
    <t xml:space="preserve">4C</t>
  </si>
  <si>
    <t xml:space="preserve">Alfa Giulia '17</t>
  </si>
  <si>
    <t xml:space="preserve">Giulia Quadrifoglio</t>
  </si>
  <si>
    <t xml:space="preserve">Super Saloons</t>
  </si>
  <si>
    <t xml:space="preserve">Alpine A110 '73</t>
  </si>
  <si>
    <t xml:space="preserve">Alpine</t>
  </si>
  <si>
    <t xml:space="preserve">A110 1600S</t>
  </si>
  <si>
    <t xml:space="preserve">Alpine A110 '17</t>
  </si>
  <si>
    <t xml:space="preserve">A110</t>
  </si>
  <si>
    <t xml:space="preserve">Alumni Craft C. 10</t>
  </si>
  <si>
    <t xml:space="preserve">Alumnicraft</t>
  </si>
  <si>
    <t xml:space="preserve">Class 10 Race Car</t>
  </si>
  <si>
    <t xml:space="preserve">Unlimited Buggies</t>
  </si>
  <si>
    <t xml:space="preserve">#122 AC Class 1</t>
  </si>
  <si>
    <t xml:space="preserve">#122 Class 1 Buggy</t>
  </si>
  <si>
    <t xml:space="preserve">#6165 Truck</t>
  </si>
  <si>
    <t xml:space="preserve">#6165 Trick Truck</t>
  </si>
  <si>
    <t xml:space="preserve">Unlimited Offroad</t>
  </si>
  <si>
    <t xml:space="preserve">AMC Rebel</t>
  </si>
  <si>
    <t xml:space="preserve">AMC</t>
  </si>
  <si>
    <t xml:space="preserve">Rebel "The Machine"</t>
  </si>
  <si>
    <t xml:space="preserve">Classic Muscle</t>
  </si>
  <si>
    <t xml:space="preserve">AMC Javelin</t>
  </si>
  <si>
    <t xml:space="preserve">Javelin AMX</t>
  </si>
  <si>
    <t xml:space="preserve">AMC Gremlin</t>
  </si>
  <si>
    <t xml:space="preserve">Gremlin X</t>
  </si>
  <si>
    <t xml:space="preserve">M12S Warthog CST</t>
  </si>
  <si>
    <t xml:space="preserve">AMG Transport Dynamics</t>
  </si>
  <si>
    <t xml:space="preserve">Apollo IE '18</t>
  </si>
  <si>
    <t xml:space="preserve">Apollo</t>
  </si>
  <si>
    <t xml:space="preserve">Intensa Emozione</t>
  </si>
  <si>
    <t xml:space="preserve">Extreme Track Toys</t>
  </si>
  <si>
    <t xml:space="preserve">Apollo IE WP</t>
  </si>
  <si>
    <t xml:space="preserve">Intensa Emozione "Welcome Pack"</t>
  </si>
  <si>
    <t xml:space="preserve">Ariel Atom</t>
  </si>
  <si>
    <t xml:space="preserve">Ariel</t>
  </si>
  <si>
    <t xml:space="preserve">Atom 500 V8</t>
  </si>
  <si>
    <t xml:space="preserve">Ariel Nomad</t>
  </si>
  <si>
    <t xml:space="preserve">Nomad</t>
  </si>
  <si>
    <t xml:space="preserve">Ascari KZ1R</t>
  </si>
  <si>
    <t xml:space="preserve">Ascari</t>
  </si>
  <si>
    <t xml:space="preserve">KZ1R</t>
  </si>
  <si>
    <t xml:space="preserve">AM DBR1</t>
  </si>
  <si>
    <t xml:space="preserve">Aston Martin</t>
  </si>
  <si>
    <t xml:space="preserve">DBR1</t>
  </si>
  <si>
    <t xml:space="preserve">AM DB5</t>
  </si>
  <si>
    <t xml:space="preserve">DB5</t>
  </si>
  <si>
    <t xml:space="preserve">AM DBS</t>
  </si>
  <si>
    <t xml:space="preserve">DBS</t>
  </si>
  <si>
    <t xml:space="preserve">AM One-77</t>
  </si>
  <si>
    <t xml:space="preserve">One-77</t>
  </si>
  <si>
    <t xml:space="preserve">Super GT</t>
  </si>
  <si>
    <t xml:space="preserve">Vantage S '13</t>
  </si>
  <si>
    <t xml:space="preserve">V12 Vantage S</t>
  </si>
  <si>
    <t xml:space="preserve">AM Vantage '16</t>
  </si>
  <si>
    <t xml:space="preserve">Vantage GT12</t>
  </si>
  <si>
    <t xml:space="preserve">Track Toys</t>
  </si>
  <si>
    <t xml:space="preserve">AM Vulcan AMR</t>
  </si>
  <si>
    <t xml:space="preserve">Vulcan AMR Pro</t>
  </si>
  <si>
    <t xml:space="preserve">AM DB11</t>
  </si>
  <si>
    <t xml:space="preserve">DB11</t>
  </si>
  <si>
    <t xml:space="preserve">Valhalla Concept</t>
  </si>
  <si>
    <t xml:space="preserve">Valhalla Concept Car</t>
  </si>
  <si>
    <t xml:space="preserve">Hypercars</t>
  </si>
  <si>
    <t xml:space="preserve">AM DBS SL '19</t>
  </si>
  <si>
    <t xml:space="preserve">DBS Superleggera</t>
  </si>
  <si>
    <t xml:space="preserve">AM Vantage '19</t>
  </si>
  <si>
    <t xml:space="preserve">Vantage</t>
  </si>
  <si>
    <t xml:space="preserve">AM DBX '21</t>
  </si>
  <si>
    <t xml:space="preserve">DBX</t>
  </si>
  <si>
    <t xml:space="preserve">Sports Utility Heroes</t>
  </si>
  <si>
    <t xml:space="preserve">AM Valkyrie AMR</t>
  </si>
  <si>
    <t xml:space="preserve">Valkyrie AMR Pro</t>
  </si>
  <si>
    <t xml:space="preserve">AM Valkyrie</t>
  </si>
  <si>
    <t xml:space="preserve">Valkyrie</t>
  </si>
  <si>
    <t xml:space="preserve">ATS GT '18</t>
  </si>
  <si>
    <t xml:space="preserve">ATS</t>
  </si>
  <si>
    <t xml:space="preserve">GT</t>
  </si>
  <si>
    <t xml:space="preserve">Audi quattro</t>
  </si>
  <si>
    <t xml:space="preserve">Audi</t>
  </si>
  <si>
    <t xml:space="preserve">Sport quattro</t>
  </si>
  <si>
    <t xml:space="preserve">Retro Rally</t>
  </si>
  <si>
    <t xml:space="preserve">#2 Audi S1</t>
  </si>
  <si>
    <t xml:space="preserve">#2 Audi Sport quattro S1</t>
  </si>
  <si>
    <t xml:space="preserve">Rally Monsters</t>
  </si>
  <si>
    <t xml:space="preserve">Audi RS2 '95</t>
  </si>
  <si>
    <t xml:space="preserve">Avant RS2</t>
  </si>
  <si>
    <t xml:space="preserve">Audi RS 4 '01</t>
  </si>
  <si>
    <t xml:space="preserve">RS 4 Avant</t>
  </si>
  <si>
    <t xml:space="preserve">Audi RS 6 '03</t>
  </si>
  <si>
    <t xml:space="preserve">RS 6</t>
  </si>
  <si>
    <t xml:space="preserve">Audi RS 4 '06</t>
  </si>
  <si>
    <t xml:space="preserve">RS 4</t>
  </si>
  <si>
    <t xml:space="preserve">Audi RS 6 '09</t>
  </si>
  <si>
    <t xml:space="preserve">Audi TT RS</t>
  </si>
  <si>
    <t xml:space="preserve">TT RS Coupé</t>
  </si>
  <si>
    <t xml:space="preserve">Audi RS 5</t>
  </si>
  <si>
    <t xml:space="preserve">RS 5 Coupé</t>
  </si>
  <si>
    <t xml:space="preserve">Audi RS 3</t>
  </si>
  <si>
    <t xml:space="preserve">RS 3 Sportback</t>
  </si>
  <si>
    <t xml:space="preserve">Super Hot Hatch</t>
  </si>
  <si>
    <t xml:space="preserve">Audi R8 '13</t>
  </si>
  <si>
    <t xml:space="preserve">R8 Coupé V10 Plus 5.2 FSI Quattro</t>
  </si>
  <si>
    <t xml:space="preserve">Audi RS 7</t>
  </si>
  <si>
    <t xml:space="preserve">RS 7 Sportback</t>
  </si>
  <si>
    <t xml:space="preserve">Audi RS 4 '13</t>
  </si>
  <si>
    <t xml:space="preserve">Audi RS 6 '15</t>
  </si>
  <si>
    <t xml:space="preserve">RS 6 Avant</t>
  </si>
  <si>
    <t xml:space="preserve">Audi S1</t>
  </si>
  <si>
    <t xml:space="preserve">S1</t>
  </si>
  <si>
    <t xml:space="preserve">Audi TTS</t>
  </si>
  <si>
    <t xml:space="preserve">TTS Coupé</t>
  </si>
  <si>
    <t xml:space="preserve">Audi R8 V10 plus</t>
  </si>
  <si>
    <t xml:space="preserve">R8 V10 plus</t>
  </si>
  <si>
    <t xml:space="preserve">RS 4 Avant '18</t>
  </si>
  <si>
    <t xml:space="preserve">Audi RS 5 '18</t>
  </si>
  <si>
    <t xml:space="preserve">RS 5 Coupe</t>
  </si>
  <si>
    <t xml:space="preserve">Audi TT RS '18</t>
  </si>
  <si>
    <t xml:space="preserve">TT RS</t>
  </si>
  <si>
    <t xml:space="preserve">Audi RS 3 '20</t>
  </si>
  <si>
    <t xml:space="preserve">RS 3 Sedan</t>
  </si>
  <si>
    <t xml:space="preserve">Audi TT RS '20</t>
  </si>
  <si>
    <t xml:space="preserve">TT RS Coupe</t>
  </si>
  <si>
    <t xml:space="preserve">Audi RS e-tron</t>
  </si>
  <si>
    <t xml:space="preserve">RS e-tron GT</t>
  </si>
  <si>
    <t xml:space="preserve">Audi RS 6 '21</t>
  </si>
  <si>
    <t xml:space="preserve">Audi RS 7 '21</t>
  </si>
  <si>
    <t xml:space="preserve">Sprite MkI</t>
  </si>
  <si>
    <t xml:space="preserve">Austin-Healey</t>
  </si>
  <si>
    <t xml:space="preserve">Classic Sports Cars</t>
  </si>
  <si>
    <t xml:space="preserve">AutoUnion Type D</t>
  </si>
  <si>
    <t xml:space="preserve">Auto Union</t>
  </si>
  <si>
    <t xml:space="preserve">Type D</t>
  </si>
  <si>
    <t xml:space="preserve">Vintage Racers</t>
  </si>
  <si>
    <t xml:space="preserve">Battista '20</t>
  </si>
  <si>
    <t xml:space="preserve">Automobili Pininfarina</t>
  </si>
  <si>
    <t xml:space="preserve">Battista</t>
  </si>
  <si>
    <t xml:space="preserve">BAC Mono</t>
  </si>
  <si>
    <t xml:space="preserve">BAC</t>
  </si>
  <si>
    <t xml:space="preserve">Mono</t>
  </si>
  <si>
    <t xml:space="preserve">Bentley 8 Litre</t>
  </si>
  <si>
    <t xml:space="preserve">Bentley</t>
  </si>
  <si>
    <t xml:space="preserve">8 Litre</t>
  </si>
  <si>
    <t xml:space="preserve">Bentley Blower</t>
  </si>
  <si>
    <t xml:space="preserve">Blower 4-1/2 Litre Supercharged</t>
  </si>
  <si>
    <t xml:space="preserve">Bentley Turbo R</t>
  </si>
  <si>
    <t xml:space="preserve">Turbo R</t>
  </si>
  <si>
    <t xml:space="preserve">Bentley Bentayga</t>
  </si>
  <si>
    <t xml:space="preserve">Bentayga</t>
  </si>
  <si>
    <t xml:space="preserve">Bentley Cont '17</t>
  </si>
  <si>
    <t xml:space="preserve">Continental Supersports</t>
  </si>
  <si>
    <t xml:space="preserve">Bentley Cont GTC</t>
  </si>
  <si>
    <t xml:space="preserve">Continental GT Convertible</t>
  </si>
  <si>
    <t xml:space="preserve">BMW Isetta</t>
  </si>
  <si>
    <t xml:space="preserve">BMW</t>
  </si>
  <si>
    <t xml:space="preserve">Isetta 300 Export</t>
  </si>
  <si>
    <t xml:space="preserve">BMW 2002 Turbo</t>
  </si>
  <si>
    <t xml:space="preserve">2002 Turbo</t>
  </si>
  <si>
    <t xml:space="preserve">BMW M1</t>
  </si>
  <si>
    <t xml:space="preserve">M1</t>
  </si>
  <si>
    <t xml:space="preserve">Retro Supercars</t>
  </si>
  <si>
    <t xml:space="preserve">BMW M5 '88</t>
  </si>
  <si>
    <t xml:space="preserve">M5</t>
  </si>
  <si>
    <t xml:space="preserve">BMW M3 '91</t>
  </si>
  <si>
    <t xml:space="preserve">M3</t>
  </si>
  <si>
    <t xml:space="preserve">BMW 850CSi</t>
  </si>
  <si>
    <t xml:space="preserve">850CSi</t>
  </si>
  <si>
    <t xml:space="preserve">Retro Sports Cars</t>
  </si>
  <si>
    <t xml:space="preserve">BMW M5 '95</t>
  </si>
  <si>
    <t xml:space="preserve">BMW M3 '97</t>
  </si>
  <si>
    <t xml:space="preserve">BMW M3-GTR</t>
  </si>
  <si>
    <t xml:space="preserve">M3-GTR</t>
  </si>
  <si>
    <t xml:space="preserve">BMW Z3</t>
  </si>
  <si>
    <t xml:space="preserve">Z3 M Coupe</t>
  </si>
  <si>
    <t xml:space="preserve">BMW M5 '03</t>
  </si>
  <si>
    <t xml:space="preserve">BMW M3 '05</t>
  </si>
  <si>
    <t xml:space="preserve">BMW Z4 '08</t>
  </si>
  <si>
    <t xml:space="preserve">Z4 M Coupe</t>
  </si>
  <si>
    <t xml:space="preserve">BMW M3 '08</t>
  </si>
  <si>
    <t xml:space="preserve">BMW M5 '09</t>
  </si>
  <si>
    <t xml:space="preserve">BMW E92 M3 GTS</t>
  </si>
  <si>
    <t xml:space="preserve">M3 GTS</t>
  </si>
  <si>
    <t xml:space="preserve">BMW X5M FE</t>
  </si>
  <si>
    <t xml:space="preserve">X5 M Forza Edition</t>
  </si>
  <si>
    <t xml:space="preserve">Forza Edition</t>
  </si>
  <si>
    <t xml:space="preserve">BMW 1M</t>
  </si>
  <si>
    <t xml:space="preserve">1 Series M Coupe</t>
  </si>
  <si>
    <t xml:space="preserve">BMW X5 M</t>
  </si>
  <si>
    <t xml:space="preserve">X5 M</t>
  </si>
  <si>
    <t xml:space="preserve">-</t>
  </si>
  <si>
    <t xml:space="preserve">X5 Traffic</t>
  </si>
  <si>
    <t xml:space="preserve">BMW M5 '12</t>
  </si>
  <si>
    <t xml:space="preserve">BMW M6 '13</t>
  </si>
  <si>
    <t xml:space="preserve">M6 Coupe</t>
  </si>
  <si>
    <t xml:space="preserve">BMW M4 '14</t>
  </si>
  <si>
    <t xml:space="preserve">M4 Coupe</t>
  </si>
  <si>
    <t xml:space="preserve">BMW X6 M</t>
  </si>
  <si>
    <t xml:space="preserve">X6 M</t>
  </si>
  <si>
    <t xml:space="preserve">BMW i8</t>
  </si>
  <si>
    <t xml:space="preserve">i8</t>
  </si>
  <si>
    <t xml:space="preserve">BMW M4 '16</t>
  </si>
  <si>
    <t xml:space="preserve">M4 GTS</t>
  </si>
  <si>
    <t xml:space="preserve">BMW M2</t>
  </si>
  <si>
    <t xml:space="preserve">M2 Coupé</t>
  </si>
  <si>
    <t xml:space="preserve">BMW #1 M8</t>
  </si>
  <si>
    <t xml:space="preserve">#1 BMW M Motorsport M8 GTE</t>
  </si>
  <si>
    <t xml:space="preserve">BMW M5 '18</t>
  </si>
  <si>
    <t xml:space="preserve">BMW Z4 '19</t>
  </si>
  <si>
    <t xml:space="preserve">Z4 Roadster</t>
  </si>
  <si>
    <t xml:space="preserve">BMW M8 Comp</t>
  </si>
  <si>
    <t xml:space="preserve">M8 Competition Coupe</t>
  </si>
  <si>
    <t xml:space="preserve">BMW M3 '21</t>
  </si>
  <si>
    <t xml:space="preserve">M3 Competition Sedan</t>
  </si>
  <si>
    <t xml:space="preserve">BMW M4 '21</t>
  </si>
  <si>
    <t xml:space="preserve">M4 Competition Coupé</t>
  </si>
  <si>
    <t xml:space="preserve">BMW i4 '22</t>
  </si>
  <si>
    <t xml:space="preserve">i4 eDrive40</t>
  </si>
  <si>
    <t xml:space="preserve">BMW iX '22</t>
  </si>
  <si>
    <t xml:space="preserve">iX xDrive50</t>
  </si>
  <si>
    <t xml:space="preserve">BMW M2 '23</t>
  </si>
  <si>
    <t xml:space="preserve">M2</t>
  </si>
  <si>
    <t xml:space="preserve">Brabham BT62</t>
  </si>
  <si>
    <t xml:space="preserve">Brabham</t>
  </si>
  <si>
    <t xml:space="preserve">BT62</t>
  </si>
  <si>
    <t xml:space="preserve">Bugatti T35 C</t>
  </si>
  <si>
    <t xml:space="preserve">Bugatti</t>
  </si>
  <si>
    <t xml:space="preserve">Type 35 C</t>
  </si>
  <si>
    <t xml:space="preserve">Bugatti EB110</t>
  </si>
  <si>
    <t xml:space="preserve">EB110 Super Sport</t>
  </si>
  <si>
    <t xml:space="preserve">Bugatti Veyron</t>
  </si>
  <si>
    <t xml:space="preserve">Veyron Super Sport</t>
  </si>
  <si>
    <t xml:space="preserve">Bugatti Chiron</t>
  </si>
  <si>
    <t xml:space="preserve">Chiron</t>
  </si>
  <si>
    <t xml:space="preserve">Bugatti Divo</t>
  </si>
  <si>
    <t xml:space="preserve">Divo</t>
  </si>
  <si>
    <t xml:space="preserve">Buick GSX</t>
  </si>
  <si>
    <t xml:space="preserve">Buick</t>
  </si>
  <si>
    <t xml:space="preserve">GSX</t>
  </si>
  <si>
    <t xml:space="preserve">Buick Regal GNX</t>
  </si>
  <si>
    <t xml:space="preserve">Regal GNX</t>
  </si>
  <si>
    <t xml:space="preserve">Retro Muscle</t>
  </si>
  <si>
    <t xml:space="preserve">Caddy Limo</t>
  </si>
  <si>
    <t xml:space="preserve">Cadillac</t>
  </si>
  <si>
    <t xml:space="preserve">XTS Limousine</t>
  </si>
  <si>
    <t xml:space="preserve">Cadillac #3 ATS</t>
  </si>
  <si>
    <t xml:space="preserve">#3 Cadillac Racing ATS-V.R</t>
  </si>
  <si>
    <t xml:space="preserve">Caddy ATS-V</t>
  </si>
  <si>
    <t xml:space="preserve">ATS-V</t>
  </si>
  <si>
    <t xml:space="preserve">Modern Muscle</t>
  </si>
  <si>
    <t xml:space="preserve">Caddy CTS-V '16</t>
  </si>
  <si>
    <t xml:space="preserve">CTS-V Sedan</t>
  </si>
  <si>
    <t xml:space="preserve">Cadillac CT4-V</t>
  </si>
  <si>
    <t xml:space="preserve">CT4-V Blackwing</t>
  </si>
  <si>
    <t xml:space="preserve">Cadillac CT5-V</t>
  </si>
  <si>
    <t xml:space="preserve">CT5-V Blackwing</t>
  </si>
  <si>
    <t xml:space="preserve">Can-Am Maverick</t>
  </si>
  <si>
    <t xml:space="preserve">Can-Am</t>
  </si>
  <si>
    <t xml:space="preserve">Maverick X RS Turbo R</t>
  </si>
  <si>
    <t xml:space="preserve">UTVs</t>
  </si>
  <si>
    <t xml:space="preserve">#4402 Ultra 4</t>
  </si>
  <si>
    <t xml:space="preserve">Casey Currie Motorsports</t>
  </si>
  <si>
    <t xml:space="preserve">#4402 Ultra 4 'Trophy Jeep'</t>
  </si>
  <si>
    <t xml:space="preserve">Caterham R500</t>
  </si>
  <si>
    <t xml:space="preserve">Caterham</t>
  </si>
  <si>
    <t xml:space="preserve">Superlight R500</t>
  </si>
  <si>
    <t xml:space="preserve">Corvette '53 FE</t>
  </si>
  <si>
    <t xml:space="preserve">Chevrolet</t>
  </si>
  <si>
    <t xml:space="preserve">Corvette Forza Edition</t>
  </si>
  <si>
    <t xml:space="preserve">Corvette '53</t>
  </si>
  <si>
    <t xml:space="preserve">Corvette</t>
  </si>
  <si>
    <t xml:space="preserve">Chevy 150 Sedan</t>
  </si>
  <si>
    <t xml:space="preserve">150 Utility Sedan</t>
  </si>
  <si>
    <t xml:space="preserve">Rods &amp; Customs</t>
  </si>
  <si>
    <t xml:space="preserve">Barbie Corvette</t>
  </si>
  <si>
    <t xml:space="preserve">Chevy Bel Air</t>
  </si>
  <si>
    <t xml:space="preserve">Bel Air</t>
  </si>
  <si>
    <t xml:space="preserve">Corvette '60</t>
  </si>
  <si>
    <t xml:space="preserve">Chevy Impala</t>
  </si>
  <si>
    <t xml:space="preserve">Impala Super Sport 409</t>
  </si>
  <si>
    <t xml:space="preserve">Chevy Nova '66</t>
  </si>
  <si>
    <t xml:space="preserve">Nova Super Sport</t>
  </si>
  <si>
    <t xml:space="preserve">Corvette '67</t>
  </si>
  <si>
    <t xml:space="preserve">Corvette Stingray 427</t>
  </si>
  <si>
    <t xml:space="preserve">Chevy Camaro '69</t>
  </si>
  <si>
    <t xml:space="preserve">Camaro Super Sport Coupe</t>
  </si>
  <si>
    <t xml:space="preserve">Chevy Nova '69</t>
  </si>
  <si>
    <t xml:space="preserve">Nova Super Sport 396</t>
  </si>
  <si>
    <t xml:space="preserve">Corvette '70</t>
  </si>
  <si>
    <t xml:space="preserve">Corvette ZR-1</t>
  </si>
  <si>
    <t xml:space="preserve">Chevy Camaro '70</t>
  </si>
  <si>
    <t xml:space="preserve">Camaro Z28</t>
  </si>
  <si>
    <t xml:space="preserve">Chevelle '70</t>
  </si>
  <si>
    <t xml:space="preserve">Chevelle Super Sport 454</t>
  </si>
  <si>
    <t xml:space="preserve">Chevy El Camino</t>
  </si>
  <si>
    <t xml:space="preserve">El Camino Super Sport 454</t>
  </si>
  <si>
    <t xml:space="preserve">Vans &amp; Utility</t>
  </si>
  <si>
    <t xml:space="preserve">Chevy K10 '72</t>
  </si>
  <si>
    <t xml:space="preserve">K10 Custom</t>
  </si>
  <si>
    <t xml:space="preserve">Pickups &amp; 4x4s</t>
  </si>
  <si>
    <t xml:space="preserve">Chevy Camaro '79</t>
  </si>
  <si>
    <t xml:space="preserve">Chevy MonteCarlo</t>
  </si>
  <si>
    <t xml:space="preserve">Monte Carlo Super Sport</t>
  </si>
  <si>
    <t xml:space="preserve">Corvette '95</t>
  </si>
  <si>
    <t xml:space="preserve">Chevy Impala '96</t>
  </si>
  <si>
    <t xml:space="preserve">Impala Super Sport</t>
  </si>
  <si>
    <t xml:space="preserve">Corvette '02</t>
  </si>
  <si>
    <t xml:space="preserve">Corvette Z06</t>
  </si>
  <si>
    <t xml:space="preserve">Corvette '09</t>
  </si>
  <si>
    <t xml:space="preserve">Corvette ZR1</t>
  </si>
  <si>
    <t xml:space="preserve">Pro Stock Camaro</t>
  </si>
  <si>
    <t xml:space="preserve">Summit Racing Pro Stock Camaro</t>
  </si>
  <si>
    <t xml:space="preserve">Chevy Camaro '15</t>
  </si>
  <si>
    <t xml:space="preserve">Camaro Z/28</t>
  </si>
  <si>
    <t xml:space="preserve">Corvette '15</t>
  </si>
  <si>
    <t xml:space="preserve">Chevy Camaro '17</t>
  </si>
  <si>
    <t xml:space="preserve">Camaro ZL1</t>
  </si>
  <si>
    <t xml:space="preserve">Chevrolet ZR2</t>
  </si>
  <si>
    <t xml:space="preserve">Colorado ZR2</t>
  </si>
  <si>
    <t xml:space="preserve">Chevy Camaro '18</t>
  </si>
  <si>
    <t xml:space="preserve">Camaro ZL1 1LE</t>
  </si>
  <si>
    <t xml:space="preserve">COPO Camaro '18</t>
  </si>
  <si>
    <t xml:space="preserve">Hot Wheels COPO Camaro</t>
  </si>
  <si>
    <t xml:space="preserve">Corvette '19</t>
  </si>
  <si>
    <t xml:space="preserve">#3 Chevy C8.R</t>
  </si>
  <si>
    <t xml:space="preserve">#3 Corvette Racing C8.R</t>
  </si>
  <si>
    <t xml:space="preserve">Corvette C8 '20</t>
  </si>
  <si>
    <t xml:space="preserve">Corvette Stingray Coupé</t>
  </si>
  <si>
    <t xml:space="preserve">Chevy Trail Boss</t>
  </si>
  <si>
    <t xml:space="preserve">Silverado LT Trail Boss</t>
  </si>
  <si>
    <t xml:space="preserve">Corvette Z06 '23</t>
  </si>
  <si>
    <t xml:space="preserve">Corvette E-Ray</t>
  </si>
  <si>
    <t xml:space="preserve">Formentor '22</t>
  </si>
  <si>
    <t xml:space="preserve">CUPRA</t>
  </si>
  <si>
    <t xml:space="preserve">Formentor VZ5</t>
  </si>
  <si>
    <t xml:space="preserve">Tavascan '22</t>
  </si>
  <si>
    <t xml:space="preserve">Tavascan Concept</t>
  </si>
  <si>
    <t xml:space="preserve">UrbanRebel '22</t>
  </si>
  <si>
    <t xml:space="preserve">UrbanRebel Concept</t>
  </si>
  <si>
    <t xml:space="preserve">Czinger 21C</t>
  </si>
  <si>
    <t xml:space="preserve">Czinger</t>
  </si>
  <si>
    <t xml:space="preserve">21 C</t>
  </si>
  <si>
    <t xml:space="preserve">Datsun 510</t>
  </si>
  <si>
    <t xml:space="preserve">Datsun</t>
  </si>
  <si>
    <t xml:space="preserve">510</t>
  </si>
  <si>
    <t xml:space="preserve">DeBerti Shop Rod</t>
  </si>
  <si>
    <t xml:space="preserve">DeBerti</t>
  </si>
  <si>
    <t xml:space="preserve">Ford Econoline 'Shop Rod'</t>
  </si>
  <si>
    <t xml:space="preserve">Deberti Wrangler</t>
  </si>
  <si>
    <t xml:space="preserve">Wrangler Unlimited</t>
  </si>
  <si>
    <t xml:space="preserve">Silverado DD</t>
  </si>
  <si>
    <t xml:space="preserve">Chevrolet Silverado 1500 Drift Truck</t>
  </si>
  <si>
    <t xml:space="preserve">Drift Cars</t>
  </si>
  <si>
    <t xml:space="preserve">Deberti F-150</t>
  </si>
  <si>
    <t xml:space="preserve">F-150 Prerunner</t>
  </si>
  <si>
    <t xml:space="preserve">Ford Mustang DD</t>
  </si>
  <si>
    <t xml:space="preserve">Ford Mustang GT</t>
  </si>
  <si>
    <t xml:space="preserve">DeBerti F-250</t>
  </si>
  <si>
    <t xml:space="preserve">Ford Super Duty F-250 Lariat 'Transformer'</t>
  </si>
  <si>
    <t xml:space="preserve">DD Tacoma TRD</t>
  </si>
  <si>
    <t xml:space="preserve">Toyota Tacoma TRD "The Performance Truck"</t>
  </si>
  <si>
    <t xml:space="preserve">DeLorean DMC-12</t>
  </si>
  <si>
    <t xml:space="preserve">DeLorean</t>
  </si>
  <si>
    <t xml:space="preserve">DMC-12</t>
  </si>
  <si>
    <t xml:space="preserve">Dodge Dart '68</t>
  </si>
  <si>
    <t xml:space="preserve">Dodge</t>
  </si>
  <si>
    <t xml:space="preserve">Dart HEMI Super Stock</t>
  </si>
  <si>
    <t xml:space="preserve">Charger '69 FE</t>
  </si>
  <si>
    <t xml:space="preserve">Charger R/T Forza Edition</t>
  </si>
  <si>
    <t xml:space="preserve">Charger Daytona</t>
  </si>
  <si>
    <t xml:space="preserve">Charger Daytona HEMI</t>
  </si>
  <si>
    <t xml:space="preserve">Dodge Charger '69</t>
  </si>
  <si>
    <t xml:space="preserve">Charger R/T</t>
  </si>
  <si>
    <t xml:space="preserve">Challenger '70</t>
  </si>
  <si>
    <t xml:space="preserve">Challenger R/T</t>
  </si>
  <si>
    <t xml:space="preserve">Dodge Super Bee</t>
  </si>
  <si>
    <t xml:space="preserve">Coronet Super Bee</t>
  </si>
  <si>
    <t xml:space="preserve">Dodge Viper '99</t>
  </si>
  <si>
    <t xml:space="preserve">Viper GTS ACR</t>
  </si>
  <si>
    <t xml:space="preserve">Dodge Magnum</t>
  </si>
  <si>
    <t xml:space="preserve">Magnum SRT-8</t>
  </si>
  <si>
    <t xml:space="preserve">Dodge Viper '08</t>
  </si>
  <si>
    <t xml:space="preserve">Viper SRT10 ACR</t>
  </si>
  <si>
    <t xml:space="preserve">Viper '13 AE</t>
  </si>
  <si>
    <t xml:space="preserve">SRT Viper GTS Anniversary Edition</t>
  </si>
  <si>
    <t xml:space="preserve">Anniversary Edition</t>
  </si>
  <si>
    <t xml:space="preserve">Dodge Viper '13</t>
  </si>
  <si>
    <t xml:space="preserve">SRT Viper GTS</t>
  </si>
  <si>
    <t xml:space="preserve">Challenger '15</t>
  </si>
  <si>
    <t xml:space="preserve">Challenger SRT Hellcat</t>
  </si>
  <si>
    <t xml:space="preserve">Dodge Charger 15</t>
  </si>
  <si>
    <t xml:space="preserve">Charger SRT Hellcat</t>
  </si>
  <si>
    <t xml:space="preserve">Dodge Viper '16</t>
  </si>
  <si>
    <t xml:space="preserve">Viper ACR</t>
  </si>
  <si>
    <t xml:space="preserve">Dodge SRT Demon</t>
  </si>
  <si>
    <t xml:space="preserve">Challenger SRT Demon</t>
  </si>
  <si>
    <t xml:space="preserve">Dodge Durango</t>
  </si>
  <si>
    <t xml:space="preserve">Durango SRT</t>
  </si>
  <si>
    <t xml:space="preserve">Donkervoort GTO</t>
  </si>
  <si>
    <t xml:space="preserve">Donkervoort</t>
  </si>
  <si>
    <t xml:space="preserve">D8 GTO</t>
  </si>
  <si>
    <t xml:space="preserve">DS 23</t>
  </si>
  <si>
    <t xml:space="preserve">DS</t>
  </si>
  <si>
    <t xml:space="preserve">23</t>
  </si>
  <si>
    <t xml:space="preserve">Eagle Speedster</t>
  </si>
  <si>
    <t xml:space="preserve">Eagle</t>
  </si>
  <si>
    <t xml:space="preserve">Speedster</t>
  </si>
  <si>
    <t xml:space="preserve">Elemental Rp1</t>
  </si>
  <si>
    <t xml:space="preserve">Elemental</t>
  </si>
  <si>
    <t xml:space="preserve">Rp1</t>
  </si>
  <si>
    <t xml:space="preserve">Exocet OR FE</t>
  </si>
  <si>
    <t xml:space="preserve">Exomotive</t>
  </si>
  <si>
    <t xml:space="preserve">Exocet Off-Road Forza Edition</t>
  </si>
  <si>
    <t xml:space="preserve">Exocet Off-Road</t>
  </si>
  <si>
    <t xml:space="preserve">#125 Extreme E</t>
  </si>
  <si>
    <t xml:space="preserve">Extreme E</t>
  </si>
  <si>
    <t xml:space="preserve">#125 ABT Cupra XE</t>
  </si>
  <si>
    <t xml:space="preserve">#22 Extreme E</t>
  </si>
  <si>
    <t xml:space="preserve">#22 JBXE</t>
  </si>
  <si>
    <t xml:space="preserve">#23 Extreme E</t>
  </si>
  <si>
    <t xml:space="preserve">#23 Genesys Andretti United</t>
  </si>
  <si>
    <t xml:space="preserve">#42 Extreme E</t>
  </si>
  <si>
    <t xml:space="preserve">#42 XITE Racing Team</t>
  </si>
  <si>
    <t xml:space="preserve">#44 Extreme E</t>
  </si>
  <si>
    <t xml:space="preserve">#44 X44</t>
  </si>
  <si>
    <t xml:space="preserve">#5 Extreme E</t>
  </si>
  <si>
    <t xml:space="preserve">#5 Veloce Racing</t>
  </si>
  <si>
    <t xml:space="preserve">#55 Extreme E</t>
  </si>
  <si>
    <t xml:space="preserve">#55 ACCIONA | Sainz XE Team</t>
  </si>
  <si>
    <t xml:space="preserve">#58 Extreme E</t>
  </si>
  <si>
    <t xml:space="preserve">#58 McLaren Racing</t>
  </si>
  <si>
    <t xml:space="preserve">#6 Extreme E</t>
  </si>
  <si>
    <t xml:space="preserve">#6 Rosberg X Racing</t>
  </si>
  <si>
    <t xml:space="preserve">#99 Extreme E</t>
  </si>
  <si>
    <t xml:space="preserve">#99 Chip Ganassi Racing GMC HUMMER EV</t>
  </si>
  <si>
    <t xml:space="preserve">FAF Impala</t>
  </si>
  <si>
    <t xml:space="preserve">Fast and Furious</t>
  </si>
  <si>
    <t xml:space="preserve">Chevrolet Impala Super Sport 'Fast X'</t>
  </si>
  <si>
    <t xml:space="preserve">FAF Charger</t>
  </si>
  <si>
    <t xml:space="preserve">Dodge Charger 'Fast X'</t>
  </si>
  <si>
    <t xml:space="preserve">FAF 240Z</t>
  </si>
  <si>
    <t xml:space="preserve">Datsun 240Z 'Fast X'</t>
  </si>
  <si>
    <t xml:space="preserve">FAF Hellcat</t>
  </si>
  <si>
    <t xml:space="preserve">Dodge Charger SRT Hellcat Redeye Widebody 'Fast X'</t>
  </si>
  <si>
    <t xml:space="preserve">FAF Flip Car</t>
  </si>
  <si>
    <t xml:space="preserve">Flip Car 2.0 'Fast X'</t>
  </si>
  <si>
    <t xml:space="preserve">Ferrari 250 Cali</t>
  </si>
  <si>
    <t xml:space="preserve">Ferrari</t>
  </si>
  <si>
    <t xml:space="preserve">250 California</t>
  </si>
  <si>
    <t xml:space="preserve">Ferrari 250 TR</t>
  </si>
  <si>
    <t xml:space="preserve">250 Testa Rossa</t>
  </si>
  <si>
    <t xml:space="preserve">Ferrari 250 GT</t>
  </si>
  <si>
    <t xml:space="preserve">250 GT Berlinetta Lusso</t>
  </si>
  <si>
    <t xml:space="preserve">Ferrari 250 GTO</t>
  </si>
  <si>
    <t xml:space="preserve">250 GTO</t>
  </si>
  <si>
    <t xml:space="preserve">#24 Ferrari P4</t>
  </si>
  <si>
    <t xml:space="preserve">#24 Ferrari Spa 330 P4</t>
  </si>
  <si>
    <t xml:space="preserve">Ferrari 365 GTB4</t>
  </si>
  <si>
    <t xml:space="preserve">365 GTB/4</t>
  </si>
  <si>
    <t xml:space="preserve">Ferrari Dino</t>
  </si>
  <si>
    <t xml:space="preserve">Dino 246 GT</t>
  </si>
  <si>
    <t xml:space="preserve">Ferrari 512 S</t>
  </si>
  <si>
    <t xml:space="preserve">512 S</t>
  </si>
  <si>
    <t xml:space="preserve">Ferrari 288 GTO</t>
  </si>
  <si>
    <t xml:space="preserve">288 GTO</t>
  </si>
  <si>
    <t xml:space="preserve">Ferrari F40</t>
  </si>
  <si>
    <t xml:space="preserve">F40</t>
  </si>
  <si>
    <t xml:space="preserve">Ferrari F40 C</t>
  </si>
  <si>
    <t xml:space="preserve">F40 Competizione</t>
  </si>
  <si>
    <t xml:space="preserve">Ferrari 512TR</t>
  </si>
  <si>
    <t xml:space="preserve">512 TR</t>
  </si>
  <si>
    <t xml:space="preserve">Ferrari F355</t>
  </si>
  <si>
    <t xml:space="preserve">F355 Berlinetta</t>
  </si>
  <si>
    <t xml:space="preserve">Ferrari F50</t>
  </si>
  <si>
    <t xml:space="preserve">F50</t>
  </si>
  <si>
    <t xml:space="preserve">Ferrari F50 GT</t>
  </si>
  <si>
    <t xml:space="preserve">F50 GT</t>
  </si>
  <si>
    <t xml:space="preserve">Ferrari Enzo</t>
  </si>
  <si>
    <t xml:space="preserve">Enzo Ferrari</t>
  </si>
  <si>
    <t xml:space="preserve">Ferrari 575M</t>
  </si>
  <si>
    <t xml:space="preserve">575M Maranello</t>
  </si>
  <si>
    <t xml:space="preserve">Ferrari 360 CS</t>
  </si>
  <si>
    <t xml:space="preserve">360 Challenge Stradale</t>
  </si>
  <si>
    <t xml:space="preserve">Ferrari FXX</t>
  </si>
  <si>
    <t xml:space="preserve">FXX</t>
  </si>
  <si>
    <t xml:space="preserve">Ferrari 430 S</t>
  </si>
  <si>
    <t xml:space="preserve">430 Scuderia</t>
  </si>
  <si>
    <t xml:space="preserve">Ferrari 458</t>
  </si>
  <si>
    <t xml:space="preserve">458 Italia</t>
  </si>
  <si>
    <t xml:space="preserve">Ferrari 599XX</t>
  </si>
  <si>
    <t xml:space="preserve">599XX</t>
  </si>
  <si>
    <t xml:space="preserve">Ferrari 599 GTO</t>
  </si>
  <si>
    <t xml:space="preserve">599 GTO</t>
  </si>
  <si>
    <t xml:space="preserve">Ferrari 599XX E</t>
  </si>
  <si>
    <t xml:space="preserve">599XX Evolution</t>
  </si>
  <si>
    <t xml:space="preserve">LaFerrari</t>
  </si>
  <si>
    <t xml:space="preserve">Ferrari 458 S</t>
  </si>
  <si>
    <t xml:space="preserve">458 Speciale</t>
  </si>
  <si>
    <t xml:space="preserve">Ferrari FXX K</t>
  </si>
  <si>
    <t xml:space="preserve">FXX K</t>
  </si>
  <si>
    <t xml:space="preserve">Ferrari Cali T</t>
  </si>
  <si>
    <t xml:space="preserve">California T</t>
  </si>
  <si>
    <t xml:space="preserve">Ferrari 488 GTB</t>
  </si>
  <si>
    <t xml:space="preserve">488 GTB</t>
  </si>
  <si>
    <t xml:space="preserve">Ferrari F12tdf</t>
  </si>
  <si>
    <t xml:space="preserve">F12tdf</t>
  </si>
  <si>
    <t xml:space="preserve">Ferrari 812</t>
  </si>
  <si>
    <t xml:space="preserve">812 Superfast</t>
  </si>
  <si>
    <t xml:space="preserve">#25 Ferrari 488</t>
  </si>
  <si>
    <t xml:space="preserve">#25 Corse Clienti 488 Challenge</t>
  </si>
  <si>
    <t xml:space="preserve">Ferrari GTC4L</t>
  </si>
  <si>
    <t xml:space="preserve">GTC4Lusso</t>
  </si>
  <si>
    <t xml:space="preserve">Ferrari J50 '17</t>
  </si>
  <si>
    <t xml:space="preserve">J50</t>
  </si>
  <si>
    <t xml:space="preserve">Ferrari FXX-K E</t>
  </si>
  <si>
    <t xml:space="preserve">FXX-K Evo</t>
  </si>
  <si>
    <t xml:space="preserve">Portofino '18</t>
  </si>
  <si>
    <t xml:space="preserve">Portofino</t>
  </si>
  <si>
    <t xml:space="preserve">Ferrari Monza</t>
  </si>
  <si>
    <t xml:space="preserve">Monza SP2</t>
  </si>
  <si>
    <t xml:space="preserve">488 Pista '19</t>
  </si>
  <si>
    <t xml:space="preserve">488 Pista</t>
  </si>
  <si>
    <t xml:space="preserve">Ferrari #62 488</t>
  </si>
  <si>
    <t xml:space="preserve">#62 Risi Competizione 488 GTE</t>
  </si>
  <si>
    <t xml:space="preserve">F8 Tributo '20</t>
  </si>
  <si>
    <t xml:space="preserve">F8 Tributo</t>
  </si>
  <si>
    <t xml:space="preserve">SF90 Stradale</t>
  </si>
  <si>
    <t xml:space="preserve">Ferrari Roma</t>
  </si>
  <si>
    <t xml:space="preserve">Roma</t>
  </si>
  <si>
    <t xml:space="preserve">Ferrari 296 GTB</t>
  </si>
  <si>
    <t xml:space="preserve">296 GTB</t>
  </si>
  <si>
    <t xml:space="preserve">Fiat Dino</t>
  </si>
  <si>
    <t xml:space="preserve">FIAT</t>
  </si>
  <si>
    <t xml:space="preserve">Dino 2.4 Coupe</t>
  </si>
  <si>
    <t xml:space="preserve">Fiat 124 Spider</t>
  </si>
  <si>
    <t xml:space="preserve">124 Sport Spider</t>
  </si>
  <si>
    <t xml:space="preserve">Ford Coupe FE</t>
  </si>
  <si>
    <t xml:space="preserve">Ford</t>
  </si>
  <si>
    <t xml:space="preserve">De Luxe Five-Window Coupe Forza Edition</t>
  </si>
  <si>
    <t xml:space="preserve">Ford Coupe '32</t>
  </si>
  <si>
    <t xml:space="preserve">De Luxe Five-Window Coupe</t>
  </si>
  <si>
    <t xml:space="preserve">Ford Coupe '40</t>
  </si>
  <si>
    <t xml:space="preserve">De Luxe Coupe</t>
  </si>
  <si>
    <t xml:space="preserve">Ford Wagon</t>
  </si>
  <si>
    <t xml:space="preserve">Super Deluxe Station Wagon</t>
  </si>
  <si>
    <t xml:space="preserve">Ford F-100</t>
  </si>
  <si>
    <t xml:space="preserve">F-100</t>
  </si>
  <si>
    <t xml:space="preserve">Ford Anglia '59</t>
  </si>
  <si>
    <t xml:space="preserve">Anglia 105E</t>
  </si>
  <si>
    <t xml:space="preserve">Ford GT40 '64</t>
  </si>
  <si>
    <t xml:space="preserve">GT40 MkI</t>
  </si>
  <si>
    <t xml:space="preserve">Ford Mustang '65</t>
  </si>
  <si>
    <t xml:space="preserve">Mustang GT Coupe</t>
  </si>
  <si>
    <t xml:space="preserve">Ford Transit Mk1</t>
  </si>
  <si>
    <t xml:space="preserve">Transit</t>
  </si>
  <si>
    <t xml:space="preserve">#2 Ford GT40</t>
  </si>
  <si>
    <t xml:space="preserve">#2 GT40 MK II</t>
  </si>
  <si>
    <t xml:space="preserve">Ford Cortina</t>
  </si>
  <si>
    <t xml:space="preserve">Lotus Cortina</t>
  </si>
  <si>
    <t xml:space="preserve">Ford Escort '67</t>
  </si>
  <si>
    <t xml:space="preserve">Racing Escort Mk1</t>
  </si>
  <si>
    <t xml:space="preserve">Ford Mustang '68</t>
  </si>
  <si>
    <t xml:space="preserve">Mustang GT 2+2 Fastback</t>
  </si>
  <si>
    <t xml:space="preserve">Ford Mustang '69</t>
  </si>
  <si>
    <t xml:space="preserve">Mustang Boss 302</t>
  </si>
  <si>
    <t xml:space="preserve">Ford GT70 '70</t>
  </si>
  <si>
    <t xml:space="preserve">GT70</t>
  </si>
  <si>
    <t xml:space="preserve">Ford Mustang '71</t>
  </si>
  <si>
    <t xml:space="preserve">Mustang Mach 1</t>
  </si>
  <si>
    <t xml:space="preserve">Ford Falcon '72</t>
  </si>
  <si>
    <t xml:space="preserve">Falcon XA GT-HO</t>
  </si>
  <si>
    <t xml:space="preserve">Ford Capri MkI</t>
  </si>
  <si>
    <t xml:space="preserve">Capri RS3100</t>
  </si>
  <si>
    <t xml:space="preserve">Ford Escort '73</t>
  </si>
  <si>
    <t xml:space="preserve">Escort RS1600</t>
  </si>
  <si>
    <t xml:space="preserve">Ford XB Falcon</t>
  </si>
  <si>
    <t xml:space="preserve">XB Falcon GT</t>
  </si>
  <si>
    <t xml:space="preserve">Ford Bronco</t>
  </si>
  <si>
    <t xml:space="preserve">Bronco</t>
  </si>
  <si>
    <t xml:space="preserve">#5 Escort '77</t>
  </si>
  <si>
    <t xml:space="preserve">#5 Escort RS1800 MKII</t>
  </si>
  <si>
    <t xml:space="preserve">Ford Escort '77</t>
  </si>
  <si>
    <t xml:space="preserve">Escort RS1800</t>
  </si>
  <si>
    <t xml:space="preserve">Ford Fiesta '81</t>
  </si>
  <si>
    <t xml:space="preserve">Fiesta XR2</t>
  </si>
  <si>
    <t xml:space="preserve">Ford RS200</t>
  </si>
  <si>
    <t xml:space="preserve">RS200 Evolution</t>
  </si>
  <si>
    <t xml:space="preserve">Ford Escort RS</t>
  </si>
  <si>
    <t xml:space="preserve">Escort RS Turbo</t>
  </si>
  <si>
    <t xml:space="preserve">Ford F-150 '86</t>
  </si>
  <si>
    <t xml:space="preserve">F-150 XLT Lariat</t>
  </si>
  <si>
    <t xml:space="preserve">Ford Mustang SVO</t>
  </si>
  <si>
    <t xml:space="preserve">Mustang SVO</t>
  </si>
  <si>
    <t xml:space="preserve">Ford RS500</t>
  </si>
  <si>
    <t xml:space="preserve">Sierra Cosworth RS500</t>
  </si>
  <si>
    <t xml:space="preserve">Ford Escort '92</t>
  </si>
  <si>
    <t xml:space="preserve">Escort RS Cosworth</t>
  </si>
  <si>
    <t xml:space="preserve">Ford Mustang '93</t>
  </si>
  <si>
    <t xml:space="preserve">SVT Cobra R</t>
  </si>
  <si>
    <t xml:space="preserve">Supervan 3 DME</t>
  </si>
  <si>
    <t xml:space="preserve">Supervan 3 Donut Media Edition</t>
  </si>
  <si>
    <t xml:space="preserve">Donut Edition</t>
  </si>
  <si>
    <t xml:space="preserve">Ford Supervan 3</t>
  </si>
  <si>
    <t xml:space="preserve">Supervan 3</t>
  </si>
  <si>
    <t xml:space="preserve">Ford Puma FE</t>
  </si>
  <si>
    <t xml:space="preserve">Racing Puma Forza Edition</t>
  </si>
  <si>
    <t xml:space="preserve">Ford Racing Puma</t>
  </si>
  <si>
    <t xml:space="preserve">Racing Puma</t>
  </si>
  <si>
    <t xml:space="preserve">Ford Mustang '00</t>
  </si>
  <si>
    <t xml:space="preserve">#4 Ford Focus</t>
  </si>
  <si>
    <t xml:space="preserve">#4 Ford Focus RS</t>
  </si>
  <si>
    <t xml:space="preserve">Ford Lightning</t>
  </si>
  <si>
    <t xml:space="preserve">F-150 SVT Lightning</t>
  </si>
  <si>
    <t xml:space="preserve">Ford Focus '03</t>
  </si>
  <si>
    <t xml:space="preserve">Focus RS</t>
  </si>
  <si>
    <t xml:space="preserve">Mustang SVT '03</t>
  </si>
  <si>
    <t xml:space="preserve">Mustang SVT Cobra</t>
  </si>
  <si>
    <t xml:space="preserve">Ford GT '05</t>
  </si>
  <si>
    <t xml:space="preserve">Ford Focus '09</t>
  </si>
  <si>
    <t xml:space="preserve">Fiesta Traffic</t>
  </si>
  <si>
    <t xml:space="preserve">Crown Victoria</t>
  </si>
  <si>
    <t xml:space="preserve">Crown Victoria Police Interceptor</t>
  </si>
  <si>
    <t xml:space="preserve">Ford Raptor '11</t>
  </si>
  <si>
    <t xml:space="preserve">F-150 SVT Raptor</t>
  </si>
  <si>
    <t xml:space="preserve">Ford Transit SSV</t>
  </si>
  <si>
    <t xml:space="preserve">Transit Supersportvan</t>
  </si>
  <si>
    <t xml:space="preserve">Transit SuperSportVan Traffic</t>
  </si>
  <si>
    <t xml:space="preserve">Ford Mustang '13</t>
  </si>
  <si>
    <t xml:space="preserve">Shelby GT500</t>
  </si>
  <si>
    <t xml:space="preserve">#11 Ford F-150</t>
  </si>
  <si>
    <t xml:space="preserve">#11 Rockstar F-150 Trophy Truck</t>
  </si>
  <si>
    <t xml:space="preserve">Ford Ranger T6</t>
  </si>
  <si>
    <t xml:space="preserve">Ranger T6 Rally Raid</t>
  </si>
  <si>
    <t xml:space="preserve">Offroad</t>
  </si>
  <si>
    <t xml:space="preserve">Ford Fiesta '14</t>
  </si>
  <si>
    <t xml:space="preserve">Fiesta ST</t>
  </si>
  <si>
    <t xml:space="preserve">Ford Ute '14</t>
  </si>
  <si>
    <t xml:space="preserve">FPV Limited Edition Pursuit Ute</t>
  </si>
  <si>
    <t xml:space="preserve">Ford Falcon '15</t>
  </si>
  <si>
    <t xml:space="preserve">Falcon GT F 351</t>
  </si>
  <si>
    <t xml:space="preserve">#66 Ford GT</t>
  </si>
  <si>
    <t xml:space="preserve">GT #66 GTLM Le Mans</t>
  </si>
  <si>
    <t xml:space="preserve">Ford Mustang '16</t>
  </si>
  <si>
    <t xml:space="preserve">Shelby GT350R</t>
  </si>
  <si>
    <t xml:space="preserve">Ford GT OPI</t>
  </si>
  <si>
    <t xml:space="preserve">GT 'OPI Edition'</t>
  </si>
  <si>
    <t xml:space="preserve">#14 Ford Fiesta</t>
  </si>
  <si>
    <t xml:space="preserve">#14 Rahal Letterman Lanigan Racing Fiesta</t>
  </si>
  <si>
    <t xml:space="preserve">#25 Ford Bronco</t>
  </si>
  <si>
    <t xml:space="preserve">#25 "Brocky" Ultra4 Bronco RTR</t>
  </si>
  <si>
    <t xml:space="preserve">Ford Focus '17</t>
  </si>
  <si>
    <t xml:space="preserve">Ford GT '17</t>
  </si>
  <si>
    <t xml:space="preserve">Ford Fiesta RS</t>
  </si>
  <si>
    <t xml:space="preserve">M-Sport Fiesta RS</t>
  </si>
  <si>
    <t xml:space="preserve">Ford Raptor '17</t>
  </si>
  <si>
    <t xml:space="preserve">F-150 Raptor</t>
  </si>
  <si>
    <t xml:space="preserve">#25 RTR Mustang</t>
  </si>
  <si>
    <t xml:space="preserve">#25 Mustang RTR</t>
  </si>
  <si>
    <t xml:space="preserve">#88 RTR Mustang</t>
  </si>
  <si>
    <t xml:space="preserve">#88 Mustang RTR</t>
  </si>
  <si>
    <t xml:space="preserve">Ford Mustang S5</t>
  </si>
  <si>
    <t xml:space="preserve">Mustang RTR Spec 5</t>
  </si>
  <si>
    <t xml:space="preserve">Ford Mustang '18</t>
  </si>
  <si>
    <t xml:space="preserve">Mustang GT</t>
  </si>
  <si>
    <t xml:space="preserve">Ranger Raptor</t>
  </si>
  <si>
    <t xml:space="preserve">#2069 Bronco R</t>
  </si>
  <si>
    <t xml:space="preserve">#2069 Ford Performance Bronco R</t>
  </si>
  <si>
    <t xml:space="preserve">Ford GT500 '20</t>
  </si>
  <si>
    <t xml:space="preserve">Mustang Shelby GT500</t>
  </si>
  <si>
    <t xml:space="preserve">Bronco R WP</t>
  </si>
  <si>
    <t xml:space="preserve">#2069 Ford Bronco R "Welcome Pack"</t>
  </si>
  <si>
    <t xml:space="preserve">Ford SD F-450</t>
  </si>
  <si>
    <t xml:space="preserve">Super Duty F-450 DRW Platinum</t>
  </si>
  <si>
    <t xml:space="preserve">Ford Mach-E 1400</t>
  </si>
  <si>
    <t xml:space="preserve">Mustang Mach-E 1400</t>
  </si>
  <si>
    <t xml:space="preserve">Ford Bronco '21</t>
  </si>
  <si>
    <t xml:space="preserve">Bronco Raptor</t>
  </si>
  <si>
    <t xml:space="preserve">F-150 Lightning</t>
  </si>
  <si>
    <t xml:space="preserve">Ford F-150 Lightning Platinum</t>
  </si>
  <si>
    <t xml:space="preserve">Ford Supervan 4</t>
  </si>
  <si>
    <t xml:space="preserve">Supervan 4</t>
  </si>
  <si>
    <t xml:space="preserve">Ford Raptor R</t>
  </si>
  <si>
    <t xml:space="preserve">F-150 Raptor R</t>
  </si>
  <si>
    <t xml:space="preserve">Mustang '24</t>
  </si>
  <si>
    <t xml:space="preserve">#98 BMW 325i</t>
  </si>
  <si>
    <t xml:space="preserve">Formula Drift</t>
  </si>
  <si>
    <t xml:space="preserve">#34 Toyota Supra</t>
  </si>
  <si>
    <t xml:space="preserve">#34 Toyota Supra MKIV</t>
  </si>
  <si>
    <t xml:space="preserve">#51 Nissan 240SX</t>
  </si>
  <si>
    <t xml:space="preserve">#51 Donut Media Nissan 240SX</t>
  </si>
  <si>
    <t xml:space="preserve">#777 Nissan 240</t>
  </si>
  <si>
    <t xml:space="preserve">#777 Nissan 240SX</t>
  </si>
  <si>
    <t xml:space="preserve">#43 Dodge Viper</t>
  </si>
  <si>
    <t xml:space="preserve">#43 Dodge Viper SRT10</t>
  </si>
  <si>
    <t xml:space="preserve">Formula D 599</t>
  </si>
  <si>
    <t xml:space="preserve">#117 599 GTB Fiorano</t>
  </si>
  <si>
    <t xml:space="preserve">#99 Mazda RX-8</t>
  </si>
  <si>
    <t xml:space="preserve">#777 Corvette</t>
  </si>
  <si>
    <t xml:space="preserve">#777 Chevrolet Corvette</t>
  </si>
  <si>
    <t xml:space="preserve">#13 Ford Mustang</t>
  </si>
  <si>
    <t xml:space="preserve">#530 HSV Maloo</t>
  </si>
  <si>
    <t xml:space="preserve">#530 HSV Maloo Gen-F</t>
  </si>
  <si>
    <t xml:space="preserve">#357 Corvette</t>
  </si>
  <si>
    <t xml:space="preserve">#357 Chevrolet Corvette Z06</t>
  </si>
  <si>
    <t xml:space="preserve">#64 Nissan 370Z</t>
  </si>
  <si>
    <t xml:space="preserve">#411 FD Corolla</t>
  </si>
  <si>
    <t xml:space="preserve">#411 Toyota Corolla Hatchback</t>
  </si>
  <si>
    <t xml:space="preserve">#151 FD Supra</t>
  </si>
  <si>
    <t xml:space="preserve">#151 Toyota GR Supra</t>
  </si>
  <si>
    <t xml:space="preserve">#91 BMW M2</t>
  </si>
  <si>
    <t xml:space="preserve">#64 Nissan Z</t>
  </si>
  <si>
    <t xml:space="preserve">#64 Forsberg Racing Nissan Z</t>
  </si>
  <si>
    <t xml:space="preserve">Datsun 280Z</t>
  </si>
  <si>
    <t xml:space="preserve">Forsberg Racing</t>
  </si>
  <si>
    <t xml:space="preserve">Nissan "Gold Leader" Datsun 280Z</t>
  </si>
  <si>
    <t xml:space="preserve">FR Stock Car</t>
  </si>
  <si>
    <t xml:space="preserve">Toyota Gumout 2JZ Camry Stock Car</t>
  </si>
  <si>
    <t xml:space="preserve">'SafariZ' 370Z</t>
  </si>
  <si>
    <t xml:space="preserve">Nissan 'SafariZ' 370Z Safari Rally Tribute</t>
  </si>
  <si>
    <t xml:space="preserve">Altimaniac</t>
  </si>
  <si>
    <t xml:space="preserve">Nissan 'Altimaniac'</t>
  </si>
  <si>
    <t xml:space="preserve">Funco F9</t>
  </si>
  <si>
    <t xml:space="preserve">Funco Motorsports</t>
  </si>
  <si>
    <t xml:space="preserve">F9</t>
  </si>
  <si>
    <t xml:space="preserve">Ginetta G10 RM</t>
  </si>
  <si>
    <t xml:space="preserve">Ginetta</t>
  </si>
  <si>
    <t xml:space="preserve">G10 RM</t>
  </si>
  <si>
    <t xml:space="preserve">GMC K5 Jimmy</t>
  </si>
  <si>
    <t xml:space="preserve">GMC</t>
  </si>
  <si>
    <t xml:space="preserve">Jimmy</t>
  </si>
  <si>
    <t xml:space="preserve">GMC Vandura</t>
  </si>
  <si>
    <t xml:space="preserve">Vandura G-1500</t>
  </si>
  <si>
    <t xml:space="preserve">GMC Syclone</t>
  </si>
  <si>
    <t xml:space="preserve">Syclone</t>
  </si>
  <si>
    <t xml:space="preserve">GMC Typhoon</t>
  </si>
  <si>
    <t xml:space="preserve">Typhoon</t>
  </si>
  <si>
    <t xml:space="preserve">Barbie HUMMER EV</t>
  </si>
  <si>
    <t xml:space="preserve">HUMMER EV Truck</t>
  </si>
  <si>
    <t xml:space="preserve">HUMMER EV Pickup</t>
  </si>
  <si>
    <t xml:space="preserve">GMA T.50</t>
  </si>
  <si>
    <t xml:space="preserve">Gordon Murray Automotive</t>
  </si>
  <si>
    <t xml:space="preserve">T.50</t>
  </si>
  <si>
    <t xml:space="preserve">HDT VK Commodore</t>
  </si>
  <si>
    <t xml:space="preserve">HDT</t>
  </si>
  <si>
    <t xml:space="preserve">VK Commodore Group A</t>
  </si>
  <si>
    <t xml:space="preserve">Venom GT</t>
  </si>
  <si>
    <t xml:space="preserve">Hennessey</t>
  </si>
  <si>
    <t xml:space="preserve">Exorcist '19</t>
  </si>
  <si>
    <t xml:space="preserve">Camaro Exorcist</t>
  </si>
  <si>
    <t xml:space="preserve">VelociRaptor '19</t>
  </si>
  <si>
    <t xml:space="preserve">VelociRaptor 6x6</t>
  </si>
  <si>
    <t xml:space="preserve">Venom F5</t>
  </si>
  <si>
    <t xml:space="preserve">Holden Monaro</t>
  </si>
  <si>
    <t xml:space="preserve">Holden</t>
  </si>
  <si>
    <t xml:space="preserve">HQ Monaro GTS 350</t>
  </si>
  <si>
    <t xml:space="preserve">Holden Sandman</t>
  </si>
  <si>
    <t xml:space="preserve">Sandman HQ Panel Van</t>
  </si>
  <si>
    <t xml:space="preserve">Holden Torana</t>
  </si>
  <si>
    <t xml:space="preserve">Torana A9X</t>
  </si>
  <si>
    <t xml:space="preserve">Honda Civic '74</t>
  </si>
  <si>
    <t xml:space="preserve">Honda</t>
  </si>
  <si>
    <t xml:space="preserve">Civic RS</t>
  </si>
  <si>
    <t xml:space="preserve">Honda Civic '84</t>
  </si>
  <si>
    <t xml:space="preserve">Civic CRX Mugen</t>
  </si>
  <si>
    <t xml:space="preserve">Honda CR-X</t>
  </si>
  <si>
    <t xml:space="preserve">CR-X SiR</t>
  </si>
  <si>
    <t xml:space="preserve">Honda NSX-R '92</t>
  </si>
  <si>
    <t xml:space="preserve">NSX-R</t>
  </si>
  <si>
    <t xml:space="preserve">Honda Prelude 94</t>
  </si>
  <si>
    <t xml:space="preserve">Prelude Si</t>
  </si>
  <si>
    <t xml:space="preserve">Honda Civic '97</t>
  </si>
  <si>
    <t xml:space="preserve">Civic Type R</t>
  </si>
  <si>
    <t xml:space="preserve">Honda S2000 '03</t>
  </si>
  <si>
    <t xml:space="preserve">S2000</t>
  </si>
  <si>
    <t xml:space="preserve">Honda Civic '04</t>
  </si>
  <si>
    <t xml:space="preserve">Honda NSX-R '05</t>
  </si>
  <si>
    <t xml:space="preserve">Honda NSX-R GT</t>
  </si>
  <si>
    <t xml:space="preserve">NSX-R GT</t>
  </si>
  <si>
    <t xml:space="preserve">Honda Civic '07</t>
  </si>
  <si>
    <t xml:space="preserve">Honda S2000 '09</t>
  </si>
  <si>
    <t xml:space="preserve">S2000 CR</t>
  </si>
  <si>
    <t xml:space="preserve">Honda Trophy '15</t>
  </si>
  <si>
    <t xml:space="preserve">Ridgeline Baja Trophy Truck</t>
  </si>
  <si>
    <t xml:space="preserve">Honda Civic</t>
  </si>
  <si>
    <t xml:space="preserve">Civic Coupe</t>
  </si>
  <si>
    <t xml:space="preserve">Honda Civic '16</t>
  </si>
  <si>
    <t xml:space="preserve">Honda Civic '18</t>
  </si>
  <si>
    <t xml:space="preserve">Hoonigan Bel Air</t>
  </si>
  <si>
    <t xml:space="preserve">Hoonigan</t>
  </si>
  <si>
    <t xml:space="preserve">Chevrolet Bel Air</t>
  </si>
  <si>
    <t xml:space="preserve">Hoonicorn</t>
  </si>
  <si>
    <t xml:space="preserve">Ford "Hoonicorn" Mustang</t>
  </si>
  <si>
    <t xml:space="preserve">Hoonicorn v2</t>
  </si>
  <si>
    <t xml:space="preserve">Gymkhana 10 Ford Hoonicorn Mustang</t>
  </si>
  <si>
    <t xml:space="preserve">Hoonigan Nova</t>
  </si>
  <si>
    <t xml:space="preserve">Chevrolet Napalm Nova</t>
  </si>
  <si>
    <t xml:space="preserve">Hoonigan Scumbug</t>
  </si>
  <si>
    <t xml:space="preserve">Volkswagen Baja Beetle Class 5/1600 'Scumbug'</t>
  </si>
  <si>
    <t xml:space="preserve">Buggies</t>
  </si>
  <si>
    <t xml:space="preserve">Hoonigan F-150</t>
  </si>
  <si>
    <t xml:space="preserve">Gymkhana 10 Ford F-150 'Hoonitruck'</t>
  </si>
  <si>
    <t xml:space="preserve">Hoonigan Escort</t>
  </si>
  <si>
    <t xml:space="preserve">Ford Escort RS1800</t>
  </si>
  <si>
    <t xml:space="preserve">Hoonigan RS200</t>
  </si>
  <si>
    <t xml:space="preserve">Ford RS200 Evolution</t>
  </si>
  <si>
    <t xml:space="preserve">Hoonigan Group A</t>
  </si>
  <si>
    <t xml:space="preserve">Gymkhana 10 Ford Escort Cosworth Group A</t>
  </si>
  <si>
    <t xml:space="preserve">Hoonigan Porsche</t>
  </si>
  <si>
    <t xml:space="preserve">Rauh-Welt Begriff Porsche 911 Turbo</t>
  </si>
  <si>
    <t xml:space="preserve">Twerkstallion</t>
  </si>
  <si>
    <t xml:space="preserve">Mazda RX-7 Twerkstallion</t>
  </si>
  <si>
    <t xml:space="preserve">Hoonigan Cossie</t>
  </si>
  <si>
    <t xml:space="preserve">Ford Escort RS Cosworth WRC "Cossie V2"</t>
  </si>
  <si>
    <t xml:space="preserve">Hoonigan Focus</t>
  </si>
  <si>
    <t xml:space="preserve">GYMKHANA 9 Ford Focus RS RX</t>
  </si>
  <si>
    <t xml:space="preserve">GYMKHANA 10 Focus</t>
  </si>
  <si>
    <t xml:space="preserve">GYMKHANA 10 Ford Focus RS RX</t>
  </si>
  <si>
    <t xml:space="preserve">Ford Dually HW</t>
  </si>
  <si>
    <t xml:space="preserve">Hot Wheels</t>
  </si>
  <si>
    <t xml:space="preserve">Ford F-5 Dually Custom Hot Rod</t>
  </si>
  <si>
    <t xml:space="preserve">Hot Wheels Metro</t>
  </si>
  <si>
    <t xml:space="preserve">Nash Metropolitan Custom</t>
  </si>
  <si>
    <t xml:space="preserve">Twin Mill</t>
  </si>
  <si>
    <t xml:space="preserve">HW Trans Am</t>
  </si>
  <si>
    <t xml:space="preserve">Pontiac Firebird Trans Am Custom</t>
  </si>
  <si>
    <t xml:space="preserve">Hot Wheels Deora</t>
  </si>
  <si>
    <t xml:space="preserve">Deora II</t>
  </si>
  <si>
    <t xml:space="preserve">HW Ford Mustang</t>
  </si>
  <si>
    <t xml:space="preserve">Ford Mustang</t>
  </si>
  <si>
    <t xml:space="preserve">Bone Shaker</t>
  </si>
  <si>
    <t xml:space="preserve">Rip Rod</t>
  </si>
  <si>
    <t xml:space="preserve">Hot Wheels BTTB</t>
  </si>
  <si>
    <t xml:space="preserve">Bad to the Blade</t>
  </si>
  <si>
    <t xml:space="preserve">Baja Bone Shaker</t>
  </si>
  <si>
    <t xml:space="preserve">2JetZ</t>
  </si>
  <si>
    <t xml:space="preserve">Monster Trucks Bone Shaker</t>
  </si>
  <si>
    <t xml:space="preserve">HSV Maloo '14</t>
  </si>
  <si>
    <t xml:space="preserve">HSV</t>
  </si>
  <si>
    <t xml:space="preserve">Limited Edition Gen-F GTS Maloo</t>
  </si>
  <si>
    <t xml:space="preserve">HSV GEN-F GTS</t>
  </si>
  <si>
    <t xml:space="preserve">GEN-F GTS</t>
  </si>
  <si>
    <t xml:space="preserve">HUMMER H1</t>
  </si>
  <si>
    <t xml:space="preserve">HUMMER</t>
  </si>
  <si>
    <t xml:space="preserve">H1 Alpha</t>
  </si>
  <si>
    <t xml:space="preserve">Veloster N</t>
  </si>
  <si>
    <t xml:space="preserve">Hyundai</t>
  </si>
  <si>
    <t xml:space="preserve">Hyundai i30 N</t>
  </si>
  <si>
    <t xml:space="preserve">i30 N</t>
  </si>
  <si>
    <t xml:space="preserve">#98 Elantra</t>
  </si>
  <si>
    <t xml:space="preserve">#98 Bryan Herta Autosport Elantra N</t>
  </si>
  <si>
    <t xml:space="preserve">IONIQ 6 '22</t>
  </si>
  <si>
    <t xml:space="preserve">IONIQ 6</t>
  </si>
  <si>
    <t xml:space="preserve">Hyundai Kona '22</t>
  </si>
  <si>
    <t xml:space="preserve">KONA N</t>
  </si>
  <si>
    <t xml:space="preserve">Infiniti Q60</t>
  </si>
  <si>
    <t xml:space="preserve">Infiniti</t>
  </si>
  <si>
    <t xml:space="preserve">Q60 Concept</t>
  </si>
  <si>
    <t xml:space="preserve">IH Scout 800A</t>
  </si>
  <si>
    <t xml:space="preserve">International</t>
  </si>
  <si>
    <t xml:space="preserve">Scout 800A</t>
  </si>
  <si>
    <t xml:space="preserve">ID Zerouno '18</t>
  </si>
  <si>
    <t xml:space="preserve">Italdesign</t>
  </si>
  <si>
    <t xml:space="preserve">Zerouno</t>
  </si>
  <si>
    <t xml:space="preserve">DaVinci</t>
  </si>
  <si>
    <t xml:space="preserve">DaVinci Concept</t>
  </si>
  <si>
    <t xml:space="preserve">Jaguar C-Type</t>
  </si>
  <si>
    <t xml:space="preserve">Jaguar</t>
  </si>
  <si>
    <t xml:space="preserve">C-Type</t>
  </si>
  <si>
    <t xml:space="preserve">Jaguar D-Type</t>
  </si>
  <si>
    <t xml:space="preserve">D-Type</t>
  </si>
  <si>
    <t xml:space="preserve">Jaguar Mk II 3.8</t>
  </si>
  <si>
    <t xml:space="preserve">Mk II 3.8</t>
  </si>
  <si>
    <t xml:space="preserve">Jaguar E-type</t>
  </si>
  <si>
    <t xml:space="preserve">E-type</t>
  </si>
  <si>
    <t xml:space="preserve">Jaguar LW E-Type</t>
  </si>
  <si>
    <t xml:space="preserve">Lightweight E-Type</t>
  </si>
  <si>
    <t xml:space="preserve">Jaguar XJ13</t>
  </si>
  <si>
    <t xml:space="preserve">XJ13</t>
  </si>
  <si>
    <t xml:space="preserve">Jaguar XJR-15</t>
  </si>
  <si>
    <t xml:space="preserve">Sport XJR-15</t>
  </si>
  <si>
    <t xml:space="preserve">Jaguar XJ220</t>
  </si>
  <si>
    <t xml:space="preserve">XJ220</t>
  </si>
  <si>
    <t xml:space="preserve">Jaguar XJ220S</t>
  </si>
  <si>
    <t xml:space="preserve">XJ220S TWR</t>
  </si>
  <si>
    <t xml:space="preserve">Jaguar C-X75</t>
  </si>
  <si>
    <t xml:space="preserve">C-X75</t>
  </si>
  <si>
    <t xml:space="preserve">Jaguar XKR-S '12</t>
  </si>
  <si>
    <t xml:space="preserve">XKR-S</t>
  </si>
  <si>
    <t xml:space="preserve">Jaguar F-TYPE</t>
  </si>
  <si>
    <t xml:space="preserve">F-TYPE R Coupé</t>
  </si>
  <si>
    <t xml:space="preserve">Jaguar XKR-S '15</t>
  </si>
  <si>
    <t xml:space="preserve">XKR-S GT</t>
  </si>
  <si>
    <t xml:space="preserve">Jaguar XFR-S</t>
  </si>
  <si>
    <t xml:space="preserve">XFR-S</t>
  </si>
  <si>
    <t xml:space="preserve">Jaguar XE-S</t>
  </si>
  <si>
    <t xml:space="preserve">XE-S</t>
  </si>
  <si>
    <t xml:space="preserve">Jaguar Project 7</t>
  </si>
  <si>
    <t xml:space="preserve">F-TYPE Project 7</t>
  </si>
  <si>
    <t xml:space="preserve">Jaguar F-PACE S</t>
  </si>
  <si>
    <t xml:space="preserve">F-PACE S</t>
  </si>
  <si>
    <t xml:space="preserve">Jaguar I-PACE</t>
  </si>
  <si>
    <t xml:space="preserve">I-PACE</t>
  </si>
  <si>
    <t xml:space="preserve">Jag. XE P8 '19</t>
  </si>
  <si>
    <t xml:space="preserve">XE SV Project 8</t>
  </si>
  <si>
    <t xml:space="preserve">Jag F-TYPE SVR</t>
  </si>
  <si>
    <t xml:space="preserve">F-TYPE SVR</t>
  </si>
  <si>
    <t xml:space="preserve">Jeep CJ5</t>
  </si>
  <si>
    <t xml:space="preserve">Jeep</t>
  </si>
  <si>
    <t xml:space="preserve">CJ5 Renegade</t>
  </si>
  <si>
    <t xml:space="preserve">Jeep Wrangler</t>
  </si>
  <si>
    <t xml:space="preserve">Wrangler Rubicon</t>
  </si>
  <si>
    <t xml:space="preserve">Cherokee '14</t>
  </si>
  <si>
    <t xml:space="preserve">Grand Cherokee SRT</t>
  </si>
  <si>
    <t xml:space="preserve">Jeep Trailcat</t>
  </si>
  <si>
    <t xml:space="preserve">Trailcat</t>
  </si>
  <si>
    <t xml:space="preserve">Jeep Trackhawk</t>
  </si>
  <si>
    <t xml:space="preserve">Grand Cherokee Trackhawk</t>
  </si>
  <si>
    <t xml:space="preserve">Jeep Gladiator</t>
  </si>
  <si>
    <t xml:space="preserve">Gladiator Rubicon</t>
  </si>
  <si>
    <t xml:space="preserve">#240 Jimco TT</t>
  </si>
  <si>
    <t xml:space="preserve">Jimco</t>
  </si>
  <si>
    <t xml:space="preserve">#240 Fastball Racing Spec Trophy Truck</t>
  </si>
  <si>
    <t xml:space="preserve">#179 Hammerhead</t>
  </si>
  <si>
    <t xml:space="preserve">#179 Hammerhead Class 1</t>
  </si>
  <si>
    <t xml:space="preserve">Koenigsegg CC8S</t>
  </si>
  <si>
    <t xml:space="preserve">Koenigsegg</t>
  </si>
  <si>
    <t xml:space="preserve">CC8S</t>
  </si>
  <si>
    <t xml:space="preserve">Koenigsegg CCX</t>
  </si>
  <si>
    <t xml:space="preserve">CCX</t>
  </si>
  <si>
    <t xml:space="preserve">Koenigsegg CCGT</t>
  </si>
  <si>
    <t xml:space="preserve">CCGT</t>
  </si>
  <si>
    <t xml:space="preserve">Koenigsegg Agera</t>
  </si>
  <si>
    <t xml:space="preserve">Agera</t>
  </si>
  <si>
    <t xml:space="preserve">Koenigsegg One</t>
  </si>
  <si>
    <t xml:space="preserve">One:1</t>
  </si>
  <si>
    <t xml:space="preserve">Regera</t>
  </si>
  <si>
    <t xml:space="preserve">Agera RS</t>
  </si>
  <si>
    <t xml:space="preserve">Koenigsegg Jesko</t>
  </si>
  <si>
    <t xml:space="preserve">Jesko</t>
  </si>
  <si>
    <t xml:space="preserve">KTM X-Bow</t>
  </si>
  <si>
    <t xml:space="preserve">KTM</t>
  </si>
  <si>
    <t xml:space="preserve">X-Bow R</t>
  </si>
  <si>
    <t xml:space="preserve">KTM X-Bow GT4</t>
  </si>
  <si>
    <t xml:space="preserve">X-Bow GT4</t>
  </si>
  <si>
    <t xml:space="preserve">X-Bow GT2</t>
  </si>
  <si>
    <t xml:space="preserve">Lambo Miura</t>
  </si>
  <si>
    <t xml:space="preserve">Lamborghini</t>
  </si>
  <si>
    <t xml:space="preserve">Miura P400</t>
  </si>
  <si>
    <t xml:space="preserve">Espada 400GT '73</t>
  </si>
  <si>
    <t xml:space="preserve">Espada 400 GT</t>
  </si>
  <si>
    <t xml:space="preserve">Lambo LM 002</t>
  </si>
  <si>
    <t xml:space="preserve">LM 002</t>
  </si>
  <si>
    <t xml:space="preserve">Lambo Countach</t>
  </si>
  <si>
    <t xml:space="preserve">Countach LP5000 QV</t>
  </si>
  <si>
    <t xml:space="preserve">Lambo Diablo SV</t>
  </si>
  <si>
    <t xml:space="preserve">Diablo SV</t>
  </si>
  <si>
    <t xml:space="preserve">Diablo GTR</t>
  </si>
  <si>
    <t xml:space="preserve">Lambo Reventón</t>
  </si>
  <si>
    <t xml:space="preserve">Reventón</t>
  </si>
  <si>
    <t xml:space="preserve">Lambo Murciélago</t>
  </si>
  <si>
    <t xml:space="preserve">Murciélago LP 670-4 SV</t>
  </si>
  <si>
    <t xml:space="preserve">Lambo Sesto FE</t>
  </si>
  <si>
    <t xml:space="preserve">Sesto Elemento Forza Edition</t>
  </si>
  <si>
    <t xml:space="preserve">Lambo Sesto</t>
  </si>
  <si>
    <t xml:space="preserve">Sesto Elemento</t>
  </si>
  <si>
    <t xml:space="preserve">Lambo Gallardo</t>
  </si>
  <si>
    <t xml:space="preserve">Gallardo LP 570-4 Superleggera</t>
  </si>
  <si>
    <t xml:space="preserve">Aventador J</t>
  </si>
  <si>
    <t xml:space="preserve">Aventador '12</t>
  </si>
  <si>
    <t xml:space="preserve">Aventador LP700-4</t>
  </si>
  <si>
    <t xml:space="preserve">Gallardo Spyder</t>
  </si>
  <si>
    <t xml:space="preserve">Gallardo LP570-4 Spyder Performante</t>
  </si>
  <si>
    <t xml:space="preserve">Lambo Veneno</t>
  </si>
  <si>
    <t xml:space="preserve">Veneno</t>
  </si>
  <si>
    <t xml:space="preserve">Lambo Huracán</t>
  </si>
  <si>
    <t xml:space="preserve">Huracán LP 610-4</t>
  </si>
  <si>
    <t xml:space="preserve">Lambo Centenario</t>
  </si>
  <si>
    <t xml:space="preserve">Centenario LP 770-4</t>
  </si>
  <si>
    <t xml:space="preserve">Aventador '16</t>
  </si>
  <si>
    <t xml:space="preserve">Aventador Superveloce</t>
  </si>
  <si>
    <t xml:space="preserve">#63 Lambo Trofeo</t>
  </si>
  <si>
    <t xml:space="preserve">#63 Squadra Corse Huracán Super Trofeo Evo</t>
  </si>
  <si>
    <t xml:space="preserve">Aventador SVJ</t>
  </si>
  <si>
    <t xml:space="preserve">Lambo Huracán P</t>
  </si>
  <si>
    <t xml:space="preserve">Huracán Performante</t>
  </si>
  <si>
    <t xml:space="preserve">Urus '19</t>
  </si>
  <si>
    <t xml:space="preserve">Urus</t>
  </si>
  <si>
    <t xml:space="preserve">Lambo SCV12</t>
  </si>
  <si>
    <t xml:space="preserve">Essenza SCV12</t>
  </si>
  <si>
    <t xml:space="preserve">Huracán STO</t>
  </si>
  <si>
    <t xml:space="preserve">Lambo SC20</t>
  </si>
  <si>
    <t xml:space="preserve">SC20</t>
  </si>
  <si>
    <t xml:space="preserve">Lambo Sián R</t>
  </si>
  <si>
    <t xml:space="preserve">Sián Roadster</t>
  </si>
  <si>
    <t xml:space="preserve">Huracán EVO</t>
  </si>
  <si>
    <t xml:space="preserve">Huracán Tecnica</t>
  </si>
  <si>
    <t xml:space="preserve">Lancia Fulvia</t>
  </si>
  <si>
    <t xml:space="preserve">Lancia</t>
  </si>
  <si>
    <t xml:space="preserve">Fulvia Coupé Rallye 1.6 HF</t>
  </si>
  <si>
    <t xml:space="preserve">Lancia Stratos</t>
  </si>
  <si>
    <t xml:space="preserve">Stratos HF Stradale</t>
  </si>
  <si>
    <t xml:space="preserve">Lancia 037</t>
  </si>
  <si>
    <t xml:space="preserve">037 Stradale</t>
  </si>
  <si>
    <t xml:space="preserve">Lancia Delta S4</t>
  </si>
  <si>
    <t xml:space="preserve">Delta S4</t>
  </si>
  <si>
    <t xml:space="preserve">Lancia Delta</t>
  </si>
  <si>
    <t xml:space="preserve">Delta HF Integrale EVO</t>
  </si>
  <si>
    <t xml:space="preserve">LR Series III</t>
  </si>
  <si>
    <t xml:space="preserve">Land Rover</t>
  </si>
  <si>
    <t xml:space="preserve">Series III</t>
  </si>
  <si>
    <t xml:space="preserve">Range Rover '73</t>
  </si>
  <si>
    <t xml:space="preserve">Range Rover</t>
  </si>
  <si>
    <t xml:space="preserve">LR Defender</t>
  </si>
  <si>
    <t xml:space="preserve">Defender 90</t>
  </si>
  <si>
    <t xml:space="preserve">Range Rover '15</t>
  </si>
  <si>
    <t xml:space="preserve">Range Rover Sport SVR</t>
  </si>
  <si>
    <t xml:space="preserve">Land Rover Velar</t>
  </si>
  <si>
    <t xml:space="preserve">Range Rover Velar First Edition</t>
  </si>
  <si>
    <t xml:space="preserve">LR Defender '20</t>
  </si>
  <si>
    <t xml:space="preserve">Defender 110 X</t>
  </si>
  <si>
    <t xml:space="preserve">Lexus SC300</t>
  </si>
  <si>
    <t xml:space="preserve">Lexus</t>
  </si>
  <si>
    <t xml:space="preserve">SC300</t>
  </si>
  <si>
    <t xml:space="preserve">Lexus LFA</t>
  </si>
  <si>
    <t xml:space="preserve">LFA</t>
  </si>
  <si>
    <t xml:space="preserve">Lexus RC F</t>
  </si>
  <si>
    <t xml:space="preserve">RC F</t>
  </si>
  <si>
    <t xml:space="preserve">Lexus #14 RC F</t>
  </si>
  <si>
    <t xml:space="preserve">#14 VASSER SULLIVAN RC F GT3</t>
  </si>
  <si>
    <t xml:space="preserve">Lexus RC F '20</t>
  </si>
  <si>
    <t xml:space="preserve">RC F Track Edition</t>
  </si>
  <si>
    <t xml:space="preserve">Lexus LC 500 '21</t>
  </si>
  <si>
    <t xml:space="preserve">LC 500</t>
  </si>
  <si>
    <t xml:space="preserve">Continental '62</t>
  </si>
  <si>
    <t xml:space="preserve">Lincoln</t>
  </si>
  <si>
    <t xml:space="preserve">Continental</t>
  </si>
  <si>
    <t xml:space="preserve">Rally Fighter</t>
  </si>
  <si>
    <t xml:space="preserve">Local Motors</t>
  </si>
  <si>
    <t xml:space="preserve">#6 Lola T70</t>
  </si>
  <si>
    <t xml:space="preserve">Lola</t>
  </si>
  <si>
    <t xml:space="preserve">#6 Penske Sunoco T70 MKIIIB</t>
  </si>
  <si>
    <t xml:space="preserve">Lotus Elan</t>
  </si>
  <si>
    <t xml:space="preserve">Lotus</t>
  </si>
  <si>
    <t xml:space="preserve">Elan Sprint</t>
  </si>
  <si>
    <t xml:space="preserve">Lotus Elise GT1</t>
  </si>
  <si>
    <t xml:space="preserve">Elise GT1</t>
  </si>
  <si>
    <t xml:space="preserve">Lotus Elise '99</t>
  </si>
  <si>
    <t xml:space="preserve">Elise Series 1 Sport 190</t>
  </si>
  <si>
    <t xml:space="preserve">Lotus 340R</t>
  </si>
  <si>
    <t xml:space="preserve">340R</t>
  </si>
  <si>
    <t xml:space="preserve">Lotus Esprit</t>
  </si>
  <si>
    <t xml:space="preserve">Esprit V8</t>
  </si>
  <si>
    <t xml:space="preserve">Lotus 2-Eleven</t>
  </si>
  <si>
    <t xml:space="preserve">2-Eleven</t>
  </si>
  <si>
    <t xml:space="preserve">Lotus Exige S</t>
  </si>
  <si>
    <t xml:space="preserve">Exige S</t>
  </si>
  <si>
    <t xml:space="preserve">Lotus 3-Eleven</t>
  </si>
  <si>
    <t xml:space="preserve">3-Eleven</t>
  </si>
  <si>
    <t xml:space="preserve">Lotus Evija '20</t>
  </si>
  <si>
    <t xml:space="preserve">Evija</t>
  </si>
  <si>
    <t xml:space="preserve">Lotus Emira</t>
  </si>
  <si>
    <t xml:space="preserve">Emira</t>
  </si>
  <si>
    <t xml:space="preserve">Lucid Air</t>
  </si>
  <si>
    <t xml:space="preserve">Lucid</t>
  </si>
  <si>
    <t xml:space="preserve">Air Sapphire</t>
  </si>
  <si>
    <t xml:space="preserve">#100 Lynk&amp;Co 03</t>
  </si>
  <si>
    <t xml:space="preserve">Lynk &amp; Co</t>
  </si>
  <si>
    <t xml:space="preserve">#100 Cyan Racing 03</t>
  </si>
  <si>
    <t xml:space="preserve">Lynk &amp; Co 03+</t>
  </si>
  <si>
    <t xml:space="preserve">03+</t>
  </si>
  <si>
    <t xml:space="preserve">Lynk &amp; Co 02 HB</t>
  </si>
  <si>
    <t xml:space="preserve">02 Hatchback</t>
  </si>
  <si>
    <t xml:space="preserve">Lynk &amp; Co 05+</t>
  </si>
  <si>
    <t xml:space="preserve">05+</t>
  </si>
  <si>
    <t xml:space="preserve">Maserati 8CTF</t>
  </si>
  <si>
    <t xml:space="preserve">Maserati</t>
  </si>
  <si>
    <t xml:space="preserve">8CTF</t>
  </si>
  <si>
    <t xml:space="preserve">MC12 Corsa '08</t>
  </si>
  <si>
    <t xml:space="preserve">MC12 Versione Corsa</t>
  </si>
  <si>
    <t xml:space="preserve">Maserati GTS FE</t>
  </si>
  <si>
    <t xml:space="preserve">Gran Turismo S Forza Edition</t>
  </si>
  <si>
    <t xml:space="preserve">Maserati GT-S</t>
  </si>
  <si>
    <t xml:space="preserve">Gran Turismo S</t>
  </si>
  <si>
    <t xml:space="preserve">Maserati Levante</t>
  </si>
  <si>
    <t xml:space="preserve">Levante S</t>
  </si>
  <si>
    <t xml:space="preserve">Mazda RX-7 '90</t>
  </si>
  <si>
    <t xml:space="preserve">Mazda</t>
  </si>
  <si>
    <t xml:space="preserve">Savanna RX-7</t>
  </si>
  <si>
    <t xml:space="preserve">Mazda 323 GT-R</t>
  </si>
  <si>
    <t xml:space="preserve">323 GT-R</t>
  </si>
  <si>
    <t xml:space="preserve">Mazda MX-5 '94</t>
  </si>
  <si>
    <t xml:space="preserve">MX-5 Miata</t>
  </si>
  <si>
    <t xml:space="preserve">Mazda RX-7 '97</t>
  </si>
  <si>
    <t xml:space="preserve">RX-7</t>
  </si>
  <si>
    <t xml:space="preserve">RX-7 Spirit R</t>
  </si>
  <si>
    <t xml:space="preserve">RX-7 Spirit R Type-A</t>
  </si>
  <si>
    <t xml:space="preserve">Mazda MX-5 '05</t>
  </si>
  <si>
    <t xml:space="preserve">Mazdaspeed MX-5</t>
  </si>
  <si>
    <t xml:space="preserve">3 Traffic</t>
  </si>
  <si>
    <t xml:space="preserve">Mazda RX-8</t>
  </si>
  <si>
    <t xml:space="preserve">RX-8 R3</t>
  </si>
  <si>
    <t xml:space="preserve">Mazda MX-5 '13</t>
  </si>
  <si>
    <t xml:space="preserve">MX-5</t>
  </si>
  <si>
    <t xml:space="preserve">Mazda MX-5 '16</t>
  </si>
  <si>
    <t xml:space="preserve">McLaren F1</t>
  </si>
  <si>
    <t xml:space="preserve">McLaren</t>
  </si>
  <si>
    <t xml:space="preserve">F1</t>
  </si>
  <si>
    <t xml:space="preserve">McLaren F1 GT</t>
  </si>
  <si>
    <t xml:space="preserve">F1 GT</t>
  </si>
  <si>
    <t xml:space="preserve">McLaren 12C</t>
  </si>
  <si>
    <t xml:space="preserve">12C Coupé</t>
  </si>
  <si>
    <t xml:space="preserve">McLaren P1</t>
  </si>
  <si>
    <t xml:space="preserve">P1</t>
  </si>
  <si>
    <t xml:space="preserve">650S Spider</t>
  </si>
  <si>
    <t xml:space="preserve">McLaren 570S</t>
  </si>
  <si>
    <t xml:space="preserve">570S Coupé</t>
  </si>
  <si>
    <t xml:space="preserve">McLaren 650S</t>
  </si>
  <si>
    <t xml:space="preserve">650S Coupé</t>
  </si>
  <si>
    <t xml:space="preserve">McLaren Senna</t>
  </si>
  <si>
    <t xml:space="preserve">Senna</t>
  </si>
  <si>
    <t xml:space="preserve">McLaren 600LT</t>
  </si>
  <si>
    <t xml:space="preserve">600LT Coupé</t>
  </si>
  <si>
    <t xml:space="preserve">McLaren 720S</t>
  </si>
  <si>
    <t xml:space="preserve">720S Coupé</t>
  </si>
  <si>
    <t xml:space="preserve">Speedtail '19</t>
  </si>
  <si>
    <t xml:space="preserve">Speedtail</t>
  </si>
  <si>
    <t xml:space="preserve">720S Spider</t>
  </si>
  <si>
    <t xml:space="preserve">McLaren GT</t>
  </si>
  <si>
    <t xml:space="preserve">McLaren 620R</t>
  </si>
  <si>
    <t xml:space="preserve">620R</t>
  </si>
  <si>
    <t xml:space="preserve">McLaren 765LT</t>
  </si>
  <si>
    <t xml:space="preserve">765LT Coupe</t>
  </si>
  <si>
    <t xml:space="preserve">McL. Sabre '21</t>
  </si>
  <si>
    <t xml:space="preserve">Sabre</t>
  </si>
  <si>
    <t xml:space="preserve">McL. Artura '23</t>
  </si>
  <si>
    <t xml:space="preserve">Artura</t>
  </si>
  <si>
    <t xml:space="preserve">M-B AMG GT</t>
  </si>
  <si>
    <t xml:space="preserve">Mercedes-AMG</t>
  </si>
  <si>
    <t xml:space="preserve">GT S</t>
  </si>
  <si>
    <t xml:space="preserve">M-B AMG C 63 '16</t>
  </si>
  <si>
    <t xml:space="preserve">C 63 S Coupé</t>
  </si>
  <si>
    <t xml:space="preserve">M-B AMG GTR</t>
  </si>
  <si>
    <t xml:space="preserve">GT R</t>
  </si>
  <si>
    <t xml:space="preserve">Mercedes-AMG E63</t>
  </si>
  <si>
    <t xml:space="preserve">E 63 S</t>
  </si>
  <si>
    <t xml:space="preserve">M-B GT 4 '18</t>
  </si>
  <si>
    <t xml:space="preserve">GT 4-Door Coupé</t>
  </si>
  <si>
    <t xml:space="preserve">M-AMG GT3</t>
  </si>
  <si>
    <t xml:space="preserve">GT3</t>
  </si>
  <si>
    <t xml:space="preserve">Mercedes-AMG ONE</t>
  </si>
  <si>
    <t xml:space="preserve">AMG GT Black</t>
  </si>
  <si>
    <t xml:space="preserve">GT Black Series</t>
  </si>
  <si>
    <t xml:space="preserve">M-AMG SL 63 '21</t>
  </si>
  <si>
    <t xml:space="preserve">SL 63</t>
  </si>
  <si>
    <t xml:space="preserve">M-B SSK</t>
  </si>
  <si>
    <t xml:space="preserve">Mercedes-Benz</t>
  </si>
  <si>
    <t xml:space="preserve">SSK</t>
  </si>
  <si>
    <t xml:space="preserve">M-B W154</t>
  </si>
  <si>
    <t xml:space="preserve">W154</t>
  </si>
  <si>
    <t xml:space="preserve">M-B 300SL</t>
  </si>
  <si>
    <t xml:space="preserve">300 SL Coupé</t>
  </si>
  <si>
    <t xml:space="preserve">M-B 300 SLR</t>
  </si>
  <si>
    <t xml:space="preserve">300 SLR</t>
  </si>
  <si>
    <t xml:space="preserve">M-B 280 SL</t>
  </si>
  <si>
    <t xml:space="preserve">280 SL</t>
  </si>
  <si>
    <t xml:space="preserve">AMG Hammer Wagon</t>
  </si>
  <si>
    <t xml:space="preserve">AMG Hammer Coupe</t>
  </si>
  <si>
    <t xml:space="preserve">M-B 190E</t>
  </si>
  <si>
    <t xml:space="preserve">190E 2.5-16 Evolution II</t>
  </si>
  <si>
    <t xml:space="preserve">M-B 500 E</t>
  </si>
  <si>
    <t xml:space="preserve">500 E</t>
  </si>
  <si>
    <t xml:space="preserve">M-B CLK-GTR FE</t>
  </si>
  <si>
    <t xml:space="preserve">AMG CLK GTR Forza Edition</t>
  </si>
  <si>
    <t xml:space="preserve">M-B CLK-GTR</t>
  </si>
  <si>
    <t xml:space="preserve">AMG CLK GTR</t>
  </si>
  <si>
    <t xml:space="preserve">M-B SL65</t>
  </si>
  <si>
    <t xml:space="preserve">SL 65 AMG Black Series</t>
  </si>
  <si>
    <t xml:space="preserve">M-B SLS AMG</t>
  </si>
  <si>
    <t xml:space="preserve">SLS AMG</t>
  </si>
  <si>
    <t xml:space="preserve">M-B C63</t>
  </si>
  <si>
    <t xml:space="preserve">C 63 AMG Coupé Black Series</t>
  </si>
  <si>
    <t xml:space="preserve">M-B SLK</t>
  </si>
  <si>
    <t xml:space="preserve">SLK 55 AMG</t>
  </si>
  <si>
    <t xml:space="preserve">M-B A45</t>
  </si>
  <si>
    <t xml:space="preserve">A 45 AMG</t>
  </si>
  <si>
    <t xml:space="preserve">M-B E63</t>
  </si>
  <si>
    <t xml:space="preserve">E 63 AMG</t>
  </si>
  <si>
    <t xml:space="preserve">M-B G 65</t>
  </si>
  <si>
    <t xml:space="preserve">G 65 AMG</t>
  </si>
  <si>
    <t xml:space="preserve">M-B G 63 6x6</t>
  </si>
  <si>
    <t xml:space="preserve">G 63 AMG 6x6</t>
  </si>
  <si>
    <t xml:space="preserve">M-B Unimog</t>
  </si>
  <si>
    <t xml:space="preserve">Unimog U5023</t>
  </si>
  <si>
    <t xml:space="preserve">Trucks</t>
  </si>
  <si>
    <t xml:space="preserve">#24 M-B Truck FE</t>
  </si>
  <si>
    <t xml:space="preserve">#24 Tankpool24 Racing Truck Forza Edition</t>
  </si>
  <si>
    <t xml:space="preserve">#24 M-B Truck</t>
  </si>
  <si>
    <t xml:space="preserve">#24 Tankpool24 Racing Truck</t>
  </si>
  <si>
    <t xml:space="preserve">M-B X-Class</t>
  </si>
  <si>
    <t xml:space="preserve">X-Class</t>
  </si>
  <si>
    <t xml:space="preserve">Mercury Cyclone</t>
  </si>
  <si>
    <t xml:space="preserve">Mercury</t>
  </si>
  <si>
    <t xml:space="preserve">Cyclone Spoiler</t>
  </si>
  <si>
    <t xml:space="preserve">Meyers Manx FE</t>
  </si>
  <si>
    <t xml:space="preserve">Meyers</t>
  </si>
  <si>
    <t xml:space="preserve">Manx Forza Edition</t>
  </si>
  <si>
    <t xml:space="preserve">Meyers Manx</t>
  </si>
  <si>
    <t xml:space="preserve">Manx</t>
  </si>
  <si>
    <t xml:space="preserve">Meyers Manx 2.0</t>
  </si>
  <si>
    <t xml:space="preserve">Manx 2.0 EV</t>
  </si>
  <si>
    <t xml:space="preserve">MG Metro 6R4</t>
  </si>
  <si>
    <t xml:space="preserve">MG</t>
  </si>
  <si>
    <t xml:space="preserve">Metro 6R4</t>
  </si>
  <si>
    <t xml:space="preserve">MG SV-R '05</t>
  </si>
  <si>
    <t xml:space="preserve">XPower SV-R</t>
  </si>
  <si>
    <t xml:space="preserve">MG MG3</t>
  </si>
  <si>
    <t xml:space="preserve">MG3</t>
  </si>
  <si>
    <t xml:space="preserve">#20 MG MG6</t>
  </si>
  <si>
    <t xml:space="preserve">#20 MG6 XPower</t>
  </si>
  <si>
    <t xml:space="preserve">MG6 XPower</t>
  </si>
  <si>
    <t xml:space="preserve">MG Cyberster</t>
  </si>
  <si>
    <t xml:space="preserve">Cyberster</t>
  </si>
  <si>
    <t xml:space="preserve">MG MG7</t>
  </si>
  <si>
    <t xml:space="preserve">MG7</t>
  </si>
  <si>
    <t xml:space="preserve">MINI '65 FE</t>
  </si>
  <si>
    <t xml:space="preserve">MINI</t>
  </si>
  <si>
    <t xml:space="preserve">Cooper S Forza Edition</t>
  </si>
  <si>
    <t xml:space="preserve">MINI '65</t>
  </si>
  <si>
    <t xml:space="preserve">Cooper S</t>
  </si>
  <si>
    <t xml:space="preserve">MINI JCW '09</t>
  </si>
  <si>
    <t xml:space="preserve">John Cooper Works</t>
  </si>
  <si>
    <t xml:space="preserve">MINI JCW '12</t>
  </si>
  <si>
    <t xml:space="preserve">John Cooper Works GP</t>
  </si>
  <si>
    <t xml:space="preserve">MINI X-Raid</t>
  </si>
  <si>
    <t xml:space="preserve">X-Raid All4 Racing Countryman</t>
  </si>
  <si>
    <t xml:space="preserve">MINI JCW Buggy</t>
  </si>
  <si>
    <t xml:space="preserve">X-Raid John Cooper Works Buggy</t>
  </si>
  <si>
    <t xml:space="preserve">MINI Countryman</t>
  </si>
  <si>
    <t xml:space="preserve">John Cooper Works Countryman All4</t>
  </si>
  <si>
    <t xml:space="preserve">MINI JCW GP '21</t>
  </si>
  <si>
    <t xml:space="preserve">Starion ESI-R</t>
  </si>
  <si>
    <t xml:space="preserve">Mitsubishi</t>
  </si>
  <si>
    <t xml:space="preserve">Galant VR-4</t>
  </si>
  <si>
    <t xml:space="preserve">Galant Traffic</t>
  </si>
  <si>
    <t xml:space="preserve">Eclipse GSX</t>
  </si>
  <si>
    <t xml:space="preserve">Mitsubishi GTO</t>
  </si>
  <si>
    <t xml:space="preserve">GTO</t>
  </si>
  <si>
    <t xml:space="preserve">Lancer GSR '99</t>
  </si>
  <si>
    <t xml:space="preserve">Lancer Evolution VI GSR</t>
  </si>
  <si>
    <t xml:space="preserve">Lancer MR '04</t>
  </si>
  <si>
    <t xml:space="preserve">Lancer Evolution VIII MR</t>
  </si>
  <si>
    <t xml:space="preserve">Modern Rally</t>
  </si>
  <si>
    <t xml:space="preserve">#1 Evolution TA</t>
  </si>
  <si>
    <t xml:space="preserve">#1 Sierra Sierra Enterprises Lancer Evolution Time Attack</t>
  </si>
  <si>
    <t xml:space="preserve">Lancer MR '06</t>
  </si>
  <si>
    <t xml:space="preserve">Lancer Evolution IX MR</t>
  </si>
  <si>
    <t xml:space="preserve">Lancer GSR '08</t>
  </si>
  <si>
    <t xml:space="preserve">Lancer Evolution X GSR</t>
  </si>
  <si>
    <t xml:space="preserve">Lancer GSR WP</t>
  </si>
  <si>
    <t xml:space="preserve">Lancer Evolution X GSR "Welcome Pack"</t>
  </si>
  <si>
    <t xml:space="preserve">Morgan 3 Wheeler</t>
  </si>
  <si>
    <t xml:space="preserve">Morgan</t>
  </si>
  <si>
    <t xml:space="preserve">3 Wheeler</t>
  </si>
  <si>
    <t xml:space="preserve">Morgan Aero GT</t>
  </si>
  <si>
    <t xml:space="preserve">Aero GT</t>
  </si>
  <si>
    <t xml:space="preserve">Morris Minor FE</t>
  </si>
  <si>
    <t xml:space="preserve">Morris</t>
  </si>
  <si>
    <t xml:space="preserve">Minor 1000 Forza Edition</t>
  </si>
  <si>
    <t xml:space="preserve">Morris Minor</t>
  </si>
  <si>
    <t xml:space="preserve">Minor 1000</t>
  </si>
  <si>
    <t xml:space="preserve">Morris Traveler</t>
  </si>
  <si>
    <t xml:space="preserve">Minor Series II Traveler</t>
  </si>
  <si>
    <t xml:space="preserve">Morris Traveller</t>
  </si>
  <si>
    <t xml:space="preserve">Mini-Traveller</t>
  </si>
  <si>
    <t xml:space="preserve">Mosler MT900 GT3</t>
  </si>
  <si>
    <t xml:space="preserve">Mosler</t>
  </si>
  <si>
    <t xml:space="preserve">MT900 GT3</t>
  </si>
  <si>
    <t xml:space="preserve">Mosler MT900S</t>
  </si>
  <si>
    <t xml:space="preserve">MT900S</t>
  </si>
  <si>
    <t xml:space="preserve">Napier Railton</t>
  </si>
  <si>
    <t xml:space="preserve">Napier</t>
  </si>
  <si>
    <t xml:space="preserve">Napier-Railton</t>
  </si>
  <si>
    <t xml:space="preserve">NIO EP9</t>
  </si>
  <si>
    <t xml:space="preserve">NIO</t>
  </si>
  <si>
    <t xml:space="preserve">EP9</t>
  </si>
  <si>
    <t xml:space="preserve">Fairlady Z '69</t>
  </si>
  <si>
    <t xml:space="preserve">Nissan</t>
  </si>
  <si>
    <t xml:space="preserve">Fairlady Z 432</t>
  </si>
  <si>
    <t xml:space="preserve">Nissan GT-R '71</t>
  </si>
  <si>
    <t xml:space="preserve">Skyline 2000GT-R</t>
  </si>
  <si>
    <t xml:space="preserve">Nissan GT-R '73</t>
  </si>
  <si>
    <t xml:space="preserve">Skyline H/T 2000GT-R</t>
  </si>
  <si>
    <t xml:space="preserve">Nissan Safari</t>
  </si>
  <si>
    <t xml:space="preserve">Safari Turbo</t>
  </si>
  <si>
    <t xml:space="preserve">Nissan GTS-R '87</t>
  </si>
  <si>
    <t xml:space="preserve">Skyline GTS-R (HR31)</t>
  </si>
  <si>
    <t xml:space="preserve">Nissan Pulsar</t>
  </si>
  <si>
    <t xml:space="preserve">Pulsar GTI-R</t>
  </si>
  <si>
    <t xml:space="preserve">Silvia '92</t>
  </si>
  <si>
    <t xml:space="preserve">Silvia CLUB K's</t>
  </si>
  <si>
    <t xml:space="preserve">Nissan GT-R '93</t>
  </si>
  <si>
    <t xml:space="preserve">Skyline GT-R V-Spec</t>
  </si>
  <si>
    <t xml:space="preserve">Nissan 240SX</t>
  </si>
  <si>
    <t xml:space="preserve">240SX SE</t>
  </si>
  <si>
    <t xml:space="preserve">Fairlady Z '94</t>
  </si>
  <si>
    <t xml:space="preserve">Fairlady Z Version S Twin Turbo</t>
  </si>
  <si>
    <t xml:space="preserve">Silvia '94</t>
  </si>
  <si>
    <t xml:space="preserve">Silvia K's</t>
  </si>
  <si>
    <t xml:space="preserve">Nissan GT-R '95</t>
  </si>
  <si>
    <t xml:space="preserve">Nismo GT-R LM</t>
  </si>
  <si>
    <t xml:space="preserve">Nissan GT-R '97</t>
  </si>
  <si>
    <t xml:space="preserve">Nissan R390</t>
  </si>
  <si>
    <t xml:space="preserve">R390 (GT1)</t>
  </si>
  <si>
    <t xml:space="preserve">Silvia '98</t>
  </si>
  <si>
    <t xml:space="preserve">Silvia K's AERO</t>
  </si>
  <si>
    <t xml:space="preserve">Silvia '00</t>
  </si>
  <si>
    <t xml:space="preserve">Silvia Spec-R</t>
  </si>
  <si>
    <t xml:space="preserve">Nissan GT-R '02</t>
  </si>
  <si>
    <t xml:space="preserve">Skyline GT-R V-Spec II</t>
  </si>
  <si>
    <t xml:space="preserve">Fairlady Z FE</t>
  </si>
  <si>
    <t xml:space="preserve">Fairlady Z Forza Edition</t>
  </si>
  <si>
    <t xml:space="preserve">350Z Hi Car</t>
  </si>
  <si>
    <t xml:space="preserve">Donut Media 350Z 'Hi Car'</t>
  </si>
  <si>
    <t xml:space="preserve">Fairlady Z '03</t>
  </si>
  <si>
    <t xml:space="preserve">Fairlady Z</t>
  </si>
  <si>
    <t xml:space="preserve">350Z Low Car</t>
  </si>
  <si>
    <t xml:space="preserve">Donut Media 350Z 'Low Car'</t>
  </si>
  <si>
    <t xml:space="preserve">#23 Nissan RR</t>
  </si>
  <si>
    <t xml:space="preserve">Pickup #23 Rally Raid</t>
  </si>
  <si>
    <t xml:space="preserve">Nissan Tsuru '10</t>
  </si>
  <si>
    <t xml:space="preserve">Tsuru</t>
  </si>
  <si>
    <t xml:space="preserve">Nissan 370Z</t>
  </si>
  <si>
    <t xml:space="preserve">370Z</t>
  </si>
  <si>
    <t xml:space="preserve">Nissan GT-R '12</t>
  </si>
  <si>
    <t xml:space="preserve">GT-R Black Edition (R35)</t>
  </si>
  <si>
    <t xml:space="preserve">Nissan TITAN</t>
  </si>
  <si>
    <t xml:space="preserve">TITAN Warrior Concept</t>
  </si>
  <si>
    <t xml:space="preserve">Nissan GT-R '17</t>
  </si>
  <si>
    <t xml:space="preserve">GT-R (R35)</t>
  </si>
  <si>
    <t xml:space="preserve">Nissan Sentra</t>
  </si>
  <si>
    <t xml:space="preserve">Sentra NISMO</t>
  </si>
  <si>
    <t xml:space="preserve">Nissan 370Z '19</t>
  </si>
  <si>
    <t xml:space="preserve">370Z Nismo</t>
  </si>
  <si>
    <t xml:space="preserve">Nissan GTR '20</t>
  </si>
  <si>
    <t xml:space="preserve">GT-R Nismo (R35)</t>
  </si>
  <si>
    <t xml:space="preserve">Nissan Z '23</t>
  </si>
  <si>
    <t xml:space="preserve">Z</t>
  </si>
  <si>
    <t xml:space="preserve">Noble M400</t>
  </si>
  <si>
    <t xml:space="preserve">Noble</t>
  </si>
  <si>
    <t xml:space="preserve">M400</t>
  </si>
  <si>
    <t xml:space="preserve">Noble M600</t>
  </si>
  <si>
    <t xml:space="preserve">M600</t>
  </si>
  <si>
    <t xml:space="preserve">Toronado '66</t>
  </si>
  <si>
    <t xml:space="preserve">Oldsmobile</t>
  </si>
  <si>
    <t xml:space="preserve">Toronado</t>
  </si>
  <si>
    <t xml:space="preserve">Opel Manta 400</t>
  </si>
  <si>
    <t xml:space="preserve">Opel</t>
  </si>
  <si>
    <t xml:space="preserve">Manta 400</t>
  </si>
  <si>
    <t xml:space="preserve">Pagani Zonda C</t>
  </si>
  <si>
    <t xml:space="preserve">Pagani</t>
  </si>
  <si>
    <t xml:space="preserve">Zonda Cinque Roadster</t>
  </si>
  <si>
    <t xml:space="preserve">Zonda Oreo</t>
  </si>
  <si>
    <t xml:space="preserve">Zonda Cinque Roadster 'Oreo Edition'</t>
  </si>
  <si>
    <t xml:space="preserve">Pagani Zonda R</t>
  </si>
  <si>
    <t xml:space="preserve">Zonda R</t>
  </si>
  <si>
    <t xml:space="preserve">Pagani Huayra</t>
  </si>
  <si>
    <t xml:space="preserve">Huayra</t>
  </si>
  <si>
    <t xml:space="preserve">Pagani Huayra FE</t>
  </si>
  <si>
    <t xml:space="preserve">Huayra BC Forza Edition</t>
  </si>
  <si>
    <t xml:space="preserve">Pagani Huayra BC</t>
  </si>
  <si>
    <t xml:space="preserve">Huayra BC</t>
  </si>
  <si>
    <t xml:space="preserve">Huayra R '22</t>
  </si>
  <si>
    <t xml:space="preserve">Huayra R</t>
  </si>
  <si>
    <t xml:space="preserve">Peel P50</t>
  </si>
  <si>
    <t xml:space="preserve">Peel</t>
  </si>
  <si>
    <t xml:space="preserve">P50</t>
  </si>
  <si>
    <t xml:space="preserve">Peel Trident</t>
  </si>
  <si>
    <t xml:space="preserve">Trident</t>
  </si>
  <si>
    <t xml:space="preserve">Penhall Cholla</t>
  </si>
  <si>
    <t xml:space="preserve">Penhall</t>
  </si>
  <si>
    <t xml:space="preserve">The Cholla</t>
  </si>
  <si>
    <t xml:space="preserve">Peugeot 205 T16</t>
  </si>
  <si>
    <t xml:space="preserve">Peugeot</t>
  </si>
  <si>
    <t xml:space="preserve">205 Turbo 16</t>
  </si>
  <si>
    <t xml:space="preserve">205 T16</t>
  </si>
  <si>
    <t xml:space="preserve">Peugeot 205 R</t>
  </si>
  <si>
    <t xml:space="preserve">205 Rallye</t>
  </si>
  <si>
    <t xml:space="preserve">Peugeot 207 S</t>
  </si>
  <si>
    <t xml:space="preserve">207 Super 2000</t>
  </si>
  <si>
    <t xml:space="preserve">Plymouth Fury</t>
  </si>
  <si>
    <t xml:space="preserve">Plymouth</t>
  </si>
  <si>
    <t xml:space="preserve">Fury</t>
  </si>
  <si>
    <t xml:space="preserve">Belvedere '64</t>
  </si>
  <si>
    <t xml:space="preserve">Belvedere</t>
  </si>
  <si>
    <t xml:space="preserve">Barracuda</t>
  </si>
  <si>
    <t xml:space="preserve">Barracuda Formula-S</t>
  </si>
  <si>
    <t xml:space="preserve">Plymouth Cuda</t>
  </si>
  <si>
    <t xml:space="preserve">Cuda 426 HEMI</t>
  </si>
  <si>
    <t xml:space="preserve">RZR 1000</t>
  </si>
  <si>
    <t xml:space="preserve">Polaris</t>
  </si>
  <si>
    <t xml:space="preserve">RZR XP 1000 EPS</t>
  </si>
  <si>
    <t xml:space="preserve">RZR Racing</t>
  </si>
  <si>
    <t xml:space="preserve">RZR Pro XP Factory Racing Limited</t>
  </si>
  <si>
    <t xml:space="preserve">Polaris RZR Pro</t>
  </si>
  <si>
    <t xml:space="preserve">RZR Pro XP Ultimate</t>
  </si>
  <si>
    <t xml:space="preserve">Pontiac GTO '65</t>
  </si>
  <si>
    <t xml:space="preserve">Pontiac</t>
  </si>
  <si>
    <t xml:space="preserve">Firebird '68</t>
  </si>
  <si>
    <t xml:space="preserve">Firebird</t>
  </si>
  <si>
    <t xml:space="preserve">Pontiac GTO '69</t>
  </si>
  <si>
    <t xml:space="preserve">GTO Judge</t>
  </si>
  <si>
    <t xml:space="preserve">Pontiac T/A '73</t>
  </si>
  <si>
    <t xml:space="preserve">Firebird Trans Am SD-455</t>
  </si>
  <si>
    <t xml:space="preserve">Pontiac T/A '77</t>
  </si>
  <si>
    <t xml:space="preserve">Firebird Trans Am</t>
  </si>
  <si>
    <t xml:space="preserve">Firebird TA FE</t>
  </si>
  <si>
    <t xml:space="preserve">Firebird Trans Am GTA Forza Edition</t>
  </si>
  <si>
    <t xml:space="preserve">Pontiac T/A '87</t>
  </si>
  <si>
    <t xml:space="preserve">Firebird Trans Am GTA</t>
  </si>
  <si>
    <t xml:space="preserve">Porsche 356 SL</t>
  </si>
  <si>
    <t xml:space="preserve">Porsche</t>
  </si>
  <si>
    <t xml:space="preserve">#46 356 SL Gmünd Coupe</t>
  </si>
  <si>
    <t xml:space="preserve">Porsche 550</t>
  </si>
  <si>
    <t xml:space="preserve">550A Spyder</t>
  </si>
  <si>
    <t xml:space="preserve">Porsche 356 '59</t>
  </si>
  <si>
    <t xml:space="preserve">356 A 1600 Super</t>
  </si>
  <si>
    <t xml:space="preserve">Emory 356 C '64</t>
  </si>
  <si>
    <t xml:space="preserve">356 C Cabriolet Emory Special</t>
  </si>
  <si>
    <t xml:space="preserve">Porsche 906 '66</t>
  </si>
  <si>
    <t xml:space="preserve">906 Carrera 6</t>
  </si>
  <si>
    <t xml:space="preserve">Porsche 917 LH</t>
  </si>
  <si>
    <t xml:space="preserve">#3 917 LH</t>
  </si>
  <si>
    <t xml:space="preserve">Porsche 914/6</t>
  </si>
  <si>
    <t xml:space="preserve">914/6</t>
  </si>
  <si>
    <t xml:space="preserve">#23 Porsche 917</t>
  </si>
  <si>
    <t xml:space="preserve">#23 917/20</t>
  </si>
  <si>
    <t xml:space="preserve">911 Carrera '73</t>
  </si>
  <si>
    <t xml:space="preserve">911 Carrera RS</t>
  </si>
  <si>
    <t xml:space="preserve">911 Turbo '82</t>
  </si>
  <si>
    <t xml:space="preserve">911 Turbo 3.3</t>
  </si>
  <si>
    <t xml:space="preserve">#185 Porsche 959</t>
  </si>
  <si>
    <t xml:space="preserve">#185 959 Prodrive Rally Raid</t>
  </si>
  <si>
    <t xml:space="preserve">Porsche 959</t>
  </si>
  <si>
    <t xml:space="preserve">959</t>
  </si>
  <si>
    <t xml:space="preserve">#65 911 Desert</t>
  </si>
  <si>
    <t xml:space="preserve">#65 Rothsport Racing 911 "Desert Flyer"</t>
  </si>
  <si>
    <t xml:space="preserve">Porsche 944</t>
  </si>
  <si>
    <t xml:space="preserve">944 Turbo</t>
  </si>
  <si>
    <t xml:space="preserve">Porsche 911 '90</t>
  </si>
  <si>
    <t xml:space="preserve">911 Reimagined by Singer - DLS</t>
  </si>
  <si>
    <t xml:space="preserve">Porsche 968</t>
  </si>
  <si>
    <t xml:space="preserve">968 Turbo S</t>
  </si>
  <si>
    <t xml:space="preserve">Porsche 911C2 GW</t>
  </si>
  <si>
    <t xml:space="preserve">911 Carrera 2 by Gunther Werks</t>
  </si>
  <si>
    <t xml:space="preserve">911 GT2 '95</t>
  </si>
  <si>
    <t xml:space="preserve">911 GT2</t>
  </si>
  <si>
    <t xml:space="preserve">Porsche 911 GT1</t>
  </si>
  <si>
    <t xml:space="preserve">911 GT1 Strassenversion</t>
  </si>
  <si>
    <t xml:space="preserve">Porsche Carrera</t>
  </si>
  <si>
    <t xml:space="preserve">Carrera GT</t>
  </si>
  <si>
    <t xml:space="preserve">911 GT3 '04</t>
  </si>
  <si>
    <t xml:space="preserve">911 GT3</t>
  </si>
  <si>
    <t xml:space="preserve">Porsche 911 SC</t>
  </si>
  <si>
    <t xml:space="preserve">911 Sport Classic</t>
  </si>
  <si>
    <t xml:space="preserve">911 GT2 RS '12</t>
  </si>
  <si>
    <t xml:space="preserve">911 GT2 RS</t>
  </si>
  <si>
    <t xml:space="preserve">911 GT3 RS4 '12</t>
  </si>
  <si>
    <t xml:space="preserve">911 GT3 RS 4.0</t>
  </si>
  <si>
    <t xml:space="preserve">Porsche 918</t>
  </si>
  <si>
    <t xml:space="preserve">918 Spyder</t>
  </si>
  <si>
    <t xml:space="preserve">911 Turbo '14</t>
  </si>
  <si>
    <t xml:space="preserve">911 Turbo S</t>
  </si>
  <si>
    <t xml:space="preserve">Porsche Cayman '15</t>
  </si>
  <si>
    <t xml:space="preserve">Cayman GTS</t>
  </si>
  <si>
    <t xml:space="preserve">911 GT3 RS '16</t>
  </si>
  <si>
    <t xml:space="preserve">911 GT3 RS</t>
  </si>
  <si>
    <t xml:space="preserve">Porsche Cayman '16</t>
  </si>
  <si>
    <t xml:space="preserve">Cayman GT4</t>
  </si>
  <si>
    <t xml:space="preserve">#92 Porsche RSR</t>
  </si>
  <si>
    <t xml:space="preserve">#92 Porsche GT Team 911 RSR</t>
  </si>
  <si>
    <t xml:space="preserve">Porsche Panamera</t>
  </si>
  <si>
    <t xml:space="preserve">Panamera Turbo</t>
  </si>
  <si>
    <t xml:space="preserve">Porsche 718 GTS</t>
  </si>
  <si>
    <t xml:space="preserve">718 Cayman GTS</t>
  </si>
  <si>
    <t xml:space="preserve">911 GT2 RS '18</t>
  </si>
  <si>
    <t xml:space="preserve">Porsche Cayenne</t>
  </si>
  <si>
    <t xml:space="preserve">Cayenne Turbo</t>
  </si>
  <si>
    <t xml:space="preserve">Porsche Macan RR</t>
  </si>
  <si>
    <t xml:space="preserve">Macan LPR Rally Raid</t>
  </si>
  <si>
    <t xml:space="preserve">Porsche GT3 R</t>
  </si>
  <si>
    <t xml:space="preserve">911 GT3 R</t>
  </si>
  <si>
    <t xml:space="preserve">911 GT3 RS FE</t>
  </si>
  <si>
    <t xml:space="preserve">911 GT3 RS Forza Edition</t>
  </si>
  <si>
    <t xml:space="preserve">#70 Porsche 935</t>
  </si>
  <si>
    <t xml:space="preserve">#70 Porsche Motorsport 935</t>
  </si>
  <si>
    <t xml:space="preserve">911 GT3 RS '19</t>
  </si>
  <si>
    <t xml:space="preserve">Porsche 911 '19</t>
  </si>
  <si>
    <t xml:space="preserve">911 Carrera S</t>
  </si>
  <si>
    <t xml:space="preserve">911 Speedster</t>
  </si>
  <si>
    <t xml:space="preserve">Macan Turbo '19</t>
  </si>
  <si>
    <t xml:space="preserve">Macan Turbo</t>
  </si>
  <si>
    <t xml:space="preserve">Porsche Taycan S</t>
  </si>
  <si>
    <t xml:space="preserve">Taycan Turbo S</t>
  </si>
  <si>
    <t xml:space="preserve">Taycan S WP</t>
  </si>
  <si>
    <t xml:space="preserve">Taycan Turbo S "Welcome Pack"</t>
  </si>
  <si>
    <t xml:space="preserve">911 GT3 '21</t>
  </si>
  <si>
    <t xml:space="preserve">Porsche MissionR</t>
  </si>
  <si>
    <t xml:space="preserve">Mission R</t>
  </si>
  <si>
    <t xml:space="preserve">Cayman GT4 RS</t>
  </si>
  <si>
    <t xml:space="preserve">718 Cayman GT4 RS</t>
  </si>
  <si>
    <t xml:space="preserve">Radical RXC</t>
  </si>
  <si>
    <t xml:space="preserve">Radical</t>
  </si>
  <si>
    <t xml:space="preserve">RXC Turbo</t>
  </si>
  <si>
    <t xml:space="preserve">RAESR TS '19</t>
  </si>
  <si>
    <t xml:space="preserve">RAESR</t>
  </si>
  <si>
    <t xml:space="preserve">Tachyon Speed</t>
  </si>
  <si>
    <t xml:space="preserve">RAM Power Wagon</t>
  </si>
  <si>
    <t xml:space="preserve">Ram</t>
  </si>
  <si>
    <t xml:space="preserve">2500 Power Wagon</t>
  </si>
  <si>
    <t xml:space="preserve">Reliant Supervan</t>
  </si>
  <si>
    <t xml:space="preserve">Reliant</t>
  </si>
  <si>
    <t xml:space="preserve">Supervan III</t>
  </si>
  <si>
    <t xml:space="preserve">Renault 8</t>
  </si>
  <si>
    <t xml:space="preserve">Renault</t>
  </si>
  <si>
    <t xml:space="preserve">8 Gordini</t>
  </si>
  <si>
    <t xml:space="preserve">Renault 4L '68</t>
  </si>
  <si>
    <t xml:space="preserve">4L Export</t>
  </si>
  <si>
    <t xml:space="preserve">Renault 5 Turbo</t>
  </si>
  <si>
    <t xml:space="preserve">5 Turbo</t>
  </si>
  <si>
    <t xml:space="preserve">Renault Clio '93</t>
  </si>
  <si>
    <t xml:space="preserve">Clio Williams</t>
  </si>
  <si>
    <t xml:space="preserve">Mégane R26.R</t>
  </si>
  <si>
    <t xml:space="preserve">Renault Clio '10</t>
  </si>
  <si>
    <t xml:space="preserve">Clio R.S.</t>
  </si>
  <si>
    <t xml:space="preserve">Megane RS 250</t>
  </si>
  <si>
    <t xml:space="preserve">Renault Clio '13</t>
  </si>
  <si>
    <t xml:space="preserve">Clio R.S. 200 EDC</t>
  </si>
  <si>
    <t xml:space="preserve">Renault Clio '16</t>
  </si>
  <si>
    <t xml:space="preserve">Clio R.S. 16 Concept</t>
  </si>
  <si>
    <t xml:space="preserve">MEGANE R.S. '18</t>
  </si>
  <si>
    <t xml:space="preserve">MEGANE R.S.</t>
  </si>
  <si>
    <t xml:space="preserve">Rimac Concept 2</t>
  </si>
  <si>
    <t xml:space="preserve">Rimac</t>
  </si>
  <si>
    <t xml:space="preserve">Concept Two</t>
  </si>
  <si>
    <t xml:space="preserve">Rimac Nevera</t>
  </si>
  <si>
    <t xml:space="preserve">Nevera</t>
  </si>
  <si>
    <t xml:space="preserve">Rivian R1T</t>
  </si>
  <si>
    <t xml:space="preserve">Rivian</t>
  </si>
  <si>
    <t xml:space="preserve">R1T</t>
  </si>
  <si>
    <t xml:space="preserve">Rivian R1S</t>
  </si>
  <si>
    <t xml:space="preserve">R1S</t>
  </si>
  <si>
    <t xml:space="preserve">#37 Pro 2 Truck</t>
  </si>
  <si>
    <t xml:space="preserve">RJ Anderson</t>
  </si>
  <si>
    <t xml:space="preserve">#37 Polaris RZR-Rockstar Energy Pro 2 Truck</t>
  </si>
  <si>
    <t xml:space="preserve">#37 Pro 4 Truck</t>
  </si>
  <si>
    <t xml:space="preserve">#37 Polaris RZR Pro 4 Truck</t>
  </si>
  <si>
    <t xml:space="preserve">Rossion Q1</t>
  </si>
  <si>
    <t xml:space="preserve">Rossion</t>
  </si>
  <si>
    <t xml:space="preserve">Q1</t>
  </si>
  <si>
    <t xml:space="preserve">Saleen S7</t>
  </si>
  <si>
    <t xml:space="preserve">Saleen</t>
  </si>
  <si>
    <t xml:space="preserve">S7</t>
  </si>
  <si>
    <t xml:space="preserve">Saleen S7 LM</t>
  </si>
  <si>
    <t xml:space="preserve">S7 LM</t>
  </si>
  <si>
    <t xml:space="preserve">Saleen S1 '18</t>
  </si>
  <si>
    <t xml:space="preserve">Sportruck XR</t>
  </si>
  <si>
    <t xml:space="preserve">Sportruck XR Black Label</t>
  </si>
  <si>
    <t xml:space="preserve">Schuppan 962CR</t>
  </si>
  <si>
    <t xml:space="preserve">Schuppan</t>
  </si>
  <si>
    <t xml:space="preserve">962CR</t>
  </si>
  <si>
    <t xml:space="preserve">Shelby Cobra 427</t>
  </si>
  <si>
    <t xml:space="preserve">Shelby</t>
  </si>
  <si>
    <t xml:space="preserve">Cobra 427 S/C</t>
  </si>
  <si>
    <t xml:space="preserve">Shelby Daytona</t>
  </si>
  <si>
    <t xml:space="preserve">Cobra Daytona Coupe</t>
  </si>
  <si>
    <t xml:space="preserve">Shelby GT500 '67</t>
  </si>
  <si>
    <t xml:space="preserve">GT 500</t>
  </si>
  <si>
    <t xml:space="preserve">#23 SIERRA ALPHA</t>
  </si>
  <si>
    <t xml:space="preserve">SIERRA Cars</t>
  </si>
  <si>
    <t xml:space="preserve">#23 Yokohama ALPHA</t>
  </si>
  <si>
    <t xml:space="preserve">SIERRA 700R</t>
  </si>
  <si>
    <t xml:space="preserve">700R</t>
  </si>
  <si>
    <t xml:space="preserve">SIERRA RX3</t>
  </si>
  <si>
    <t xml:space="preserve">RX3</t>
  </si>
  <si>
    <t xml:space="preserve">GTA Spano</t>
  </si>
  <si>
    <t xml:space="preserve">Spania GTA</t>
  </si>
  <si>
    <t xml:space="preserve">SUBARU BRAT</t>
  </si>
  <si>
    <t xml:space="preserve">SUBARU</t>
  </si>
  <si>
    <t xml:space="preserve">BRAT GL</t>
  </si>
  <si>
    <t xml:space="preserve">SUBARU LEGACY RS</t>
  </si>
  <si>
    <t xml:space="preserve">LEGACY RS</t>
  </si>
  <si>
    <t xml:space="preserve">SUBARU 22B</t>
  </si>
  <si>
    <t xml:space="preserve">Impreza 22B-STi Version</t>
  </si>
  <si>
    <t xml:space="preserve">SUBARU WRX '04</t>
  </si>
  <si>
    <t xml:space="preserve">Impreza WRX STi</t>
  </si>
  <si>
    <t xml:space="preserve">SUBARU WRX '05</t>
  </si>
  <si>
    <t xml:space="preserve">Legacy Traffic</t>
  </si>
  <si>
    <t xml:space="preserve">SUBARU WRX '08</t>
  </si>
  <si>
    <t xml:space="preserve">Impreza WRX STI</t>
  </si>
  <si>
    <t xml:space="preserve">SUBARU WRX '11</t>
  </si>
  <si>
    <t xml:space="preserve">WRX STI</t>
  </si>
  <si>
    <t xml:space="preserve">SUBARU BRZ</t>
  </si>
  <si>
    <t xml:space="preserve">BRZ</t>
  </si>
  <si>
    <t xml:space="preserve">SUBARU WRX '15</t>
  </si>
  <si>
    <t xml:space="preserve">SUBARU STI ARX</t>
  </si>
  <si>
    <t xml:space="preserve">WRX STI ARX Supercar</t>
  </si>
  <si>
    <t xml:space="preserve">SUBARU STI S209</t>
  </si>
  <si>
    <t xml:space="preserve">STI S209</t>
  </si>
  <si>
    <t xml:space="preserve">SUBARU BRZ '22</t>
  </si>
  <si>
    <t xml:space="preserve">Sports 800 '65</t>
  </si>
  <si>
    <t xml:space="preserve">Toyota</t>
  </si>
  <si>
    <t xml:space="preserve">Sports 800</t>
  </si>
  <si>
    <t xml:space="preserve">Toyota 2000GT</t>
  </si>
  <si>
    <t xml:space="preserve">2000GT</t>
  </si>
  <si>
    <t xml:space="preserve">Toyota Celica'74</t>
  </si>
  <si>
    <t xml:space="preserve">Celica GT</t>
  </si>
  <si>
    <t xml:space="preserve">Toyota FJ40</t>
  </si>
  <si>
    <t xml:space="preserve">FJ40</t>
  </si>
  <si>
    <t xml:space="preserve">Toyota Trueno</t>
  </si>
  <si>
    <t xml:space="preserve">Sprinter Trueno GT Apex</t>
  </si>
  <si>
    <t xml:space="preserve">Toyota MR2 '89</t>
  </si>
  <si>
    <t xml:space="preserve">MR2 SC</t>
  </si>
  <si>
    <t xml:space="preserve">Toyota Celica'92</t>
  </si>
  <si>
    <t xml:space="preserve">Celica GT-Four RC ST185</t>
  </si>
  <si>
    <t xml:space="preserve">Toyota Supra '92</t>
  </si>
  <si>
    <t xml:space="preserve">Supra 2.0 GT</t>
  </si>
  <si>
    <t xml:space="preserve">#1 Toyota T100</t>
  </si>
  <si>
    <t xml:space="preserve">#1 T100 Baja Truck</t>
  </si>
  <si>
    <t xml:space="preserve">Toyota Celica'94</t>
  </si>
  <si>
    <t xml:space="preserve">Celica GT-Four ST205</t>
  </si>
  <si>
    <t xml:space="preserve">Toyota MR2 '95</t>
  </si>
  <si>
    <t xml:space="preserve">MR2 GT</t>
  </si>
  <si>
    <t xml:space="preserve">Toyota Supra '98</t>
  </si>
  <si>
    <t xml:space="preserve">Supra RZ</t>
  </si>
  <si>
    <t xml:space="preserve">Supra '98 WP</t>
  </si>
  <si>
    <t xml:space="preserve">Supra RZ "Welcome Pack"</t>
  </si>
  <si>
    <t xml:space="preserve">Toyota Celica'03</t>
  </si>
  <si>
    <t xml:space="preserve">Celica SS-I</t>
  </si>
  <si>
    <t xml:space="preserve">Toyota AT38</t>
  </si>
  <si>
    <t xml:space="preserve">Hilux Arctic Trucks AT38</t>
  </si>
  <si>
    <t xml:space="preserve">Toyota 86</t>
  </si>
  <si>
    <t xml:space="preserve">86</t>
  </si>
  <si>
    <t xml:space="preserve">Toyota AT37</t>
  </si>
  <si>
    <t xml:space="preserve">Land Cruiser Arctic Trucks AT37</t>
  </si>
  <si>
    <t xml:space="preserve">Toyota 4Runner</t>
  </si>
  <si>
    <t xml:space="preserve">4Runner TRD Pro</t>
  </si>
  <si>
    <t xml:space="preserve">Toyota Tacoma</t>
  </si>
  <si>
    <t xml:space="preserve">Tacoma TRD Pro</t>
  </si>
  <si>
    <t xml:space="preserve">Toyota Supra '20</t>
  </si>
  <si>
    <t xml:space="preserve">GR Supra</t>
  </si>
  <si>
    <t xml:space="preserve">Toyota Tundra</t>
  </si>
  <si>
    <t xml:space="preserve">Tundra TRD Pro</t>
  </si>
  <si>
    <t xml:space="preserve">Toyota GR86 '22</t>
  </si>
  <si>
    <t xml:space="preserve">GR86</t>
  </si>
  <si>
    <t xml:space="preserve">TVR Speed 12</t>
  </si>
  <si>
    <t xml:space="preserve">TVR</t>
  </si>
  <si>
    <t xml:space="preserve">Cerbera Speed 12</t>
  </si>
  <si>
    <t xml:space="preserve">TVR Sagaris</t>
  </si>
  <si>
    <t xml:space="preserve">Sagaris</t>
  </si>
  <si>
    <t xml:space="preserve">TVR Griffith</t>
  </si>
  <si>
    <t xml:space="preserve">Griffith</t>
  </si>
  <si>
    <t xml:space="preserve">Ultima 1020</t>
  </si>
  <si>
    <t xml:space="preserve">Ultima</t>
  </si>
  <si>
    <t xml:space="preserve">Evolution Coupe 1020</t>
  </si>
  <si>
    <t xml:space="preserve">Vaux Carlton</t>
  </si>
  <si>
    <t xml:space="preserve">Vauxhall</t>
  </si>
  <si>
    <t xml:space="preserve">Lotus Carlton</t>
  </si>
  <si>
    <t xml:space="preserve">Vauxhall Monaro</t>
  </si>
  <si>
    <t xml:space="preserve">Monaro VXR</t>
  </si>
  <si>
    <t xml:space="preserve">VauxCorsa '16</t>
  </si>
  <si>
    <t xml:space="preserve">Corsa VXR</t>
  </si>
  <si>
    <t xml:space="preserve">Beetle '63 FE</t>
  </si>
  <si>
    <t xml:space="preserve">Volkswagen</t>
  </si>
  <si>
    <t xml:space="preserve">Beetle Forza Edition</t>
  </si>
  <si>
    <t xml:space="preserve">VW Beetle</t>
  </si>
  <si>
    <t xml:space="preserve">Beetle</t>
  </si>
  <si>
    <t xml:space="preserve">VW Type 2</t>
  </si>
  <si>
    <t xml:space="preserve">Type 2 De Luxe</t>
  </si>
  <si>
    <t xml:space="preserve">Beetle Traffic Taxi</t>
  </si>
  <si>
    <t xml:space="preserve">VW Doka '66</t>
  </si>
  <si>
    <t xml:space="preserve">Double Cab Pick-Up</t>
  </si>
  <si>
    <t xml:space="preserve">VW Class 5 Bug</t>
  </si>
  <si>
    <t xml:space="preserve">Class 5/1600 Baja Bug</t>
  </si>
  <si>
    <t xml:space="preserve">#1107 VW Bug</t>
  </si>
  <si>
    <t xml:space="preserve">#1107 Deser Dingo Racing Stock Bug</t>
  </si>
  <si>
    <t xml:space="preserve">VW Scirocco '81</t>
  </si>
  <si>
    <t xml:space="preserve">Scirocco S</t>
  </si>
  <si>
    <t xml:space="preserve">VW Pickup '82</t>
  </si>
  <si>
    <t xml:space="preserve">Pickup LX</t>
  </si>
  <si>
    <t xml:space="preserve">VW Golf GTI '83</t>
  </si>
  <si>
    <t xml:space="preserve">Golf GTI</t>
  </si>
  <si>
    <t xml:space="preserve">VW Golf '92</t>
  </si>
  <si>
    <t xml:space="preserve">Golf Gti 16v Mk2</t>
  </si>
  <si>
    <t xml:space="preserve">VW Corrado</t>
  </si>
  <si>
    <t xml:space="preserve">Corrado VR6</t>
  </si>
  <si>
    <t xml:space="preserve">VW Golf '98</t>
  </si>
  <si>
    <t xml:space="preserve">GTI VR6 Mk3</t>
  </si>
  <si>
    <t xml:space="preserve">GTI Traffic</t>
  </si>
  <si>
    <t xml:space="preserve">VW Golf '03</t>
  </si>
  <si>
    <t xml:space="preserve">Golf R32</t>
  </si>
  <si>
    <t xml:space="preserve">Bora Traffic</t>
  </si>
  <si>
    <t xml:space="preserve">VW Golf R '10</t>
  </si>
  <si>
    <t xml:space="preserve">Golf R</t>
  </si>
  <si>
    <t xml:space="preserve">VW Scirocco '11</t>
  </si>
  <si>
    <t xml:space="preserve">Scirocco R</t>
  </si>
  <si>
    <t xml:space="preserve">VW Santana '12</t>
  </si>
  <si>
    <t xml:space="preserve">Santana</t>
  </si>
  <si>
    <t xml:space="preserve">VW Golf R '14</t>
  </si>
  <si>
    <t xml:space="preserve">#34 VW Beetle</t>
  </si>
  <si>
    <t xml:space="preserve">#34 Andretti Beetle</t>
  </si>
  <si>
    <t xml:space="preserve">VW ID.4 '21</t>
  </si>
  <si>
    <t xml:space="preserve">ID.4</t>
  </si>
  <si>
    <t xml:space="preserve">VW Golf R '21</t>
  </si>
  <si>
    <t xml:space="preserve">VW Golf R '22</t>
  </si>
  <si>
    <t xml:space="preserve">Volvo 242 Turbo</t>
  </si>
  <si>
    <t xml:space="preserve">Volvo</t>
  </si>
  <si>
    <t xml:space="preserve">242 Turbo Evolution</t>
  </si>
  <si>
    <t xml:space="preserve">Volvo 850</t>
  </si>
  <si>
    <t xml:space="preserve">850 R</t>
  </si>
  <si>
    <t xml:space="preserve">Volvo V60</t>
  </si>
  <si>
    <t xml:space="preserve">V60 Polestar</t>
  </si>
  <si>
    <t xml:space="preserve">VUHL 05RR</t>
  </si>
  <si>
    <t xml:space="preserve">VUHL</t>
  </si>
  <si>
    <t xml:space="preserve">05RR</t>
  </si>
  <si>
    <t xml:space="preserve">Lykan HyperSport</t>
  </si>
  <si>
    <t xml:space="preserve">W Motors</t>
  </si>
  <si>
    <t xml:space="preserve">Willys Jeep</t>
  </si>
  <si>
    <t xml:space="preserve">Willys</t>
  </si>
  <si>
    <t xml:space="preserve">MB Jeep</t>
  </si>
  <si>
    <t xml:space="preserve">Wuling Sunshine</t>
  </si>
  <si>
    <t xml:space="preserve">Wuling</t>
  </si>
  <si>
    <t xml:space="preserve">Sunshine S</t>
  </si>
  <si>
    <t xml:space="preserve">Wuling Mini EV</t>
  </si>
  <si>
    <t xml:space="preserve">Hongguang Mini EV Macaron</t>
  </si>
  <si>
    <t xml:space="preserve">Xpeng P7</t>
  </si>
  <si>
    <t xml:space="preserve">Xpeng</t>
  </si>
  <si>
    <t xml:space="preserve">P7</t>
  </si>
  <si>
    <t xml:space="preserve">Zenvo ST1</t>
  </si>
  <si>
    <t xml:space="preserve">Zenvo</t>
  </si>
  <si>
    <t xml:space="preserve">ST1</t>
  </si>
  <si>
    <t xml:space="preserve">Zenvo TSR-S</t>
  </si>
  <si>
    <t xml:space="preserve">TSR-S</t>
  </si>
  <si>
    <t xml:space="preserve">Date</t>
  </si>
  <si>
    <t xml:space="preserve">Base Game</t>
  </si>
  <si>
    <t xml:space="preserve">Series 2</t>
  </si>
  <si>
    <t xml:space="preserve">Series 4</t>
  </si>
  <si>
    <t xml:space="preserve">Series 5</t>
  </si>
  <si>
    <t xml:space="preserve">Series 6</t>
  </si>
  <si>
    <t xml:space="preserve">Series 7</t>
  </si>
  <si>
    <t xml:space="preserve">Series 9</t>
  </si>
  <si>
    <t xml:space="preserve">Series 10</t>
  </si>
  <si>
    <t xml:space="preserve">Series 11</t>
  </si>
  <si>
    <t xml:space="preserve">Series 12</t>
  </si>
  <si>
    <t xml:space="preserve">Series 13</t>
  </si>
  <si>
    <t xml:space="preserve">Series 14</t>
  </si>
  <si>
    <t xml:space="preserve">Series 15</t>
  </si>
  <si>
    <t xml:space="preserve">Series 17</t>
  </si>
  <si>
    <t xml:space="preserve">Series 18</t>
  </si>
  <si>
    <t xml:space="preserve">Series 19</t>
  </si>
  <si>
    <t xml:space="preserve">Series 20</t>
  </si>
  <si>
    <t xml:space="preserve">Series 21</t>
  </si>
  <si>
    <t xml:space="preserve">Series 22</t>
  </si>
  <si>
    <t xml:space="preserve">Series 23</t>
  </si>
  <si>
    <t xml:space="preserve">Series 24</t>
  </si>
  <si>
    <t xml:space="preserve">Series 25</t>
  </si>
  <si>
    <t xml:space="preserve">Series 26</t>
  </si>
  <si>
    <t xml:space="preserve">Series 27</t>
  </si>
  <si>
    <t xml:space="preserve">Series 28</t>
  </si>
  <si>
    <t xml:space="preserve">Series 30</t>
  </si>
  <si>
    <t xml:space="preserve">Series 31</t>
  </si>
  <si>
    <t xml:space="preserve">Series 32</t>
  </si>
  <si>
    <t xml:space="preserve">Series 33</t>
  </si>
  <si>
    <t xml:space="preserve">Release Date</t>
  </si>
  <si>
    <t xml:space="preserve">Have</t>
  </si>
  <si>
    <t xml:space="preserve">Make-Up</t>
  </si>
  <si>
    <t xml:space="preserve">Controller</t>
  </si>
  <si>
    <t xml:space="preserve">Formula Drift Pack</t>
  </si>
  <si>
    <t xml:space="preserve">VIP</t>
  </si>
  <si>
    <t xml:space="preserve">Welcome Pack</t>
  </si>
  <si>
    <t xml:space="preserve">Oreo</t>
  </si>
  <si>
    <t xml:space="preserve">Rally</t>
  </si>
  <si>
    <t xml:space="preserve">Horizon Racing Pack</t>
  </si>
  <si>
    <t xml:space="preserve">Italian Exotics Pack</t>
  </si>
  <si>
    <t xml:space="preserve">Forza Motorsport 8</t>
  </si>
  <si>
    <t xml:space="preserve">Super Speed Pack</t>
  </si>
  <si>
    <t xml:space="preserve">American Automotive Pack</t>
  </si>
  <si>
    <t xml:space="preserve">Fast X Pack</t>
  </si>
  <si>
    <t xml:space="preserve">Car Pass</t>
  </si>
  <si>
    <t xml:space="preserve">Chinese Lucky Stars Pack</t>
  </si>
  <si>
    <t xml:space="preserve">European Automotive Pack</t>
  </si>
  <si>
    <t xml:space="preserve">Acceleration Pack</t>
  </si>
  <si>
    <t xml:space="preserve">Apex Allstars Pack</t>
  </si>
  <si>
    <t xml:space="preserve">Series</t>
  </si>
  <si>
    <t xml:space="preserve">Season</t>
  </si>
  <si>
    <t xml:space="preserve">PTS</t>
  </si>
  <si>
    <t xml:space="preserve">Barn Find</t>
  </si>
  <si>
    <t xml:space="preserve">Accolade</t>
  </si>
  <si>
    <t xml:space="preserve">Autoshow</t>
  </si>
  <si>
    <t xml:space="preserve">Car Collector</t>
  </si>
  <si>
    <t xml:space="preserve">Car Mastery</t>
  </si>
  <si>
    <t xml:space="preserve">Wheelspin</t>
  </si>
  <si>
    <t xml:space="preserve">Reward</t>
  </si>
  <si>
    <t xml:space="preserve">DLC</t>
  </si>
  <si>
    <t xml:space="preserve">Promo</t>
  </si>
  <si>
    <t xml:space="preserve">Unreleased</t>
  </si>
  <si>
    <t xml:space="preserve">Season Reward</t>
  </si>
  <si>
    <t xml:space="preserve">Playground Games</t>
  </si>
  <si>
    <t xml:space="preserve">Seasonal Championship</t>
  </si>
  <si>
    <t xml:space="preserve">Series Reward</t>
  </si>
  <si>
    <t xml:space="preserve">Super7</t>
  </si>
  <si>
    <t xml:space="preserve">The Trial</t>
  </si>
  <si>
    <t xml:space="preserve">Event Reward</t>
  </si>
  <si>
    <t xml:space="preserve">Event Lab</t>
  </si>
  <si>
    <t xml:space="preserve">Collectibles</t>
  </si>
  <si>
    <t xml:space="preserve">Showcase Remix</t>
  </si>
  <si>
    <t xml:space="preserve">Danger Sign</t>
  </si>
  <si>
    <t xml:space="preserve">Speed Trap</t>
  </si>
  <si>
    <t xml:space="preserve">Speed Zone</t>
  </si>
  <si>
    <t xml:space="preserve">Drift Zone</t>
  </si>
  <si>
    <t xml:space="preserve">Trail Blazer</t>
  </si>
  <si>
    <t xml:space="preserve">Forzathon Shop</t>
  </si>
  <si>
    <t xml:space="preserve">Special Livery</t>
  </si>
  <si>
    <t xml:space="preserve">Horizon Open</t>
  </si>
  <si>
    <t xml:space="preserve">The Eliminator</t>
  </si>
  <si>
    <t xml:space="preserve">Gift</t>
  </si>
  <si>
    <t xml:space="preserve">Number</t>
  </si>
  <si>
    <t xml:space="preserve">Welcome Week</t>
  </si>
  <si>
    <t xml:space="preserve">Welcome to Mexico</t>
  </si>
  <si>
    <t xml:space="preserve">Holiday Special</t>
  </si>
  <si>
    <t xml:space="preserve">Happy New Year</t>
  </si>
  <si>
    <t xml:space="preserve">Horizon World Cup</t>
  </si>
  <si>
    <t xml:space="preserve">Horizon Rush Takeover</t>
  </si>
  <si>
    <t xml:space="preserve">Horizon Customs</t>
  </si>
  <si>
    <t xml:space="preserve">Cinco de Mayo</t>
  </si>
  <si>
    <t xml:space="preserve">German Automotive Excellence</t>
  </si>
  <si>
    <t xml:space="preserve">Rami's Racing History</t>
  </si>
  <si>
    <t xml:space="preserve">Horizon Road Trip</t>
  </si>
  <si>
    <t xml:space="preserve">Horizon 10-Year Anniversary</t>
  </si>
  <si>
    <t xml:space="preserve">Donut Media</t>
  </si>
  <si>
    <t xml:space="preserve">Hoirzon Holidays</t>
  </si>
  <si>
    <t xml:space="preserve">#Fordzathon</t>
  </si>
  <si>
    <t xml:space="preserve">Japanese Automotive</t>
  </si>
  <si>
    <t xml:space="preserve">Horizon Wilds Takeover</t>
  </si>
  <si>
    <t xml:space="preserve">Midnights at Horizon</t>
  </si>
  <si>
    <t xml:space="preserve">High Performance</t>
  </si>
  <si>
    <t xml:space="preserve">Explore the Horizon</t>
  </si>
  <si>
    <t xml:space="preserve">Upgrade Heroes</t>
  </si>
  <si>
    <t xml:space="preserve">Summer Party</t>
  </si>
  <si>
    <t xml:space="preserve">Italian Automotive</t>
  </si>
  <si>
    <t xml:space="preserve">Horizon Creatives</t>
  </si>
  <si>
    <t xml:space="preserve">Día De Muertos</t>
  </si>
  <si>
    <t xml:space="preserve">American Automotive</t>
  </si>
  <si>
    <t xml:space="preserve">Winter Wonderland</t>
  </si>
  <si>
    <t xml:space="preserve">Community Choice</t>
  </si>
  <si>
    <t xml:space="preserve">Lunar New Year</t>
  </si>
  <si>
    <t xml:space="preserve">European Automotive</t>
  </si>
  <si>
    <t xml:space="preserve">The Horizon Race Off</t>
  </si>
  <si>
    <t xml:space="preserve">Apex Allstars</t>
  </si>
  <si>
    <t xml:space="preserve">Horizon Retrowave</t>
  </si>
  <si>
    <t xml:space="preserve">Summer</t>
  </si>
  <si>
    <t xml:space="preserve">Autumn</t>
  </si>
  <si>
    <t xml:space="preserve">Winter</t>
  </si>
  <si>
    <t xml:space="preserve">Spring</t>
  </si>
  <si>
    <t xml:space="preserve">IT</t>
  </si>
  <si>
    <t xml:space="preserve">US</t>
  </si>
  <si>
    <t xml:space="preserve">Alejandra's</t>
  </si>
  <si>
    <t xml:space="preserve">FR</t>
  </si>
  <si>
    <t xml:space="preserve">DE</t>
  </si>
  <si>
    <t xml:space="preserve">GB</t>
  </si>
  <si>
    <t xml:space="preserve">CA</t>
  </si>
  <si>
    <t xml:space="preserve">ES</t>
  </si>
  <si>
    <t xml:space="preserve">JP</t>
  </si>
  <si>
    <t xml:space="preserve">NL</t>
  </si>
  <si>
    <t xml:space="preserve">AU</t>
  </si>
  <si>
    <t xml:space="preserve">KR</t>
  </si>
  <si>
    <t xml:space="preserve">SE</t>
  </si>
  <si>
    <t xml:space="preserve">AT</t>
  </si>
  <si>
    <t xml:space="preserve">CN</t>
  </si>
  <si>
    <t xml:space="preserve">HR</t>
  </si>
  <si>
    <t xml:space="preserve">MX</t>
  </si>
  <si>
    <t xml:space="preserve">AE</t>
  </si>
  <si>
    <t xml:space="preserve">DK</t>
  </si>
  <si>
    <t xml:space="preserve">Exclusive</t>
  </si>
  <si>
    <t xml:space="preserve">Hard to Find</t>
  </si>
  <si>
    <t xml:space="preserve">Valuable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</si>
</sst>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[$ CR]"/>
    <numFmt numFmtId="166" formatCode="@"/>
    <numFmt numFmtId="167" formatCode="#,##0"/>
    <numFmt numFmtId="168" formatCode="m/d/yyyy"/>
    <numFmt numFmtId="169" formatCode="h:mm:ss\ AM/PM"/>
    <numFmt numFmtId="170" formatCode="m/d/yyyy\ h:mm:ss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2"/>
    </font>
    <font>
      <sz val="11"/>
      <color rgb="FF000000"/>
      <name val="Inconsolat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FA8DC"/>
          <bgColor rgb="FF000000"/>
        </patternFill>
      </fill>
    </dxf>
    <dxf>
      <fill>
        <patternFill patternType="solid">
          <fgColor rgb="FF93C47D"/>
          <bgColor rgb="FF000000"/>
        </patternFill>
      </fill>
    </dxf>
    <dxf>
      <fill>
        <patternFill patternType="solid">
          <fgColor rgb="FFC27BA0"/>
          <bgColor rgb="FF000000"/>
        </patternFill>
      </fill>
    </dxf>
    <dxf>
      <fill>
        <patternFill patternType="solid">
          <fgColor rgb="FFCC4125"/>
          <bgColor rgb="FF000000"/>
        </patternFill>
      </fill>
    </dxf>
    <dxf>
      <fill>
        <patternFill patternType="solid">
          <fgColor rgb="FFE06666"/>
          <bgColor rgb="FF000000"/>
        </patternFill>
      </fill>
    </dxf>
    <dxf>
      <fill>
        <patternFill patternType="solid">
          <fgColor rgb="FFF6B26B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E6B8AF"/>
          <bgColor rgb="FF000000"/>
        </patternFill>
      </fill>
    </dxf>
    <dxf>
      <fill>
        <patternFill patternType="solid">
          <fgColor rgb="FF57BB8A"/>
          <bgColor rgb="FF000000"/>
        </patternFill>
      </fill>
    </dxf>
    <dxf>
      <fill>
        <patternFill patternType="solid">
          <fgColor rgb="FFE67C73"/>
          <bgColor rgb="FF000000"/>
        </patternFill>
      </fill>
    </dxf>
    <dxf>
      <font>
        <i val="1"/>
      </font>
      <fill>
        <patternFill/>
      </fill>
    </dxf>
    <dxf>
      <font>
        <b val="1"/>
      </font>
      <fill>
        <patternFill/>
      </fill>
    </dxf>
    <dxf>
      <fill>
        <patternFill>
          <bgColor rgb="FFFFD966"/>
        </patternFill>
      </fill>
    </dxf>
    <dxf>
      <fill>
        <patternFill>
          <bgColor rgb="FF93C47D"/>
        </patternFill>
      </fill>
    </dxf>
    <dxf>
      <fill>
        <patternFill>
          <bgColor rgb="FF6FA8DC"/>
        </patternFill>
      </fill>
    </dxf>
    <dxf>
      <fill>
        <patternFill>
          <bgColor rgb="FFC27BA0"/>
        </patternFill>
      </fill>
    </dxf>
    <dxf>
      <font>
        <color rgb="FFFFFFFF"/>
      </font>
      <fill>
        <patternFill>
          <bgColor rgb="FFCC4125"/>
        </patternFill>
      </fill>
    </dxf>
    <dxf>
      <font>
        <color rgb="FFFFFFFF"/>
      </font>
      <fill>
        <patternFill>
          <bgColor rgb="FFE06666"/>
        </patternFill>
      </fill>
    </dxf>
    <dxf>
      <fill>
        <patternFill>
          <bgColor rgb="FFF6B26B"/>
        </patternFill>
      </fill>
    </dxf>
    <dxf>
      <fill>
        <patternFill>
          <bgColor rgb="FFE6B8AF"/>
        </patternFill>
      </fill>
    </dxf>
    <dxf>
      <font>
        <color rgb="FF980000"/>
      </font>
      <fill>
        <patternFill/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000080"/>
      <rgbColor rgb="FF808000"/>
      <rgbColor rgb="FF800080"/>
      <rgbColor rgb="FF008080"/>
      <rgbColor rgb="FFE6B8AF"/>
      <rgbColor rgb="FF808080"/>
      <rgbColor rgb="FF6FA8DC"/>
      <rgbColor rgb="FF993366"/>
      <rgbColor rgb="FFFFFFCC"/>
      <rgbColor rgb="FFCCFFFF"/>
      <rgbColor rgb="FF660066"/>
      <rgbColor rgb="FFE0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6B26B"/>
      <rgbColor rgb="FFCC99FF"/>
      <rgbColor rgb="FFFFD966"/>
      <rgbColor rgb="FF3366FF"/>
      <rgbColor rgb="FF33CCCC"/>
      <rgbColor rgb="FF93C47D"/>
      <rgbColor rgb="FFFFCC00"/>
      <rgbColor rgb="FFFF9900"/>
      <rgbColor rgb="FFFF6600"/>
      <rgbColor rgb="FF666699"/>
      <rgbColor rgb="FFC27BA0"/>
      <rgbColor rgb="FF003366"/>
      <rgbColor rgb="FF339966"/>
      <rgbColor rgb="FF003300"/>
      <rgbColor rgb="FF333300"/>
      <rgbColor rgb="FFCC4125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1:N866" headerRowCount="0" totalsRowCount="0" totalsRowShown="0">
  <tableColumns count="1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10"/>
    <tableColumn id="10" name="Column49"/>
    <tableColumn id="11" name="Column50"/>
    <tableColumn id="12" name="Column51"/>
    <tableColumn id="13" name="Column52"/>
    <tableColumn id="14" name="Column53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74" activePane="bottomRight" state="frozen"/>
      <selection pane="topLeft" activeCell="A1" activeCellId="0" sqref="A1"/>
      <selection pane="topRight" activeCell="B1" activeCellId="0" sqref="B1"/>
      <selection pane="bottomLeft" activeCell="A74" activeCellId="0" sqref="A74"/>
      <selection pane="bottomRight" activeCell="Q95" activeCellId="0" sqref="Q95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3.5"/>
    <col collapsed="false" customWidth="true" hidden="false" outlineLevel="0" max="3" min="3" style="0" width="6.02"/>
    <col collapsed="false" customWidth="true" hidden="false" outlineLevel="0" max="4" min="4" style="0" width="43.63"/>
    <col collapsed="false" customWidth="true" hidden="false" outlineLevel="0" max="5" min="5" style="0" width="18.63"/>
    <col collapsed="false" customWidth="false" hidden="true" outlineLevel="0" max="6" min="6" style="0" width="12.63"/>
    <col collapsed="false" customWidth="true" hidden="false" outlineLevel="0" max="7" min="7" style="0" width="13.38"/>
    <col collapsed="false" customWidth="true" hidden="true" outlineLevel="0" max="8" min="8" style="0" width="10.88"/>
    <col collapsed="false" customWidth="true" hidden="false" outlineLevel="0" max="9" min="9" style="0" width="13.13"/>
    <col collapsed="false" customWidth="true" hidden="true" outlineLevel="0" max="12" min="10" style="0" width="5.13"/>
    <col collapsed="false" customWidth="false" hidden="true" outlineLevel="0" max="13" min="13" style="0" width="12.63"/>
    <col collapsed="false" customWidth="true" hidden="true" outlineLevel="0" max="14" min="14" style="0" width="56.67"/>
    <col collapsed="false" customWidth="true" hidden="false" outlineLevel="0" max="16384" min="16346" style="0" width="11.53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4" t="str">
        <f aca="false">$F1</f>
        <v>Rarity</v>
      </c>
      <c r="H1" s="2" t="s">
        <v>6</v>
      </c>
      <c r="I1" s="5" t="s">
        <v>7</v>
      </c>
      <c r="J1" s="2" t="s">
        <v>8</v>
      </c>
      <c r="K1" s="2" t="s">
        <v>9</v>
      </c>
      <c r="L1" s="6" t="s">
        <v>10</v>
      </c>
      <c r="M1" s="5" t="s">
        <v>11</v>
      </c>
      <c r="N1" s="5" t="s">
        <v>12</v>
      </c>
      <c r="O1" s="2"/>
      <c r="P1" s="2"/>
    </row>
    <row r="2" customFormat="false" ht="15.75" hidden="false" customHeight="true" outlineLevel="0" collapsed="false">
      <c r="A2" s="7" t="s">
        <v>13</v>
      </c>
      <c r="B2" s="8" t="s">
        <v>14</v>
      </c>
      <c r="C2" s="8" t="n">
        <v>1968</v>
      </c>
      <c r="D2" s="9" t="s">
        <v>15</v>
      </c>
      <c r="E2" s="7" t="s">
        <v>16</v>
      </c>
      <c r="F2" s="10" t="n">
        <f aca="false">IF(ISBLANK($G2),,VLOOKUP($G2, Rarities!$A$1:$B869, 2, FALSE()))</f>
        <v>1</v>
      </c>
      <c r="G2" s="8" t="s">
        <v>17</v>
      </c>
      <c r="H2" s="8" t="str">
        <f aca="false">VLOOKUP(B2,Manufacturers!A$1:B869,2)</f>
        <v>IT</v>
      </c>
      <c r="I2" s="11" t="n">
        <v>35000</v>
      </c>
      <c r="J2" s="8"/>
      <c r="K2" s="8"/>
      <c r="L2" s="12"/>
      <c r="M2" s="11"/>
      <c r="N2" s="11"/>
      <c r="O2" s="8"/>
      <c r="P2" s="8"/>
    </row>
    <row r="3" customFormat="false" ht="15.75" hidden="false" customHeight="true" outlineLevel="0" collapsed="false">
      <c r="A3" s="7" t="s">
        <v>18</v>
      </c>
      <c r="B3" s="8" t="s">
        <v>14</v>
      </c>
      <c r="C3" s="8" t="n">
        <v>1980</v>
      </c>
      <c r="D3" s="9" t="s">
        <v>19</v>
      </c>
      <c r="E3" s="7" t="s">
        <v>20</v>
      </c>
      <c r="F3" s="10" t="n">
        <f aca="false">IF(ISBLANK($G3),,VLOOKUP($G3, Rarities!$A$1:$B869, 2, FALSE()))</f>
        <v>1</v>
      </c>
      <c r="G3" s="8" t="s">
        <v>17</v>
      </c>
      <c r="H3" s="8" t="str">
        <f aca="false">VLOOKUP(B3,Manufacturers!A$1:B869,2)</f>
        <v>IT</v>
      </c>
      <c r="I3" s="11" t="n">
        <v>250000</v>
      </c>
      <c r="J3" s="8"/>
      <c r="K3" s="8"/>
      <c r="L3" s="12"/>
      <c r="M3" s="11"/>
      <c r="N3" s="11"/>
      <c r="O3" s="8"/>
      <c r="P3" s="8"/>
    </row>
    <row r="4" customFormat="false" ht="15.75" hidden="false" customHeight="true" outlineLevel="0" collapsed="false">
      <c r="A4" s="7" t="s">
        <v>21</v>
      </c>
      <c r="B4" s="8" t="s">
        <v>14</v>
      </c>
      <c r="C4" s="8" t="n">
        <v>2016</v>
      </c>
      <c r="D4" s="9" t="s">
        <v>22</v>
      </c>
      <c r="E4" s="7" t="s">
        <v>23</v>
      </c>
      <c r="F4" s="10" t="n">
        <f aca="false">IF(ISBLANK($G4),,VLOOKUP($G4, Rarities!$A$1:$B869, 2, FALSE()))</f>
        <v>1</v>
      </c>
      <c r="G4" s="8" t="s">
        <v>17</v>
      </c>
      <c r="H4" s="8" t="str">
        <f aca="false">VLOOKUP(B4,Manufacturers!A$1:B869,2)</f>
        <v>IT</v>
      </c>
      <c r="I4" s="11" t="n">
        <v>250000</v>
      </c>
      <c r="J4" s="8"/>
      <c r="K4" s="8"/>
      <c r="L4" s="12"/>
      <c r="M4" s="11"/>
      <c r="N4" s="11"/>
      <c r="O4" s="8"/>
      <c r="P4" s="8"/>
    </row>
    <row r="5" customFormat="false" ht="15.75" hidden="false" customHeight="true" outlineLevel="0" collapsed="false">
      <c r="A5" s="7" t="s">
        <v>24</v>
      </c>
      <c r="B5" s="8" t="s">
        <v>14</v>
      </c>
      <c r="C5" s="8" t="n">
        <v>2017</v>
      </c>
      <c r="D5" s="9" t="s">
        <v>25</v>
      </c>
      <c r="E5" s="7" t="s">
        <v>26</v>
      </c>
      <c r="F5" s="10" t="n">
        <f aca="false">IF(ISBLANK($G5),,VLOOKUP($G5, Rarities!$A$1:$B869, 2, FALSE()))</f>
        <v>1</v>
      </c>
      <c r="G5" s="8" t="s">
        <v>17</v>
      </c>
      <c r="H5" s="8" t="str">
        <f aca="false">VLOOKUP(B5,Manufacturers!A$1:B869,2)</f>
        <v>IT</v>
      </c>
      <c r="I5" s="11" t="n">
        <v>250000</v>
      </c>
      <c r="J5" s="8"/>
      <c r="K5" s="8"/>
      <c r="L5" s="12"/>
      <c r="M5" s="11"/>
      <c r="N5" s="11"/>
      <c r="O5" s="8"/>
      <c r="P5" s="8"/>
    </row>
    <row r="6" customFormat="false" ht="15.75" hidden="false" customHeight="true" outlineLevel="0" collapsed="false">
      <c r="A6" s="7" t="s">
        <v>27</v>
      </c>
      <c r="B6" s="8" t="s">
        <v>28</v>
      </c>
      <c r="C6" s="8" t="n">
        <v>2001</v>
      </c>
      <c r="D6" s="9" t="s">
        <v>29</v>
      </c>
      <c r="E6" s="7" t="s">
        <v>30</v>
      </c>
      <c r="F6" s="10" t="n">
        <f aca="false">IF(ISBLANK($G6),,VLOOKUP($G6, Rarities!$A$1:$B869, 2, FALSE()))</f>
        <v>1</v>
      </c>
      <c r="G6" s="8" t="s">
        <v>17</v>
      </c>
      <c r="H6" s="8" t="str">
        <f aca="false">VLOOKUP(B6,Manufacturers!A$1:B869,2)</f>
        <v>US</v>
      </c>
      <c r="I6" s="11" t="n">
        <v>25000</v>
      </c>
      <c r="J6" s="8"/>
      <c r="K6" s="8" t="n">
        <v>1</v>
      </c>
      <c r="L6" s="12" t="n">
        <v>9</v>
      </c>
      <c r="M6" s="11" t="e">
        <f aca="false">IF(AND(ISNUMBER(L6),L6&gt;0),(3*J6+K6)*#REF!/L6,"-")</f>
        <v>#REF!</v>
      </c>
      <c r="N6" s="11" t="e">
        <f aca="false">IF(AND(#REF!,ISNUMBER(L6),L6&gt;0),((3*J6+K6)*#REF!-I6)/L6,"-")</f>
        <v>#REF!</v>
      </c>
      <c r="O6" s="8"/>
      <c r="P6" s="8"/>
    </row>
    <row r="7" customFormat="false" ht="15.75" hidden="false" customHeight="true" outlineLevel="0" collapsed="false">
      <c r="A7" s="7" t="s">
        <v>31</v>
      </c>
      <c r="B7" s="8" t="s">
        <v>28</v>
      </c>
      <c r="C7" s="8" t="n">
        <v>2002</v>
      </c>
      <c r="D7" s="9" t="s">
        <v>32</v>
      </c>
      <c r="E7" s="7" t="s">
        <v>30</v>
      </c>
      <c r="F7" s="10" t="n">
        <f aca="false">IF(ISBLANK($G7),,VLOOKUP($G7, Rarities!$A$1:$B869, 2, FALSE()))</f>
        <v>1</v>
      </c>
      <c r="G7" s="8" t="s">
        <v>17</v>
      </c>
      <c r="H7" s="8" t="str">
        <f aca="false">VLOOKUP(B7,Manufacturers!A$1:B869,2)</f>
        <v>US</v>
      </c>
      <c r="I7" s="11" t="n">
        <v>25000</v>
      </c>
      <c r="J7" s="8"/>
      <c r="K7" s="8" t="n">
        <v>1</v>
      </c>
      <c r="L7" s="12" t="n">
        <v>9</v>
      </c>
      <c r="M7" s="11" t="e">
        <f aca="false">IF(AND(ISNUMBER(L7),L7&gt;0),(3*J7+K7)*#REF!/L7,"-")</f>
        <v>#REF!</v>
      </c>
      <c r="N7" s="11" t="e">
        <f aca="false">IF(AND(#REF!,ISNUMBER(L7),L7&gt;0),((3*J7+K7)*#REF!-I7)/L7,"-")</f>
        <v>#REF!</v>
      </c>
      <c r="O7" s="8"/>
      <c r="P7" s="8"/>
    </row>
    <row r="8" customFormat="false" ht="15.75" hidden="false" customHeight="true" outlineLevel="0" collapsed="false">
      <c r="A8" s="7" t="s">
        <v>33</v>
      </c>
      <c r="B8" s="8" t="s">
        <v>28</v>
      </c>
      <c r="C8" s="8" t="n">
        <v>2017</v>
      </c>
      <c r="D8" s="9" t="s">
        <v>34</v>
      </c>
      <c r="E8" s="7" t="s">
        <v>35</v>
      </c>
      <c r="F8" s="10" t="n">
        <f aca="false">IF(ISBLANK($G8),,VLOOKUP($G8, Rarities!$A$1:$B869, 2, FALSE()))</f>
        <v>2</v>
      </c>
      <c r="G8" s="8" t="s">
        <v>36</v>
      </c>
      <c r="H8" s="8" t="str">
        <f aca="false">VLOOKUP(B8,Manufacturers!A$1:B869,2)</f>
        <v>US</v>
      </c>
      <c r="I8" s="11" t="n">
        <v>170000</v>
      </c>
      <c r="J8" s="8"/>
      <c r="K8" s="8" t="n">
        <v>1</v>
      </c>
      <c r="L8" s="12" t="n">
        <v>9</v>
      </c>
      <c r="M8" s="11" t="e">
        <f aca="false">IF(AND(ISNUMBER(L8),L8&gt;0),(3*J8+K8)*#REF!/L8,"-")</f>
        <v>#REF!</v>
      </c>
      <c r="N8" s="11" t="e">
        <f aca="false">IF(AND(#REF!,ISNUMBER(L8),L8&gt;0),((3*J8+K8)*#REF!-I8)/L8,"-")</f>
        <v>#REF!</v>
      </c>
      <c r="O8" s="8"/>
      <c r="P8" s="8"/>
    </row>
    <row r="9" customFormat="false" ht="15.75" hidden="false" customHeight="true" outlineLevel="0" collapsed="false">
      <c r="A9" s="7" t="s">
        <v>37</v>
      </c>
      <c r="B9" s="8" t="s">
        <v>38</v>
      </c>
      <c r="C9" s="8" t="n">
        <v>1965</v>
      </c>
      <c r="D9" s="9" t="s">
        <v>39</v>
      </c>
      <c r="E9" s="7" t="s">
        <v>40</v>
      </c>
      <c r="F9" s="10" t="n">
        <f aca="false">IF(ISBLANK($G9),,VLOOKUP($G9, Rarities!$A$1:$B869, 2, FALSE()))</f>
        <v>4</v>
      </c>
      <c r="G9" s="8" t="s">
        <v>41</v>
      </c>
      <c r="H9" s="8" t="str">
        <f aca="false">VLOOKUP(B9,Manufacturers!A$1:B869,2)</f>
        <v>IT</v>
      </c>
      <c r="I9" s="11" t="n">
        <v>4000000</v>
      </c>
      <c r="J9" s="8"/>
      <c r="K9" s="8"/>
      <c r="L9" s="12"/>
      <c r="M9" s="11"/>
      <c r="N9" s="11"/>
      <c r="O9" s="8"/>
      <c r="P9" s="8"/>
    </row>
    <row r="10" customFormat="false" ht="15.75" hidden="false" customHeight="true" outlineLevel="0" collapsed="false">
      <c r="A10" s="7" t="s">
        <v>42</v>
      </c>
      <c r="B10" s="8" t="s">
        <v>38</v>
      </c>
      <c r="C10" s="8" t="n">
        <v>1965</v>
      </c>
      <c r="D10" s="9" t="s">
        <v>43</v>
      </c>
      <c r="E10" s="7" t="s">
        <v>44</v>
      </c>
      <c r="F10" s="10" t="n">
        <f aca="false">IF(ISBLANK($G10),,VLOOKUP($G10, Rarities!$A$1:$B869, 2, FALSE()))</f>
        <v>2</v>
      </c>
      <c r="G10" s="8" t="s">
        <v>36</v>
      </c>
      <c r="H10" s="8" t="str">
        <f aca="false">VLOOKUP(B10,Manufacturers!A$1:B869,2)</f>
        <v>IT</v>
      </c>
      <c r="I10" s="11" t="n">
        <v>300000</v>
      </c>
      <c r="J10" s="8"/>
      <c r="K10" s="8"/>
      <c r="L10" s="12"/>
      <c r="M10" s="11"/>
      <c r="N10" s="11"/>
      <c r="O10" s="8"/>
      <c r="P10" s="8"/>
    </row>
    <row r="11" customFormat="false" ht="15.75" hidden="false" customHeight="true" outlineLevel="0" collapsed="false">
      <c r="A11" s="7" t="s">
        <v>45</v>
      </c>
      <c r="B11" s="8" t="s">
        <v>38</v>
      </c>
      <c r="C11" s="8" t="n">
        <v>1968</v>
      </c>
      <c r="D11" s="9" t="s">
        <v>46</v>
      </c>
      <c r="E11" s="7" t="s">
        <v>40</v>
      </c>
      <c r="F11" s="10" t="n">
        <f aca="false">IF(ISBLANK($G11),,VLOOKUP($G11, Rarities!$A$1:$B869, 2, FALSE()))</f>
        <v>4</v>
      </c>
      <c r="G11" s="8" t="s">
        <v>41</v>
      </c>
      <c r="H11" s="8" t="str">
        <f aca="false">VLOOKUP(B11,Manufacturers!A$1:B869,2)</f>
        <v>IT</v>
      </c>
      <c r="I11" s="11" t="n">
        <v>15000000</v>
      </c>
      <c r="J11" s="8"/>
      <c r="K11" s="8"/>
      <c r="L11" s="12"/>
      <c r="M11" s="11"/>
      <c r="N11" s="11"/>
      <c r="O11" s="8"/>
      <c r="P11" s="8"/>
    </row>
    <row r="12" customFormat="false" ht="15.75" hidden="false" customHeight="true" outlineLevel="0" collapsed="false">
      <c r="A12" s="7" t="s">
        <v>47</v>
      </c>
      <c r="B12" s="8" t="s">
        <v>38</v>
      </c>
      <c r="C12" s="8" t="n">
        <v>1992</v>
      </c>
      <c r="D12" s="9" t="s">
        <v>48</v>
      </c>
      <c r="E12" s="7" t="s">
        <v>49</v>
      </c>
      <c r="F12" s="10" t="n">
        <f aca="false">IF(ISBLANK($G12),,VLOOKUP($G12, Rarities!$A$1:$B869, 2, FALSE()))</f>
        <v>1</v>
      </c>
      <c r="G12" s="8" t="s">
        <v>17</v>
      </c>
      <c r="H12" s="8" t="str">
        <f aca="false">VLOOKUP(B12,Manufacturers!A$1:B869,2)</f>
        <v>IT</v>
      </c>
      <c r="I12" s="11" t="n">
        <v>250000</v>
      </c>
      <c r="J12" s="8"/>
      <c r="K12" s="8"/>
      <c r="L12" s="12"/>
      <c r="M12" s="11"/>
      <c r="N12" s="11"/>
      <c r="O12" s="8"/>
      <c r="P12" s="8"/>
    </row>
    <row r="13" customFormat="false" ht="15.75" hidden="false" customHeight="true" outlineLevel="0" collapsed="false">
      <c r="A13" s="7" t="s">
        <v>50</v>
      </c>
      <c r="B13" s="8" t="s">
        <v>38</v>
      </c>
      <c r="C13" s="8" t="n">
        <v>2007</v>
      </c>
      <c r="D13" s="9" t="s">
        <v>51</v>
      </c>
      <c r="E13" s="7" t="s">
        <v>52</v>
      </c>
      <c r="F13" s="10" t="n">
        <f aca="false">IF(ISBLANK($G13),,VLOOKUP($G13, Rarities!$A$1:$B869, 2, FALSE()))</f>
        <v>3</v>
      </c>
      <c r="G13" s="8" t="s">
        <v>53</v>
      </c>
      <c r="H13" s="8" t="str">
        <f aca="false">VLOOKUP(B13,Manufacturers!A$1:B869,2)</f>
        <v>IT</v>
      </c>
      <c r="I13" s="11" t="n">
        <v>300000</v>
      </c>
      <c r="J13" s="8"/>
      <c r="K13" s="8"/>
      <c r="L13" s="12"/>
      <c r="M13" s="11"/>
      <c r="N13" s="11"/>
      <c r="O13" s="8"/>
      <c r="P13" s="8"/>
    </row>
    <row r="14" customFormat="false" ht="15.75" hidden="false" customHeight="true" outlineLevel="0" collapsed="false">
      <c r="A14" s="7" t="s">
        <v>54</v>
      </c>
      <c r="B14" s="8" t="s">
        <v>38</v>
      </c>
      <c r="C14" s="8" t="n">
        <v>2014</v>
      </c>
      <c r="D14" s="9" t="s">
        <v>55</v>
      </c>
      <c r="E14" s="7" t="s">
        <v>26</v>
      </c>
      <c r="F14" s="10" t="n">
        <f aca="false">IF(ISBLANK($G14),,VLOOKUP($G14, Rarities!$A$1:$B869, 2, FALSE()))</f>
        <v>2</v>
      </c>
      <c r="G14" s="8" t="s">
        <v>36</v>
      </c>
      <c r="H14" s="8" t="str">
        <f aca="false">VLOOKUP(B14,Manufacturers!A$1:B869,2)</f>
        <v>IT</v>
      </c>
      <c r="I14" s="11" t="n">
        <v>250000</v>
      </c>
      <c r="J14" s="8"/>
      <c r="K14" s="8"/>
      <c r="L14" s="12"/>
      <c r="M14" s="11"/>
      <c r="N14" s="11"/>
      <c r="O14" s="8"/>
      <c r="P14" s="8"/>
    </row>
    <row r="15" customFormat="false" ht="15.75" hidden="false" customHeight="true" outlineLevel="0" collapsed="false">
      <c r="A15" s="7" t="s">
        <v>56</v>
      </c>
      <c r="B15" s="8" t="s">
        <v>38</v>
      </c>
      <c r="C15" s="8" t="n">
        <v>2017</v>
      </c>
      <c r="D15" s="9" t="s">
        <v>57</v>
      </c>
      <c r="E15" s="7" t="s">
        <v>58</v>
      </c>
      <c r="F15" s="10" t="n">
        <f aca="false">IF(ISBLANK($G15),,VLOOKUP($G15, Rarities!$A$1:$B869, 2, FALSE()))</f>
        <v>2</v>
      </c>
      <c r="G15" s="8" t="s">
        <v>36</v>
      </c>
      <c r="H15" s="8" t="str">
        <f aca="false">VLOOKUP(B15,Manufacturers!A$1:B869,2)</f>
        <v>IT</v>
      </c>
      <c r="I15" s="11" t="n">
        <v>120000</v>
      </c>
      <c r="J15" s="8"/>
      <c r="K15" s="8"/>
      <c r="L15" s="12"/>
      <c r="M15" s="11"/>
      <c r="N15" s="11"/>
      <c r="O15" s="8"/>
      <c r="P15" s="8"/>
    </row>
    <row r="16" customFormat="false" ht="15.75" hidden="false" customHeight="true" outlineLevel="0" collapsed="false">
      <c r="A16" s="7" t="s">
        <v>59</v>
      </c>
      <c r="B16" s="8" t="s">
        <v>60</v>
      </c>
      <c r="C16" s="8" t="n">
        <v>1973</v>
      </c>
      <c r="D16" s="9" t="s">
        <v>61</v>
      </c>
      <c r="E16" s="7" t="s">
        <v>20</v>
      </c>
      <c r="F16" s="10" t="n">
        <f aca="false">IF(ISBLANK($G16),,VLOOKUP($G16, Rarities!$A$1:$B869, 2, FALSE()))</f>
        <v>2</v>
      </c>
      <c r="G16" s="8" t="s">
        <v>36</v>
      </c>
      <c r="H16" s="8" t="str">
        <f aca="false">VLOOKUP(B16,Manufacturers!A$1:B869,2)</f>
        <v>FR</v>
      </c>
      <c r="I16" s="11" t="n">
        <v>98000</v>
      </c>
      <c r="J16" s="8"/>
      <c r="K16" s="8" t="n">
        <v>1</v>
      </c>
      <c r="L16" s="12" t="n">
        <v>9</v>
      </c>
      <c r="M16" s="11" t="e">
        <f aca="false">IF(AND(ISNUMBER(L16),L16&gt;0),(3*J16+K16)*#REF!/L16,"-")</f>
        <v>#REF!</v>
      </c>
      <c r="N16" s="11" t="e">
        <f aca="false">IF(AND(#REF!,ISNUMBER(L16),L16&gt;0),((3*J16+K16)*#REF!-I16)/L16,"-")</f>
        <v>#REF!</v>
      </c>
      <c r="O16" s="8"/>
      <c r="P16" s="8"/>
    </row>
    <row r="17" customFormat="false" ht="15.75" hidden="false" customHeight="true" outlineLevel="0" collapsed="false">
      <c r="A17" s="7" t="s">
        <v>62</v>
      </c>
      <c r="B17" s="8" t="s">
        <v>60</v>
      </c>
      <c r="C17" s="8" t="n">
        <v>2017</v>
      </c>
      <c r="D17" s="9" t="s">
        <v>63</v>
      </c>
      <c r="E17" s="7" t="s">
        <v>26</v>
      </c>
      <c r="F17" s="10" t="n">
        <f aca="false">IF(ISBLANK($G17),,VLOOKUP($G17, Rarities!$A$1:$B869, 2, FALSE()))</f>
        <v>3</v>
      </c>
      <c r="G17" s="8" t="s">
        <v>53</v>
      </c>
      <c r="H17" s="8" t="str">
        <f aca="false">VLOOKUP(B17,Manufacturers!A$1:B869,2)</f>
        <v>FR</v>
      </c>
      <c r="I17" s="11" t="n">
        <v>67500</v>
      </c>
      <c r="J17" s="8"/>
      <c r="K17" s="8" t="n">
        <v>1</v>
      </c>
      <c r="L17" s="12" t="n">
        <v>14</v>
      </c>
      <c r="M17" s="11" t="e">
        <f aca="false">IF(AND(ISNUMBER(L17),L17&gt;0),(3*J17+K17)*#REF!/L17,"-")</f>
        <v>#REF!</v>
      </c>
      <c r="N17" s="11" t="e">
        <f aca="false">IF(AND(#REF!,ISNUMBER(L17),L17&gt;0),((3*J17+K17)*#REF!-I17)/L17,"-")</f>
        <v>#REF!</v>
      </c>
      <c r="O17" s="8"/>
      <c r="P17" s="8"/>
    </row>
    <row r="18" customFormat="false" ht="15.75" hidden="false" customHeight="true" outlineLevel="0" collapsed="false">
      <c r="A18" s="7" t="s">
        <v>64</v>
      </c>
      <c r="B18" s="8" t="s">
        <v>65</v>
      </c>
      <c r="C18" s="8" t="n">
        <v>2015</v>
      </c>
      <c r="D18" s="9" t="s">
        <v>66</v>
      </c>
      <c r="E18" s="7" t="s">
        <v>67</v>
      </c>
      <c r="F18" s="10" t="n">
        <f aca="false">IF(ISBLANK($G18),,VLOOKUP($G18, Rarities!$A$1:$B869, 2, FALSE()))</f>
        <v>3</v>
      </c>
      <c r="G18" s="8" t="s">
        <v>53</v>
      </c>
      <c r="H18" s="8" t="str">
        <f aca="false">VLOOKUP(B18,Manufacturers!A$1:B869,2)</f>
        <v>US</v>
      </c>
      <c r="I18" s="11" t="n">
        <v>300000</v>
      </c>
      <c r="J18" s="8"/>
      <c r="K18" s="8" t="n">
        <v>2</v>
      </c>
      <c r="L18" s="12" t="n">
        <v>16</v>
      </c>
      <c r="M18" s="11" t="e">
        <f aca="false">IF(AND(ISNUMBER(L18),L18&gt;0),(3*J18+K18)*#REF!/L18,"-")</f>
        <v>#REF!</v>
      </c>
      <c r="N18" s="11" t="e">
        <f aca="false">IF(AND(#REF!,ISNUMBER(L18),L18&gt;0),((3*J18+K18)*#REF!-I18)/L18,"-")</f>
        <v>#REF!</v>
      </c>
      <c r="O18" s="8"/>
      <c r="P18" s="8"/>
    </row>
    <row r="19" customFormat="false" ht="15.75" hidden="false" customHeight="true" outlineLevel="0" collapsed="false">
      <c r="A19" s="7" t="s">
        <v>68</v>
      </c>
      <c r="B19" s="8" t="s">
        <v>65</v>
      </c>
      <c r="C19" s="8" t="n">
        <v>2021</v>
      </c>
      <c r="D19" s="9" t="s">
        <v>69</v>
      </c>
      <c r="E19" s="7" t="s">
        <v>67</v>
      </c>
      <c r="F19" s="10" t="n">
        <f aca="false">IF(ISBLANK($G19),,VLOOKUP($G19, Rarities!$A$1:$B869, 2, FALSE()))</f>
        <v>3</v>
      </c>
      <c r="G19" s="8" t="s">
        <v>53</v>
      </c>
      <c r="H19" s="8" t="str">
        <f aca="false">VLOOKUP(B19,Manufacturers!A$1:B869,2)</f>
        <v>US</v>
      </c>
      <c r="I19" s="11" t="n">
        <v>300000</v>
      </c>
      <c r="J19" s="8"/>
      <c r="K19" s="8"/>
      <c r="L19" s="12"/>
      <c r="M19" s="11"/>
      <c r="N19" s="11"/>
      <c r="O19" s="8"/>
      <c r="P19" s="8"/>
    </row>
    <row r="20" customFormat="false" ht="15.75" hidden="false" customHeight="true" outlineLevel="0" collapsed="false">
      <c r="A20" s="7" t="s">
        <v>70</v>
      </c>
      <c r="B20" s="8" t="s">
        <v>65</v>
      </c>
      <c r="C20" s="8" t="n">
        <v>2022</v>
      </c>
      <c r="D20" s="9" t="s">
        <v>71</v>
      </c>
      <c r="E20" s="7" t="s">
        <v>72</v>
      </c>
      <c r="F20" s="10" t="n">
        <f aca="false">IF(ISBLANK($G20),,VLOOKUP($G20, Rarities!$A$1:$B869, 2, FALSE()))</f>
        <v>3</v>
      </c>
      <c r="G20" s="8" t="s">
        <v>53</v>
      </c>
      <c r="H20" s="8" t="str">
        <f aca="false">VLOOKUP(B20,Manufacturers!A$1:B869,2)</f>
        <v>US</v>
      </c>
      <c r="I20" s="11" t="n">
        <v>500000</v>
      </c>
      <c r="J20" s="8"/>
      <c r="K20" s="8"/>
      <c r="L20" s="12"/>
      <c r="M20" s="11"/>
      <c r="N20" s="11"/>
      <c r="O20" s="8"/>
      <c r="P20" s="8"/>
    </row>
    <row r="21" customFormat="false" ht="15.75" hidden="false" customHeight="true" outlineLevel="0" collapsed="false">
      <c r="A21" s="7" t="s">
        <v>73</v>
      </c>
      <c r="B21" s="8" t="s">
        <v>74</v>
      </c>
      <c r="C21" s="8" t="n">
        <v>1970</v>
      </c>
      <c r="D21" s="9" t="s">
        <v>75</v>
      </c>
      <c r="E21" s="7" t="s">
        <v>76</v>
      </c>
      <c r="F21" s="10" t="n">
        <f aca="false">IF(ISBLANK($G21),,VLOOKUP($G21, Rarities!$A$1:$B869, 2, FALSE()))</f>
        <v>2</v>
      </c>
      <c r="G21" s="8" t="s">
        <v>36</v>
      </c>
      <c r="H21" s="8" t="str">
        <f aca="false">VLOOKUP(B21,Manufacturers!A$1:B869,2)</f>
        <v>US</v>
      </c>
      <c r="I21" s="11" t="n">
        <v>250000</v>
      </c>
      <c r="J21" s="8"/>
      <c r="K21" s="8"/>
      <c r="L21" s="12"/>
      <c r="M21" s="11"/>
      <c r="N21" s="11"/>
      <c r="O21" s="8"/>
      <c r="P21" s="8"/>
    </row>
    <row r="22" customFormat="false" ht="15.75" hidden="false" customHeight="true" outlineLevel="0" collapsed="false">
      <c r="A22" s="7" t="s">
        <v>77</v>
      </c>
      <c r="B22" s="8" t="s">
        <v>74</v>
      </c>
      <c r="C22" s="8" t="n">
        <v>1971</v>
      </c>
      <c r="D22" s="9" t="s">
        <v>78</v>
      </c>
      <c r="E22" s="7" t="s">
        <v>76</v>
      </c>
      <c r="F22" s="10" t="n">
        <f aca="false">IF(ISBLANK($G22),,VLOOKUP($G22, Rarities!$A$1:$B869, 2, FALSE()))</f>
        <v>2</v>
      </c>
      <c r="G22" s="8" t="s">
        <v>36</v>
      </c>
      <c r="H22" s="8" t="str">
        <f aca="false">VLOOKUP(B22,Manufacturers!A$1:B869,2)</f>
        <v>US</v>
      </c>
      <c r="I22" s="11" t="n">
        <v>250000</v>
      </c>
      <c r="J22" s="8"/>
      <c r="K22" s="8"/>
      <c r="L22" s="12"/>
      <c r="M22" s="11"/>
      <c r="N22" s="11"/>
      <c r="O22" s="8"/>
      <c r="P22" s="8"/>
    </row>
    <row r="23" customFormat="false" ht="15.75" hidden="false" customHeight="true" outlineLevel="0" collapsed="false">
      <c r="A23" s="7" t="s">
        <v>79</v>
      </c>
      <c r="B23" s="8" t="s">
        <v>74</v>
      </c>
      <c r="C23" s="8" t="n">
        <v>1973</v>
      </c>
      <c r="D23" s="9" t="s">
        <v>80</v>
      </c>
      <c r="E23" s="7" t="s">
        <v>16</v>
      </c>
      <c r="F23" s="10" t="n">
        <f aca="false">IF(ISBLANK($G23),,VLOOKUP($G23, Rarities!$A$1:$B869, 2, FALSE()))</f>
        <v>1</v>
      </c>
      <c r="G23" s="8" t="s">
        <v>17</v>
      </c>
      <c r="H23" s="8" t="str">
        <f aca="false">VLOOKUP(B23,Manufacturers!A$1:B869,2)</f>
        <v>US</v>
      </c>
      <c r="I23" s="11" t="n">
        <v>35000</v>
      </c>
      <c r="J23" s="8"/>
      <c r="K23" s="8" t="n">
        <v>1</v>
      </c>
      <c r="L23" s="12" t="n">
        <v>9</v>
      </c>
      <c r="M23" s="11" t="e">
        <f aca="false">IF(AND(ISNUMBER(L23),L23&gt;0),(3*J23+K23)*#REF!/L23,"-")</f>
        <v>#REF!</v>
      </c>
      <c r="N23" s="11" t="e">
        <f aca="false">IF(AND(#REF!,ISNUMBER(L23),L23&gt;0),((3*J23+K23)*#REF!-I23)/L23,"-")</f>
        <v>#REF!</v>
      </c>
      <c r="O23" s="8"/>
      <c r="P23" s="8"/>
    </row>
    <row r="24" customFormat="false" ht="15.75" hidden="false" customHeight="true" outlineLevel="0" collapsed="false">
      <c r="A24" s="7" t="s">
        <v>81</v>
      </c>
      <c r="B24" s="8" t="s">
        <v>82</v>
      </c>
      <c r="C24" s="8" t="n">
        <v>2554</v>
      </c>
      <c r="D24" s="9" t="s">
        <v>81</v>
      </c>
      <c r="E24" s="7" t="s">
        <v>72</v>
      </c>
      <c r="F24" s="10" t="n">
        <f aca="false">IF(ISBLANK($G24),,VLOOKUP($G24, Rarities!$A$1:$B869, 2, FALSE()))</f>
        <v>4</v>
      </c>
      <c r="G24" s="8" t="s">
        <v>41</v>
      </c>
      <c r="H24" s="8" t="str">
        <f aca="false">VLOOKUP(B24,Manufacturers!A$1:B869,2)</f>
        <v>US</v>
      </c>
      <c r="I24" s="11" t="n">
        <v>850000</v>
      </c>
      <c r="J24" s="8"/>
      <c r="K24" s="8" t="n">
        <v>2</v>
      </c>
      <c r="L24" s="12" t="n">
        <v>9</v>
      </c>
      <c r="M24" s="11" t="e">
        <f aca="false">IF(AND(ISNUMBER(L24),L24&gt;0),(3*J24+K24)*#REF!/L24,"-")</f>
        <v>#REF!</v>
      </c>
      <c r="N24" s="11" t="e">
        <f aca="false">IF(AND(#REF!,ISNUMBER(L24),L24&gt;0),((3*J24+K24)*#REF!-I24)/L24,"-")</f>
        <v>#REF!</v>
      </c>
      <c r="O24" s="8"/>
      <c r="P24" s="8"/>
    </row>
    <row r="25" customFormat="false" ht="15.75" hidden="false" customHeight="true" outlineLevel="0" collapsed="false">
      <c r="A25" s="7" t="s">
        <v>83</v>
      </c>
      <c r="B25" s="8" t="s">
        <v>84</v>
      </c>
      <c r="C25" s="8" t="n">
        <v>2018</v>
      </c>
      <c r="D25" s="9" t="s">
        <v>85</v>
      </c>
      <c r="E25" s="7" t="s">
        <v>86</v>
      </c>
      <c r="F25" s="10" t="n">
        <f aca="false">IF(ISBLANK($G25),,VLOOKUP($G25, Rarities!$A$1:$B869, 2, FALSE()))</f>
        <v>4</v>
      </c>
      <c r="G25" s="8" t="s">
        <v>41</v>
      </c>
      <c r="H25" s="8" t="str">
        <f aca="false">VLOOKUP(B25,Manufacturers!A$1:B869,2)</f>
        <v>DE</v>
      </c>
      <c r="I25" s="11" t="n">
        <v>1500000</v>
      </c>
      <c r="J25" s="8"/>
      <c r="K25" s="8" t="n">
        <v>2</v>
      </c>
      <c r="L25" s="12" t="n">
        <v>13</v>
      </c>
      <c r="M25" s="11" t="e">
        <f aca="false">IF(AND(ISNUMBER(L25),L25&gt;0),(3*J25+K25)*#REF!/L25,"-")</f>
        <v>#REF!</v>
      </c>
      <c r="N25" s="11" t="e">
        <f aca="false">IF(AND(#REF!,ISNUMBER(L25),L25&gt;0),((3*J25+K25)*#REF!-I25)/L25,"-")</f>
        <v>#REF!</v>
      </c>
      <c r="O25" s="8"/>
      <c r="P25" s="8"/>
    </row>
    <row r="26" customFormat="false" ht="15.75" hidden="false" customHeight="true" outlineLevel="0" collapsed="false">
      <c r="A26" s="7" t="s">
        <v>87</v>
      </c>
      <c r="B26" s="8" t="s">
        <v>84</v>
      </c>
      <c r="C26" s="8" t="n">
        <v>2018</v>
      </c>
      <c r="D26" s="9" t="s">
        <v>88</v>
      </c>
      <c r="E26" s="7" t="s">
        <v>86</v>
      </c>
      <c r="F26" s="10" t="n">
        <f aca="false">IF(ISBLANK($G26),,VLOOKUP($G26, Rarities!$A$1:$B869, 2, FALSE()))</f>
        <v>1</v>
      </c>
      <c r="G26" s="8" t="s">
        <v>17</v>
      </c>
      <c r="H26" s="8" t="str">
        <f aca="false">VLOOKUP(B26,Manufacturers!A$1:B869,2)</f>
        <v>DE</v>
      </c>
      <c r="I26" s="11" t="n">
        <v>1500000</v>
      </c>
      <c r="J26" s="8"/>
      <c r="K26" s="8" t="n">
        <v>2</v>
      </c>
      <c r="L26" s="12" t="n">
        <v>13</v>
      </c>
      <c r="M26" s="11" t="e">
        <f aca="false">IF(AND(ISNUMBER(L26),L26&gt;0),(3*J26+K26)*#REF!/L26,"-")</f>
        <v>#REF!</v>
      </c>
      <c r="N26" s="11" t="e">
        <f aca="false">IF(AND(#REF!,ISNUMBER(L26),L26&gt;0),((3*J26+K26)*#REF!-I26)/L26,"-")</f>
        <v>#REF!</v>
      </c>
      <c r="O26" s="8"/>
      <c r="P26" s="8"/>
    </row>
    <row r="27" customFormat="false" ht="15.75" hidden="false" customHeight="true" outlineLevel="0" collapsed="false">
      <c r="A27" s="7" t="s">
        <v>89</v>
      </c>
      <c r="B27" s="8" t="s">
        <v>90</v>
      </c>
      <c r="C27" s="8" t="n">
        <v>2013</v>
      </c>
      <c r="D27" s="9" t="s">
        <v>91</v>
      </c>
      <c r="E27" s="7" t="s">
        <v>86</v>
      </c>
      <c r="F27" s="10" t="n">
        <f aca="false">IF(ISBLANK($G27),,VLOOKUP($G27, Rarities!$A$1:$B869, 2, FALSE()))</f>
        <v>3</v>
      </c>
      <c r="G27" s="8" t="s">
        <v>53</v>
      </c>
      <c r="H27" s="8" t="str">
        <f aca="false">VLOOKUP(B27,Manufacturers!A$1:B869,2)</f>
        <v>GB</v>
      </c>
      <c r="I27" s="11" t="n">
        <v>200000</v>
      </c>
      <c r="J27" s="8"/>
      <c r="K27" s="8" t="n">
        <v>2</v>
      </c>
      <c r="L27" s="12" t="n">
        <v>11</v>
      </c>
      <c r="M27" s="11" t="e">
        <f aca="false">IF(AND(ISNUMBER(L27),L27&gt;0),(3*J27+K27)*#REF!/L27,"-")</f>
        <v>#REF!</v>
      </c>
      <c r="N27" s="11" t="e">
        <f aca="false">IF(AND(#REF!,ISNUMBER(L27),L27&gt;0),((3*J27+K27)*#REF!-I27)/L27,"-")</f>
        <v>#REF!</v>
      </c>
      <c r="O27" s="8"/>
      <c r="P27" s="8"/>
    </row>
    <row r="28" customFormat="false" ht="15.75" hidden="false" customHeight="true" outlineLevel="0" collapsed="false">
      <c r="A28" s="7" t="s">
        <v>92</v>
      </c>
      <c r="B28" s="8" t="s">
        <v>90</v>
      </c>
      <c r="C28" s="8" t="n">
        <v>2016</v>
      </c>
      <c r="D28" s="9" t="s">
        <v>93</v>
      </c>
      <c r="E28" s="7" t="s">
        <v>67</v>
      </c>
      <c r="F28" s="10" t="n">
        <f aca="false">IF(ISBLANK($G28),,VLOOKUP($G28, Rarities!$A$1:$B869, 2, FALSE()))</f>
        <v>2</v>
      </c>
      <c r="G28" s="8" t="s">
        <v>36</v>
      </c>
      <c r="H28" s="8" t="str">
        <f aca="false">VLOOKUP(B28,Manufacturers!A$1:B869,2)</f>
        <v>GB</v>
      </c>
      <c r="I28" s="11" t="n">
        <v>93000</v>
      </c>
      <c r="J28" s="8"/>
      <c r="K28" s="8" t="n">
        <v>1</v>
      </c>
      <c r="L28" s="12" t="n">
        <v>14</v>
      </c>
      <c r="M28" s="11" t="e">
        <f aca="false">IF(AND(ISNUMBER(L28),L28&gt;0),(3*J28+K28)*#REF!/L28,"-")</f>
        <v>#REF!</v>
      </c>
      <c r="N28" s="11" t="e">
        <f aca="false">IF(AND(#REF!,ISNUMBER(L28),L28&gt;0),((3*J28+K28)*#REF!-I28)/L28,"-")</f>
        <v>#REF!</v>
      </c>
      <c r="O28" s="8"/>
      <c r="P28" s="8"/>
    </row>
    <row r="29" customFormat="false" ht="15.75" hidden="false" customHeight="true" outlineLevel="0" collapsed="false">
      <c r="A29" s="7" t="s">
        <v>94</v>
      </c>
      <c r="B29" s="8" t="s">
        <v>95</v>
      </c>
      <c r="C29" s="8" t="n">
        <v>2012</v>
      </c>
      <c r="D29" s="9" t="s">
        <v>96</v>
      </c>
      <c r="E29" s="7" t="s">
        <v>35</v>
      </c>
      <c r="F29" s="10" t="n">
        <f aca="false">IF(ISBLANK($G29),,VLOOKUP($G29, Rarities!$A$1:$B869, 2, FALSE()))</f>
        <v>3</v>
      </c>
      <c r="G29" s="8" t="s">
        <v>53</v>
      </c>
      <c r="H29" s="8" t="str">
        <f aca="false">VLOOKUP(B29,Manufacturers!A$1:B869,2)</f>
        <v>GB</v>
      </c>
      <c r="I29" s="11" t="n">
        <v>250000</v>
      </c>
      <c r="J29" s="8"/>
      <c r="K29" s="8"/>
      <c r="L29" s="12"/>
      <c r="M29" s="11"/>
      <c r="N29" s="11"/>
      <c r="O29" s="8"/>
      <c r="P29" s="8"/>
    </row>
    <row r="30" customFormat="false" ht="15.75" hidden="false" customHeight="true" outlineLevel="0" collapsed="false">
      <c r="A30" s="7" t="s">
        <v>97</v>
      </c>
      <c r="B30" s="8" t="s">
        <v>98</v>
      </c>
      <c r="C30" s="8" t="n">
        <v>1958</v>
      </c>
      <c r="D30" s="9" t="s">
        <v>99</v>
      </c>
      <c r="E30" s="7" t="s">
        <v>40</v>
      </c>
      <c r="F30" s="10" t="n">
        <f aca="false">IF(ISBLANK($G30),,VLOOKUP($G30, Rarities!$A$1:$B869, 2, FALSE()))</f>
        <v>4</v>
      </c>
      <c r="G30" s="8" t="s">
        <v>41</v>
      </c>
      <c r="H30" s="8" t="str">
        <f aca="false">VLOOKUP(B30,Manufacturers!A$1:B869,2)</f>
        <v>GB</v>
      </c>
      <c r="I30" s="11" t="n">
        <v>22500000</v>
      </c>
      <c r="J30" s="8"/>
      <c r="K30" s="8"/>
      <c r="L30" s="12"/>
      <c r="M30" s="11"/>
      <c r="N30" s="11"/>
      <c r="O30" s="8"/>
      <c r="P30" s="8"/>
    </row>
    <row r="31" customFormat="false" ht="15.75" hidden="false" customHeight="true" outlineLevel="0" collapsed="false">
      <c r="A31" s="7" t="s">
        <v>100</v>
      </c>
      <c r="B31" s="8" t="s">
        <v>98</v>
      </c>
      <c r="C31" s="8" t="n">
        <v>1964</v>
      </c>
      <c r="D31" s="9" t="s">
        <v>101</v>
      </c>
      <c r="E31" s="7" t="s">
        <v>44</v>
      </c>
      <c r="F31" s="10" t="n">
        <f aca="false">IF(ISBLANK($G31),,VLOOKUP($G31, Rarities!$A$1:$B869, 2, FALSE()))</f>
        <v>3</v>
      </c>
      <c r="G31" s="8" t="s">
        <v>53</v>
      </c>
      <c r="H31" s="8" t="str">
        <f aca="false">VLOOKUP(B31,Manufacturers!A$1:B869,2)</f>
        <v>GB</v>
      </c>
      <c r="I31" s="11" t="n">
        <v>800000</v>
      </c>
      <c r="J31" s="8"/>
      <c r="K31" s="8" t="n">
        <v>2</v>
      </c>
      <c r="L31" s="12" t="n">
        <v>11</v>
      </c>
      <c r="M31" s="11" t="e">
        <f aca="false">IF(AND(ISNUMBER(L31),L31&gt;0),(3*J31+K31)*#REF!/L31,"-")</f>
        <v>#REF!</v>
      </c>
      <c r="N31" s="11" t="e">
        <f aca="false">IF(AND(#REF!,ISNUMBER(L31),L31&gt;0),((3*J31+K31)*#REF!-I31)/L31,"-")</f>
        <v>#REF!</v>
      </c>
      <c r="O31" s="8"/>
      <c r="P31" s="8"/>
    </row>
    <row r="32" customFormat="false" ht="15.75" hidden="false" customHeight="true" outlineLevel="0" collapsed="false">
      <c r="A32" s="7" t="s">
        <v>102</v>
      </c>
      <c r="B32" s="8" t="s">
        <v>98</v>
      </c>
      <c r="C32" s="8" t="n">
        <v>2008</v>
      </c>
      <c r="D32" s="9" t="s">
        <v>103</v>
      </c>
      <c r="E32" s="7" t="s">
        <v>52</v>
      </c>
      <c r="F32" s="10" t="n">
        <f aca="false">IF(ISBLANK($G32),,VLOOKUP($G32, Rarities!$A$1:$B869, 2, FALSE()))</f>
        <v>3</v>
      </c>
      <c r="G32" s="8" t="s">
        <v>53</v>
      </c>
      <c r="H32" s="8" t="str">
        <f aca="false">VLOOKUP(B32,Manufacturers!A$1:B869,2)</f>
        <v>GB</v>
      </c>
      <c r="I32" s="11" t="n">
        <v>325000</v>
      </c>
      <c r="J32" s="8"/>
      <c r="K32" s="8"/>
      <c r="L32" s="12"/>
      <c r="M32" s="11"/>
      <c r="N32" s="11"/>
      <c r="O32" s="8"/>
      <c r="P32" s="8"/>
    </row>
    <row r="33" customFormat="false" ht="15.75" hidden="false" customHeight="true" outlineLevel="0" collapsed="false">
      <c r="A33" s="7" t="s">
        <v>104</v>
      </c>
      <c r="B33" s="8" t="s">
        <v>98</v>
      </c>
      <c r="C33" s="8" t="n">
        <v>2010</v>
      </c>
      <c r="D33" s="9" t="s">
        <v>105</v>
      </c>
      <c r="E33" s="7" t="s">
        <v>106</v>
      </c>
      <c r="F33" s="10" t="n">
        <f aca="false">IF(ISBLANK($G33),,VLOOKUP($G33, Rarities!$A$1:$B869, 2, FALSE()))</f>
        <v>4</v>
      </c>
      <c r="G33" s="8" t="s">
        <v>41</v>
      </c>
      <c r="H33" s="8" t="str">
        <f aca="false">VLOOKUP(B33,Manufacturers!A$1:B869,2)</f>
        <v>GB</v>
      </c>
      <c r="I33" s="11" t="n">
        <v>1400000</v>
      </c>
      <c r="J33" s="8"/>
      <c r="K33" s="8"/>
      <c r="L33" s="12"/>
      <c r="M33" s="11"/>
      <c r="N33" s="11"/>
      <c r="O33" s="8"/>
      <c r="P33" s="8"/>
    </row>
    <row r="34" customFormat="false" ht="15.75" hidden="false" customHeight="true" outlineLevel="0" collapsed="false">
      <c r="A34" s="7" t="s">
        <v>107</v>
      </c>
      <c r="B34" s="8" t="s">
        <v>98</v>
      </c>
      <c r="C34" s="8" t="n">
        <v>2013</v>
      </c>
      <c r="D34" s="9" t="s">
        <v>108</v>
      </c>
      <c r="E34" s="7" t="s">
        <v>106</v>
      </c>
      <c r="F34" s="10" t="n">
        <f aca="false">IF(ISBLANK($G34),,VLOOKUP($G34, Rarities!$A$1:$B869, 2, FALSE()))</f>
        <v>3</v>
      </c>
      <c r="G34" s="8" t="s">
        <v>53</v>
      </c>
      <c r="H34" s="8" t="str">
        <f aca="false">VLOOKUP(B34,Manufacturers!A$1:B869,2)</f>
        <v>GB</v>
      </c>
      <c r="I34" s="11" t="n">
        <v>240000</v>
      </c>
      <c r="J34" s="8"/>
      <c r="K34" s="8" t="n">
        <v>1</v>
      </c>
      <c r="L34" s="12" t="n">
        <v>14</v>
      </c>
      <c r="M34" s="11" t="e">
        <f aca="false">IF(AND(ISNUMBER(L34),L34&gt;0),(3*J34+K34)*#REF!/L34,"-")</f>
        <v>#REF!</v>
      </c>
      <c r="N34" s="11" t="e">
        <f aca="false">IF(AND(#REF!,ISNUMBER(L34),L34&gt;0),((3*J34+K34)*#REF!-I34)/L34,"-")</f>
        <v>#REF!</v>
      </c>
      <c r="O34" s="8"/>
      <c r="P34" s="8"/>
    </row>
    <row r="35" customFormat="false" ht="15.75" hidden="false" customHeight="true" outlineLevel="0" collapsed="false">
      <c r="A35" s="7" t="s">
        <v>109</v>
      </c>
      <c r="B35" s="8" t="s">
        <v>98</v>
      </c>
      <c r="C35" s="8" t="n">
        <v>2016</v>
      </c>
      <c r="D35" s="9" t="s">
        <v>110</v>
      </c>
      <c r="E35" s="7" t="s">
        <v>111</v>
      </c>
      <c r="F35" s="10" t="n">
        <f aca="false">IF(ISBLANK($G35),,VLOOKUP($G35, Rarities!$A$1:$B869, 2, FALSE()))</f>
        <v>3</v>
      </c>
      <c r="G35" s="8" t="s">
        <v>53</v>
      </c>
      <c r="H35" s="8" t="str">
        <f aca="false">VLOOKUP(B35,Manufacturers!A$1:B869,2)</f>
        <v>GB</v>
      </c>
      <c r="I35" s="11" t="n">
        <v>400000</v>
      </c>
      <c r="J35" s="8"/>
      <c r="K35" s="8" t="n">
        <v>1</v>
      </c>
      <c r="L35" s="12" t="n">
        <v>9</v>
      </c>
      <c r="M35" s="11" t="e">
        <f aca="false">IF(AND(ISNUMBER(L35),L35&gt;0),(3*J35+K35)*#REF!/L35,"-")</f>
        <v>#REF!</v>
      </c>
      <c r="N35" s="11" t="e">
        <f aca="false">IF(AND(#REF!,ISNUMBER(L35),L35&gt;0),((3*J35+K35)*#REF!-I35)/L35,"-")</f>
        <v>#REF!</v>
      </c>
      <c r="O35" s="8"/>
      <c r="P35" s="8"/>
    </row>
    <row r="36" customFormat="false" ht="15.75" hidden="false" customHeight="true" outlineLevel="0" collapsed="false">
      <c r="A36" s="7" t="s">
        <v>112</v>
      </c>
      <c r="B36" s="8" t="s">
        <v>98</v>
      </c>
      <c r="C36" s="8" t="n">
        <v>2017</v>
      </c>
      <c r="D36" s="9" t="s">
        <v>113</v>
      </c>
      <c r="E36" s="7" t="s">
        <v>86</v>
      </c>
      <c r="F36" s="10" t="n">
        <f aca="false">IF(ISBLANK($G36),,VLOOKUP($G36, Rarities!$A$1:$B869, 2, FALSE()))</f>
        <v>4</v>
      </c>
      <c r="G36" s="8" t="s">
        <v>41</v>
      </c>
      <c r="H36" s="8" t="str">
        <f aca="false">VLOOKUP(B36,Manufacturers!A$1:B869,2)</f>
        <v>GB</v>
      </c>
      <c r="I36" s="11" t="n">
        <v>2000000</v>
      </c>
      <c r="J36" s="8"/>
      <c r="K36" s="8" t="n">
        <v>2</v>
      </c>
      <c r="L36" s="12" t="n">
        <v>11</v>
      </c>
      <c r="M36" s="11" t="e">
        <f aca="false">IF(AND(ISNUMBER(L36),L36&gt;0),(3*J36+K36)*#REF!/L36,"-")</f>
        <v>#REF!</v>
      </c>
      <c r="N36" s="11" t="e">
        <f aca="false">IF(AND(#REF!,ISNUMBER(L36),L36&gt;0),((3*J36+K36)*#REF!-I36)/L36,"-")</f>
        <v>#REF!</v>
      </c>
      <c r="O36" s="8"/>
      <c r="P36" s="8"/>
    </row>
    <row r="37" customFormat="false" ht="15.75" hidden="false" customHeight="true" outlineLevel="0" collapsed="false">
      <c r="A37" s="7" t="s">
        <v>114</v>
      </c>
      <c r="B37" s="8" t="s">
        <v>98</v>
      </c>
      <c r="C37" s="8" t="n">
        <v>2017</v>
      </c>
      <c r="D37" s="9" t="s">
        <v>115</v>
      </c>
      <c r="E37" s="7" t="s">
        <v>106</v>
      </c>
      <c r="F37" s="10" t="n">
        <f aca="false">IF(ISBLANK($G37),,VLOOKUP($G37, Rarities!$A$1:$B869, 2, FALSE()))</f>
        <v>3</v>
      </c>
      <c r="G37" s="8" t="s">
        <v>53</v>
      </c>
      <c r="H37" s="8" t="str">
        <f aca="false">VLOOKUP(B37,Manufacturers!A$1:B869,2)</f>
        <v>GB</v>
      </c>
      <c r="I37" s="11" t="n">
        <v>300000</v>
      </c>
      <c r="J37" s="8"/>
      <c r="K37" s="8" t="n">
        <v>1</v>
      </c>
      <c r="L37" s="12" t="n">
        <v>14</v>
      </c>
      <c r="M37" s="11" t="e">
        <f aca="false">IF(AND(ISNUMBER(L37),L37&gt;0),(3*J37+K37)*#REF!/L37,"-")</f>
        <v>#REF!</v>
      </c>
      <c r="N37" s="11" t="e">
        <f aca="false">IF(AND(#REF!,ISNUMBER(L37),L37&gt;0),((3*J37+K37)*#REF!-I37)/L37,"-")</f>
        <v>#REF!</v>
      </c>
      <c r="O37" s="8"/>
      <c r="P37" s="8"/>
    </row>
    <row r="38" customFormat="false" ht="15.75" hidden="false" customHeight="true" outlineLevel="0" collapsed="false">
      <c r="A38" s="7" t="s">
        <v>116</v>
      </c>
      <c r="B38" s="8" t="s">
        <v>98</v>
      </c>
      <c r="C38" s="8" t="n">
        <v>2019</v>
      </c>
      <c r="D38" s="9" t="s">
        <v>117</v>
      </c>
      <c r="E38" s="7" t="s">
        <v>118</v>
      </c>
      <c r="F38" s="10" t="n">
        <f aca="false">IF(ISBLANK($G38),,VLOOKUP($G38, Rarities!$A$1:$B869, 2, FALSE()))</f>
        <v>4</v>
      </c>
      <c r="G38" s="8" t="s">
        <v>41</v>
      </c>
      <c r="H38" s="8" t="str">
        <f aca="false">VLOOKUP(B38,Manufacturers!A$1:B869,2)</f>
        <v>GB</v>
      </c>
      <c r="I38" s="11" t="n">
        <v>1150000</v>
      </c>
      <c r="J38" s="8" t="n">
        <v>2</v>
      </c>
      <c r="K38" s="8" t="n">
        <v>1</v>
      </c>
      <c r="L38" s="12" t="n">
        <v>21</v>
      </c>
      <c r="M38" s="11" t="e">
        <f aca="false">IF(AND(ISNUMBER(L38),L38&gt;0),(3*J38+K38)*#REF!/L38,"-")</f>
        <v>#REF!</v>
      </c>
      <c r="N38" s="11" t="e">
        <f aca="false">IF(AND(#REF!,ISNUMBER(L38),L38&gt;0),((3*J38+K38)*#REF!-I38)/L38,"-")</f>
        <v>#REF!</v>
      </c>
      <c r="O38" s="8"/>
      <c r="P38" s="8"/>
    </row>
    <row r="39" customFormat="false" ht="15.75" hidden="false" customHeight="true" outlineLevel="0" collapsed="false">
      <c r="A39" s="7" t="s">
        <v>119</v>
      </c>
      <c r="B39" s="8" t="s">
        <v>98</v>
      </c>
      <c r="C39" s="8" t="n">
        <v>2019</v>
      </c>
      <c r="D39" s="9" t="s">
        <v>120</v>
      </c>
      <c r="E39" s="7" t="s">
        <v>106</v>
      </c>
      <c r="F39" s="10" t="n">
        <f aca="false">IF(ISBLANK($G39),,VLOOKUP($G39, Rarities!$A$1:$B869, 2, FALSE()))</f>
        <v>3</v>
      </c>
      <c r="G39" s="8" t="s">
        <v>53</v>
      </c>
      <c r="H39" s="8" t="str">
        <f aca="false">VLOOKUP(B39,Manufacturers!A$1:B869,2)</f>
        <v>GB</v>
      </c>
      <c r="I39" s="11" t="n">
        <v>350000</v>
      </c>
      <c r="J39" s="8"/>
      <c r="K39" s="8" t="n">
        <v>1</v>
      </c>
      <c r="L39" s="12" t="n">
        <v>14</v>
      </c>
      <c r="M39" s="11" t="e">
        <f aca="false">IF(AND(ISNUMBER(L39),L39&gt;0),(3*J39+K39)*#REF!/L39,"-")</f>
        <v>#REF!</v>
      </c>
      <c r="N39" s="11" t="e">
        <f aca="false">IF(AND(#REF!,ISNUMBER(L39),L39&gt;0),((3*J39+K39)*#REF!-I39)/L39,"-")</f>
        <v>#REF!</v>
      </c>
      <c r="O39" s="8"/>
      <c r="P39" s="8"/>
    </row>
    <row r="40" customFormat="false" ht="15.75" hidden="false" customHeight="true" outlineLevel="0" collapsed="false">
      <c r="A40" s="7" t="s">
        <v>121</v>
      </c>
      <c r="B40" s="8" t="s">
        <v>98</v>
      </c>
      <c r="C40" s="8" t="n">
        <v>2019</v>
      </c>
      <c r="D40" s="9" t="s">
        <v>122</v>
      </c>
      <c r="E40" s="7" t="s">
        <v>52</v>
      </c>
      <c r="F40" s="10" t="n">
        <f aca="false">IF(ISBLANK($G40),,VLOOKUP($G40, Rarities!$A$1:$B869, 2, FALSE()))</f>
        <v>3</v>
      </c>
      <c r="G40" s="8" t="s">
        <v>53</v>
      </c>
      <c r="H40" s="8" t="str">
        <f aca="false">VLOOKUP(B40,Manufacturers!A$1:B869,2)</f>
        <v>GB</v>
      </c>
      <c r="I40" s="11" t="n">
        <v>430000</v>
      </c>
      <c r="J40" s="8"/>
      <c r="K40" s="8" t="n">
        <v>1</v>
      </c>
      <c r="L40" s="12" t="n">
        <v>14</v>
      </c>
      <c r="M40" s="11" t="e">
        <f aca="false">IF(AND(ISNUMBER(L40),L40&gt;0),(3*J40+K40)*#REF!/L40,"-")</f>
        <v>#REF!</v>
      </c>
      <c r="N40" s="11" t="e">
        <f aca="false">IF(AND(#REF!,ISNUMBER(L40),L40&gt;0),((3*J40+K40)*#REF!-I40)/L40,"-")</f>
        <v>#REF!</v>
      </c>
      <c r="O40" s="8"/>
      <c r="P40" s="8"/>
    </row>
    <row r="41" customFormat="false" ht="15.75" hidden="false" customHeight="true" outlineLevel="0" collapsed="false">
      <c r="A41" s="7" t="s">
        <v>123</v>
      </c>
      <c r="B41" s="8" t="s">
        <v>98</v>
      </c>
      <c r="C41" s="8" t="n">
        <v>2021</v>
      </c>
      <c r="D41" s="9" t="s">
        <v>124</v>
      </c>
      <c r="E41" s="7" t="s">
        <v>125</v>
      </c>
      <c r="F41" s="10" t="n">
        <f aca="false">IF(ISBLANK($G41),,VLOOKUP($G41, Rarities!$A$1:$B869, 2, FALSE()))</f>
        <v>2</v>
      </c>
      <c r="G41" s="8" t="s">
        <v>36</v>
      </c>
      <c r="H41" s="8" t="str">
        <f aca="false">VLOOKUP(B41,Manufacturers!A$1:B869,2)</f>
        <v>GB</v>
      </c>
      <c r="I41" s="11" t="n">
        <v>200000</v>
      </c>
      <c r="J41" s="8"/>
      <c r="K41" s="8"/>
      <c r="L41" s="12"/>
      <c r="M41" s="11"/>
      <c r="N41" s="11"/>
      <c r="O41" s="8"/>
      <c r="P41" s="8"/>
    </row>
    <row r="42" customFormat="false" ht="15.75" hidden="false" customHeight="true" outlineLevel="0" collapsed="false">
      <c r="A42" s="7" t="s">
        <v>126</v>
      </c>
      <c r="B42" s="8" t="s">
        <v>98</v>
      </c>
      <c r="C42" s="8" t="n">
        <v>2022</v>
      </c>
      <c r="D42" s="9" t="s">
        <v>127</v>
      </c>
      <c r="E42" s="7" t="s">
        <v>86</v>
      </c>
      <c r="F42" s="10" t="n">
        <f aca="false">IF(ISBLANK($G42),,VLOOKUP($G42, Rarities!$A$1:$B869, 2, FALSE()))</f>
        <v>4</v>
      </c>
      <c r="G42" s="8" t="s">
        <v>41</v>
      </c>
      <c r="H42" s="8" t="str">
        <f aca="false">VLOOKUP(B42,Manufacturers!A$1:B869,2)</f>
        <v>GB</v>
      </c>
      <c r="I42" s="11" t="n">
        <v>4210000</v>
      </c>
      <c r="J42" s="8"/>
      <c r="K42" s="8"/>
      <c r="L42" s="12"/>
      <c r="M42" s="11"/>
      <c r="N42" s="11"/>
      <c r="O42" s="8"/>
      <c r="P42" s="8"/>
    </row>
    <row r="43" customFormat="false" ht="15.75" hidden="false" customHeight="true" outlineLevel="0" collapsed="false">
      <c r="A43" s="7" t="s">
        <v>128</v>
      </c>
      <c r="B43" s="8" t="s">
        <v>98</v>
      </c>
      <c r="C43" s="8" t="n">
        <v>2023</v>
      </c>
      <c r="D43" s="9" t="s">
        <v>129</v>
      </c>
      <c r="E43" s="7" t="s">
        <v>118</v>
      </c>
      <c r="F43" s="10" t="n">
        <f aca="false">IF(ISBLANK($G43),,VLOOKUP($G43, Rarities!$A$1:$B869, 2, FALSE()))</f>
        <v>4</v>
      </c>
      <c r="G43" s="8" t="s">
        <v>41</v>
      </c>
      <c r="H43" s="8" t="str">
        <f aca="false">VLOOKUP(B43,Manufacturers!A$1:B869,2)</f>
        <v>GB</v>
      </c>
      <c r="I43" s="11" t="n">
        <v>3250000</v>
      </c>
      <c r="J43" s="8"/>
      <c r="K43" s="8"/>
      <c r="L43" s="12"/>
      <c r="M43" s="11"/>
      <c r="N43" s="11"/>
      <c r="O43" s="8"/>
      <c r="P43" s="8"/>
    </row>
    <row r="44" customFormat="false" ht="15.75" hidden="false" customHeight="true" outlineLevel="0" collapsed="false">
      <c r="A44" s="7" t="s">
        <v>130</v>
      </c>
      <c r="B44" s="8" t="s">
        <v>131</v>
      </c>
      <c r="C44" s="8" t="n">
        <v>2018</v>
      </c>
      <c r="D44" s="9" t="s">
        <v>132</v>
      </c>
      <c r="E44" s="7" t="s">
        <v>35</v>
      </c>
      <c r="F44" s="10" t="n">
        <f aca="false">IF(ISBLANK($G44),,VLOOKUP($G44, Rarities!$A$1:$B869, 2, FALSE()))</f>
        <v>3</v>
      </c>
      <c r="G44" s="8" t="s">
        <v>53</v>
      </c>
      <c r="H44" s="8" t="str">
        <f aca="false">VLOOKUP(B44,Manufacturers!A$1:B869,2)</f>
        <v>IT</v>
      </c>
      <c r="I44" s="11" t="n">
        <v>850000</v>
      </c>
      <c r="J44" s="8"/>
      <c r="K44" s="8"/>
      <c r="L44" s="12"/>
      <c r="M44" s="11"/>
      <c r="N44" s="11"/>
      <c r="O44" s="8"/>
      <c r="P44" s="8"/>
    </row>
    <row r="45" customFormat="false" ht="15.75" hidden="false" customHeight="true" outlineLevel="0" collapsed="false">
      <c r="A45" s="7" t="s">
        <v>133</v>
      </c>
      <c r="B45" s="8" t="s">
        <v>134</v>
      </c>
      <c r="C45" s="8" t="n">
        <v>1983</v>
      </c>
      <c r="D45" s="9" t="s">
        <v>135</v>
      </c>
      <c r="E45" s="7" t="s">
        <v>136</v>
      </c>
      <c r="F45" s="10" t="n">
        <f aca="false">IF(ISBLANK($G45),,VLOOKUP($G45, Rarities!$A$1:$B869, 2, FALSE()))</f>
        <v>3</v>
      </c>
      <c r="G45" s="8" t="s">
        <v>53</v>
      </c>
      <c r="H45" s="8" t="str">
        <f aca="false">VLOOKUP(B45,Manufacturers!A$1:B869,2)</f>
        <v>DE</v>
      </c>
      <c r="I45" s="11" t="n">
        <v>175000</v>
      </c>
      <c r="J45" s="8"/>
      <c r="K45" s="8" t="n">
        <v>1</v>
      </c>
      <c r="L45" s="12" t="n">
        <v>9</v>
      </c>
      <c r="M45" s="11" t="e">
        <f aca="false">IF(AND(ISNUMBER(L45),L45&gt;0),(3*J45+K45)*#REF!/L45,"-")</f>
        <v>#REF!</v>
      </c>
      <c r="N45" s="11" t="e">
        <f aca="false">IF(AND(#REF!,ISNUMBER(L45),L45&gt;0),((3*J45+K45)*#REF!-I45)/L45,"-")</f>
        <v>#REF!</v>
      </c>
      <c r="O45" s="8"/>
      <c r="P45" s="8"/>
    </row>
    <row r="46" customFormat="false" ht="15.75" hidden="false" customHeight="true" outlineLevel="0" collapsed="false">
      <c r="A46" s="7" t="s">
        <v>137</v>
      </c>
      <c r="B46" s="8" t="s">
        <v>134</v>
      </c>
      <c r="C46" s="8" t="n">
        <v>1986</v>
      </c>
      <c r="D46" s="9" t="s">
        <v>138</v>
      </c>
      <c r="E46" s="7" t="s">
        <v>139</v>
      </c>
      <c r="F46" s="10" t="n">
        <f aca="false">IF(ISBLANK($G46),,VLOOKUP($G46, Rarities!$A$1:$B869, 2, FALSE()))</f>
        <v>4</v>
      </c>
      <c r="G46" s="8" t="s">
        <v>41</v>
      </c>
      <c r="H46" s="8" t="str">
        <f aca="false">VLOOKUP(B46,Manufacturers!A$1:B869,2)</f>
        <v>DE</v>
      </c>
      <c r="I46" s="11" t="n">
        <v>375000</v>
      </c>
      <c r="J46" s="8"/>
      <c r="K46" s="8"/>
      <c r="L46" s="12"/>
      <c r="M46" s="11"/>
      <c r="N46" s="11"/>
      <c r="O46" s="8"/>
      <c r="P46" s="8"/>
    </row>
    <row r="47" customFormat="false" ht="15.75" hidden="false" customHeight="true" outlineLevel="0" collapsed="false">
      <c r="A47" s="7" t="s">
        <v>140</v>
      </c>
      <c r="B47" s="8" t="s">
        <v>134</v>
      </c>
      <c r="C47" s="8" t="n">
        <v>1995</v>
      </c>
      <c r="D47" s="9" t="s">
        <v>141</v>
      </c>
      <c r="E47" s="7" t="s">
        <v>49</v>
      </c>
      <c r="F47" s="10" t="n">
        <f aca="false">IF(ISBLANK($G47),,VLOOKUP($G47, Rarities!$A$1:$B869, 2, FALSE()))</f>
        <v>1</v>
      </c>
      <c r="G47" s="8" t="s">
        <v>17</v>
      </c>
      <c r="H47" s="8" t="str">
        <f aca="false">VLOOKUP(B47,Manufacturers!A$1:B869,2)</f>
        <v>DE</v>
      </c>
      <c r="I47" s="11" t="n">
        <v>50000</v>
      </c>
      <c r="J47" s="8"/>
      <c r="K47" s="8" t="n">
        <v>1</v>
      </c>
      <c r="L47" s="12" t="n">
        <v>9</v>
      </c>
      <c r="M47" s="11" t="e">
        <f aca="false">IF(AND(ISNUMBER(L47),L47&gt;0),(3*J47+K47)*#REF!/L47,"-")</f>
        <v>#REF!</v>
      </c>
      <c r="N47" s="11" t="e">
        <f aca="false">IF(AND(#REF!,ISNUMBER(L47),L47&gt;0),((3*J47+K47)*#REF!-I47)/L47,"-")</f>
        <v>#REF!</v>
      </c>
      <c r="O47" s="8"/>
      <c r="P47" s="8"/>
    </row>
    <row r="48" customFormat="false" ht="15.75" hidden="false" customHeight="true" outlineLevel="0" collapsed="false">
      <c r="A48" s="7" t="s">
        <v>142</v>
      </c>
      <c r="B48" s="8" t="s">
        <v>134</v>
      </c>
      <c r="C48" s="8" t="n">
        <v>2001</v>
      </c>
      <c r="D48" s="9" t="s">
        <v>143</v>
      </c>
      <c r="E48" s="7" t="s">
        <v>49</v>
      </c>
      <c r="F48" s="10" t="n">
        <f aca="false">IF(ISBLANK($G48),,VLOOKUP($G48, Rarities!$A$1:$B869, 2, FALSE()))</f>
        <v>1</v>
      </c>
      <c r="G48" s="8" t="s">
        <v>17</v>
      </c>
      <c r="H48" s="8" t="str">
        <f aca="false">VLOOKUP(B48,Manufacturers!A$1:B869,2)</f>
        <v>DE</v>
      </c>
      <c r="I48" s="11" t="n">
        <v>94000</v>
      </c>
      <c r="J48" s="8"/>
      <c r="K48" s="8" t="n">
        <v>1</v>
      </c>
      <c r="L48" s="12" t="n">
        <v>9</v>
      </c>
      <c r="M48" s="11" t="e">
        <f aca="false">IF(AND(ISNUMBER(L48),L48&gt;0),(3*J48+K48)*#REF!/L48,"-")</f>
        <v>#REF!</v>
      </c>
      <c r="N48" s="11" t="e">
        <f aca="false">IF(AND(#REF!,ISNUMBER(L48),L48&gt;0),((3*J48+K48)*#REF!-I48)/L48,"-")</f>
        <v>#REF!</v>
      </c>
      <c r="O48" s="8"/>
      <c r="P48" s="8"/>
    </row>
    <row r="49" customFormat="false" ht="15.75" hidden="false" customHeight="true" outlineLevel="0" collapsed="false">
      <c r="A49" s="7" t="s">
        <v>144</v>
      </c>
      <c r="B49" s="8" t="s">
        <v>134</v>
      </c>
      <c r="C49" s="8" t="n">
        <v>2003</v>
      </c>
      <c r="D49" s="9" t="s">
        <v>145</v>
      </c>
      <c r="E49" s="7" t="s">
        <v>49</v>
      </c>
      <c r="F49" s="10" t="n">
        <f aca="false">IF(ISBLANK($G49),,VLOOKUP($G49, Rarities!$A$1:$B869, 2, FALSE()))</f>
        <v>2</v>
      </c>
      <c r="G49" s="8" t="s">
        <v>36</v>
      </c>
      <c r="H49" s="8" t="str">
        <f aca="false">VLOOKUP(B49,Manufacturers!A$1:B869,2)</f>
        <v>DE</v>
      </c>
      <c r="I49" s="11" t="n">
        <v>105000</v>
      </c>
      <c r="J49" s="8"/>
      <c r="K49" s="8" t="n">
        <v>1</v>
      </c>
      <c r="L49" s="12" t="n">
        <v>9</v>
      </c>
      <c r="M49" s="11" t="e">
        <f aca="false">IF(AND(ISNUMBER(L49),L49&gt;0),(3*J49+K49)*#REF!/L49,"-")</f>
        <v>#REF!</v>
      </c>
      <c r="N49" s="11" t="e">
        <f aca="false">IF(AND(#REF!,ISNUMBER(L49),L49&gt;0),((3*J49+K49)*#REF!-I49)/L49,"-")</f>
        <v>#REF!</v>
      </c>
      <c r="O49" s="8"/>
      <c r="P49" s="8"/>
    </row>
    <row r="50" customFormat="false" ht="15.75" hidden="false" customHeight="true" outlineLevel="0" collapsed="false">
      <c r="A50" s="7" t="s">
        <v>146</v>
      </c>
      <c r="B50" s="8" t="s">
        <v>134</v>
      </c>
      <c r="C50" s="8" t="n">
        <v>2006</v>
      </c>
      <c r="D50" s="9" t="s">
        <v>147</v>
      </c>
      <c r="E50" s="7" t="s">
        <v>58</v>
      </c>
      <c r="F50" s="10" t="n">
        <f aca="false">IF(ISBLANK($G50),,VLOOKUP($G50, Rarities!$A$1:$B869, 2, FALSE()))</f>
        <v>2</v>
      </c>
      <c r="G50" s="8" t="s">
        <v>36</v>
      </c>
      <c r="H50" s="8" t="str">
        <f aca="false">VLOOKUP(B50,Manufacturers!A$1:B869,2)</f>
        <v>DE</v>
      </c>
      <c r="I50" s="11" t="n">
        <v>53000</v>
      </c>
      <c r="J50" s="8"/>
      <c r="K50" s="8" t="n">
        <v>1</v>
      </c>
      <c r="L50" s="12" t="n">
        <v>14</v>
      </c>
      <c r="M50" s="11" t="e">
        <f aca="false">IF(AND(ISNUMBER(L50),L50&gt;0),(3*J50+K50)*#REF!/L50,"-")</f>
        <v>#REF!</v>
      </c>
      <c r="N50" s="11" t="e">
        <f aca="false">IF(AND(#REF!,ISNUMBER(L50),L50&gt;0),((3*J50+K50)*#REF!-I50)/L50,"-")</f>
        <v>#REF!</v>
      </c>
      <c r="O50" s="8"/>
      <c r="P50" s="8"/>
    </row>
    <row r="51" customFormat="false" ht="15.75" hidden="false" customHeight="true" outlineLevel="0" collapsed="false">
      <c r="A51" s="7" t="s">
        <v>148</v>
      </c>
      <c r="B51" s="8" t="s">
        <v>134</v>
      </c>
      <c r="C51" s="8" t="n">
        <v>2009</v>
      </c>
      <c r="D51" s="9" t="s">
        <v>145</v>
      </c>
      <c r="E51" s="7" t="s">
        <v>58</v>
      </c>
      <c r="F51" s="10" t="n">
        <f aca="false">IF(ISBLANK($G51),,VLOOKUP($G51, Rarities!$A$1:$B869, 2, FALSE()))</f>
        <v>3</v>
      </c>
      <c r="G51" s="8" t="s">
        <v>53</v>
      </c>
      <c r="H51" s="8" t="str">
        <f aca="false">VLOOKUP(B51,Manufacturers!A$1:B869,2)</f>
        <v>DE</v>
      </c>
      <c r="I51" s="11" t="n">
        <v>155000</v>
      </c>
      <c r="J51" s="8"/>
      <c r="K51" s="8" t="n">
        <v>1</v>
      </c>
      <c r="L51" s="12" t="n">
        <v>9</v>
      </c>
      <c r="M51" s="11" t="e">
        <f aca="false">IF(AND(ISNUMBER(L51),L51&gt;0),(3*J51+K51)*#REF!/L51,"-")</f>
        <v>#REF!</v>
      </c>
      <c r="N51" s="11" t="e">
        <f aca="false">IF(AND(#REF!,ISNUMBER(L51),L51&gt;0),((3*J51+K51)*#REF!-I51)/L51,"-")</f>
        <v>#REF!</v>
      </c>
      <c r="O51" s="8"/>
      <c r="P51" s="8"/>
    </row>
    <row r="52" customFormat="false" ht="15.75" hidden="false" customHeight="true" outlineLevel="0" collapsed="false">
      <c r="A52" s="7" t="s">
        <v>149</v>
      </c>
      <c r="B52" s="8" t="s">
        <v>134</v>
      </c>
      <c r="C52" s="8" t="n">
        <v>2010</v>
      </c>
      <c r="D52" s="9" t="s">
        <v>150</v>
      </c>
      <c r="E52" s="7" t="s">
        <v>26</v>
      </c>
      <c r="F52" s="10" t="n">
        <f aca="false">IF(ISBLANK($G52),,VLOOKUP($G52, Rarities!$A$1:$B869, 2, FALSE()))</f>
        <v>2</v>
      </c>
      <c r="G52" s="8" t="s">
        <v>36</v>
      </c>
      <c r="H52" s="8" t="str">
        <f aca="false">VLOOKUP(B52,Manufacturers!A$1:B869,2)</f>
        <v>DE</v>
      </c>
      <c r="I52" s="11" t="n">
        <v>66000</v>
      </c>
      <c r="J52" s="8"/>
      <c r="K52" s="8" t="n">
        <v>1</v>
      </c>
      <c r="L52" s="12" t="n">
        <v>9</v>
      </c>
      <c r="M52" s="11" t="e">
        <f aca="false">IF(AND(ISNUMBER(L52),L52&gt;0),(3*J52+K52)*#REF!/L52,"-")</f>
        <v>#REF!</v>
      </c>
      <c r="N52" s="11" t="e">
        <f aca="false">IF(AND(#REF!,ISNUMBER(L52),L52&gt;0),((3*J52+K52)*#REF!-I52)/L52,"-")</f>
        <v>#REF!</v>
      </c>
      <c r="O52" s="8"/>
      <c r="P52" s="8"/>
    </row>
    <row r="53" customFormat="false" ht="15.75" hidden="false" customHeight="true" outlineLevel="0" collapsed="false">
      <c r="A53" s="7" t="s">
        <v>151</v>
      </c>
      <c r="B53" s="8" t="s">
        <v>134</v>
      </c>
      <c r="C53" s="8" t="n">
        <v>2011</v>
      </c>
      <c r="D53" s="9" t="s">
        <v>152</v>
      </c>
      <c r="E53" s="7" t="s">
        <v>58</v>
      </c>
      <c r="F53" s="10" t="n">
        <f aca="false">IF(ISBLANK($G53),,VLOOKUP($G53, Rarities!$A$1:$B869, 2, FALSE()))</f>
        <v>2</v>
      </c>
      <c r="G53" s="8" t="s">
        <v>36</v>
      </c>
      <c r="H53" s="8" t="str">
        <f aca="false">VLOOKUP(B53,Manufacturers!A$1:B869,2)</f>
        <v>DE</v>
      </c>
      <c r="I53" s="11" t="n">
        <v>88000</v>
      </c>
      <c r="J53" s="8"/>
      <c r="K53" s="8" t="n">
        <v>1</v>
      </c>
      <c r="L53" s="12" t="n">
        <v>14</v>
      </c>
      <c r="M53" s="11" t="e">
        <f aca="false">IF(AND(ISNUMBER(L53),L53&gt;0),(3*J53+K53)*#REF!/L53,"-")</f>
        <v>#REF!</v>
      </c>
      <c r="N53" s="11" t="e">
        <f aca="false">IF(AND(#REF!,ISNUMBER(L53),L53&gt;0),((3*J53+K53)*#REF!-I53)/L53,"-")</f>
        <v>#REF!</v>
      </c>
      <c r="O53" s="8"/>
      <c r="P53" s="8"/>
    </row>
    <row r="54" customFormat="false" ht="15.75" hidden="false" customHeight="true" outlineLevel="0" collapsed="false">
      <c r="A54" s="7" t="s">
        <v>153</v>
      </c>
      <c r="B54" s="8" t="s">
        <v>134</v>
      </c>
      <c r="C54" s="8" t="n">
        <v>2011</v>
      </c>
      <c r="D54" s="9" t="s">
        <v>154</v>
      </c>
      <c r="E54" s="7" t="s">
        <v>155</v>
      </c>
      <c r="F54" s="10" t="n">
        <f aca="false">IF(ISBLANK($G54),,VLOOKUP($G54, Rarities!$A$1:$B869, 2, FALSE()))</f>
        <v>1</v>
      </c>
      <c r="G54" s="8" t="s">
        <v>17</v>
      </c>
      <c r="H54" s="8" t="str">
        <f aca="false">VLOOKUP(B54,Manufacturers!A$1:B869,2)</f>
        <v>DE</v>
      </c>
      <c r="I54" s="11" t="n">
        <v>42000</v>
      </c>
      <c r="J54" s="8"/>
      <c r="K54" s="8" t="n">
        <v>1</v>
      </c>
      <c r="L54" s="12" t="n">
        <v>9</v>
      </c>
      <c r="M54" s="11" t="e">
        <f aca="false">IF(AND(ISNUMBER(L54),L54&gt;0),(3*J54+K54)*#REF!/L54,"-")</f>
        <v>#REF!</v>
      </c>
      <c r="N54" s="11" t="e">
        <f aca="false">IF(AND(#REF!,ISNUMBER(L54),L54&gt;0),((3*J54+K54)*#REF!-I54)/L54,"-")</f>
        <v>#REF!</v>
      </c>
      <c r="O54" s="8"/>
      <c r="P54" s="8"/>
    </row>
    <row r="55" customFormat="false" ht="15.75" hidden="false" customHeight="true" outlineLevel="0" collapsed="false">
      <c r="A55" s="7" t="s">
        <v>156</v>
      </c>
      <c r="B55" s="8" t="s">
        <v>134</v>
      </c>
      <c r="C55" s="8" t="n">
        <v>2013</v>
      </c>
      <c r="D55" s="9" t="s">
        <v>157</v>
      </c>
      <c r="E55" s="7" t="s">
        <v>35</v>
      </c>
      <c r="F55" s="10" t="n">
        <f aca="false">IF(ISBLANK($G55),,VLOOKUP($G55, Rarities!$A$1:$B869, 2, FALSE()))</f>
        <v>3</v>
      </c>
      <c r="G55" s="8" t="s">
        <v>53</v>
      </c>
      <c r="H55" s="8" t="str">
        <f aca="false">VLOOKUP(B55,Manufacturers!A$1:B869,2)</f>
        <v>DE</v>
      </c>
      <c r="I55" s="11" t="n">
        <v>290000</v>
      </c>
      <c r="J55" s="8"/>
      <c r="K55" s="8" t="n">
        <v>2</v>
      </c>
      <c r="L55" s="12" t="n">
        <v>34</v>
      </c>
      <c r="M55" s="11" t="e">
        <f aca="false">IF(AND(ISNUMBER(L55),L55&gt;0),(3*J55+K55)*#REF!/L55,"-")</f>
        <v>#REF!</v>
      </c>
      <c r="N55" s="11" t="e">
        <f aca="false">IF(AND(#REF!,ISNUMBER(L55),L55&gt;0),((3*J55+K55)*#REF!-I55)/L55,"-")</f>
        <v>#REF!</v>
      </c>
      <c r="O55" s="8"/>
      <c r="P55" s="8"/>
    </row>
    <row r="56" customFormat="false" ht="15.75" hidden="false" customHeight="true" outlineLevel="0" collapsed="false">
      <c r="A56" s="7" t="s">
        <v>158</v>
      </c>
      <c r="B56" s="8" t="s">
        <v>134</v>
      </c>
      <c r="C56" s="8" t="n">
        <v>2013</v>
      </c>
      <c r="D56" s="9" t="s">
        <v>159</v>
      </c>
      <c r="E56" s="7" t="s">
        <v>58</v>
      </c>
      <c r="F56" s="10" t="n">
        <f aca="false">IF(ISBLANK($G56),,VLOOKUP($G56, Rarities!$A$1:$B869, 2, FALSE()))</f>
        <v>3</v>
      </c>
      <c r="G56" s="8" t="s">
        <v>53</v>
      </c>
      <c r="H56" s="8" t="str">
        <f aca="false">VLOOKUP(B56,Manufacturers!A$1:B869,2)</f>
        <v>DE</v>
      </c>
      <c r="I56" s="11" t="n">
        <v>225000</v>
      </c>
      <c r="J56" s="8"/>
      <c r="K56" s="8" t="n">
        <v>1</v>
      </c>
      <c r="L56" s="12" t="n">
        <v>9</v>
      </c>
      <c r="M56" s="11" t="e">
        <f aca="false">IF(AND(ISNUMBER(L56),L56&gt;0),(3*J56+K56)*#REF!/L56,"-")</f>
        <v>#REF!</v>
      </c>
      <c r="N56" s="11" t="e">
        <f aca="false">IF(AND(#REF!,ISNUMBER(L56),L56&gt;0),((3*J56+K56)*#REF!-I56)/L56,"-")</f>
        <v>#REF!</v>
      </c>
      <c r="O56" s="8"/>
      <c r="P56" s="8"/>
    </row>
    <row r="57" customFormat="false" ht="15.75" hidden="false" customHeight="true" outlineLevel="0" collapsed="false">
      <c r="A57" s="7" t="s">
        <v>160</v>
      </c>
      <c r="B57" s="8" t="s">
        <v>134</v>
      </c>
      <c r="C57" s="8" t="n">
        <v>2013</v>
      </c>
      <c r="D57" s="9" t="s">
        <v>143</v>
      </c>
      <c r="E57" s="7" t="s">
        <v>58</v>
      </c>
      <c r="F57" s="10" t="n">
        <f aca="false">IF(ISBLANK($G57),,VLOOKUP($G57, Rarities!$A$1:$B869, 2, FALSE()))</f>
        <v>2</v>
      </c>
      <c r="G57" s="8" t="s">
        <v>36</v>
      </c>
      <c r="H57" s="8" t="str">
        <f aca="false">VLOOKUP(B57,Manufacturers!A$1:B869,2)</f>
        <v>DE</v>
      </c>
      <c r="I57" s="11" t="n">
        <v>83000</v>
      </c>
      <c r="J57" s="8"/>
      <c r="K57" s="8" t="n">
        <v>1</v>
      </c>
      <c r="L57" s="12" t="n">
        <v>9</v>
      </c>
      <c r="M57" s="11" t="e">
        <f aca="false">IF(AND(ISNUMBER(L57),L57&gt;0),(3*J57+K57)*#REF!/L57,"-")</f>
        <v>#REF!</v>
      </c>
      <c r="N57" s="11" t="e">
        <f aca="false">IF(AND(#REF!,ISNUMBER(L57),L57&gt;0),((3*J57+K57)*#REF!-I57)/L57,"-")</f>
        <v>#REF!</v>
      </c>
      <c r="O57" s="8"/>
      <c r="P57" s="8"/>
    </row>
    <row r="58" customFormat="false" ht="15.75" hidden="false" customHeight="true" outlineLevel="0" collapsed="false">
      <c r="A58" s="7" t="s">
        <v>161</v>
      </c>
      <c r="B58" s="8" t="s">
        <v>134</v>
      </c>
      <c r="C58" s="8" t="n">
        <v>2015</v>
      </c>
      <c r="D58" s="9" t="s">
        <v>162</v>
      </c>
      <c r="E58" s="7" t="s">
        <v>58</v>
      </c>
      <c r="F58" s="10" t="n">
        <f aca="false">IF(ISBLANK($G58),,VLOOKUP($G58, Rarities!$A$1:$B869, 2, FALSE()))</f>
        <v>2</v>
      </c>
      <c r="G58" s="8" t="s">
        <v>36</v>
      </c>
      <c r="H58" s="8" t="str">
        <f aca="false">VLOOKUP(B58,Manufacturers!A$1:B869,2)</f>
        <v>DE</v>
      </c>
      <c r="I58" s="11" t="n">
        <v>150000</v>
      </c>
      <c r="J58" s="8"/>
      <c r="K58" s="8" t="n">
        <v>1</v>
      </c>
      <c r="L58" s="12" t="n">
        <v>9</v>
      </c>
      <c r="M58" s="11" t="e">
        <f aca="false">IF(AND(ISNUMBER(L58),L58&gt;0),(3*J58+K58)*#REF!/L58,"-")</f>
        <v>#REF!</v>
      </c>
      <c r="N58" s="11" t="e">
        <f aca="false">IF(AND(#REF!,ISNUMBER(L58),L58&gt;0),((3*J58+K58)*#REF!-I58)/L58,"-")</f>
        <v>#REF!</v>
      </c>
      <c r="O58" s="8"/>
      <c r="P58" s="8"/>
    </row>
    <row r="59" customFormat="false" ht="15.75" hidden="false" customHeight="true" outlineLevel="0" collapsed="false">
      <c r="A59" s="7" t="s">
        <v>163</v>
      </c>
      <c r="B59" s="8" t="s">
        <v>134</v>
      </c>
      <c r="C59" s="8" t="n">
        <v>2015</v>
      </c>
      <c r="D59" s="9" t="s">
        <v>164</v>
      </c>
      <c r="E59" s="7" t="s">
        <v>23</v>
      </c>
      <c r="F59" s="10" t="n">
        <f aca="false">IF(ISBLANK($G59),,VLOOKUP($G59, Rarities!$A$1:$B869, 2, FALSE()))</f>
        <v>1</v>
      </c>
      <c r="G59" s="8" t="s">
        <v>17</v>
      </c>
      <c r="H59" s="8" t="str">
        <f aca="false">VLOOKUP(B59,Manufacturers!A$1:B869,2)</f>
        <v>DE</v>
      </c>
      <c r="I59" s="11" t="n">
        <v>35000</v>
      </c>
      <c r="J59" s="8"/>
      <c r="K59" s="8" t="n">
        <v>1</v>
      </c>
      <c r="L59" s="12" t="n">
        <v>9</v>
      </c>
      <c r="M59" s="11" t="e">
        <f aca="false">IF(AND(ISNUMBER(L59),L59&gt;0),(3*J59+K59)*#REF!/L59,"-")</f>
        <v>#REF!</v>
      </c>
      <c r="N59" s="11" t="e">
        <f aca="false">IF(AND(#REF!,ISNUMBER(L59),L59&gt;0),((3*J59+K59)*#REF!-I59)/L59,"-")</f>
        <v>#REF!</v>
      </c>
      <c r="O59" s="8"/>
      <c r="P59" s="8"/>
    </row>
    <row r="60" customFormat="false" ht="15.75" hidden="false" customHeight="true" outlineLevel="0" collapsed="false">
      <c r="A60" s="7" t="s">
        <v>165</v>
      </c>
      <c r="B60" s="8" t="s">
        <v>134</v>
      </c>
      <c r="C60" s="8" t="n">
        <v>2015</v>
      </c>
      <c r="D60" s="9" t="s">
        <v>166</v>
      </c>
      <c r="E60" s="7" t="s">
        <v>26</v>
      </c>
      <c r="F60" s="10" t="n">
        <f aca="false">IF(ISBLANK($G60),,VLOOKUP($G60, Rarities!$A$1:$B869, 2, FALSE()))</f>
        <v>1</v>
      </c>
      <c r="G60" s="8" t="s">
        <v>17</v>
      </c>
      <c r="H60" s="8" t="str">
        <f aca="false">VLOOKUP(B60,Manufacturers!A$1:B869,2)</f>
        <v>DE</v>
      </c>
      <c r="I60" s="11" t="n">
        <v>52000</v>
      </c>
      <c r="J60" s="8"/>
      <c r="K60" s="8" t="n">
        <v>1</v>
      </c>
      <c r="L60" s="12" t="n">
        <v>9</v>
      </c>
      <c r="M60" s="11" t="e">
        <f aca="false">IF(AND(ISNUMBER(L60),L60&gt;0),(3*J60+K60)*#REF!/L60,"-")</f>
        <v>#REF!</v>
      </c>
      <c r="N60" s="11" t="e">
        <f aca="false">IF(AND(#REF!,ISNUMBER(L60),L60&gt;0),((3*J60+K60)*#REF!-I60)/L60,"-")</f>
        <v>#REF!</v>
      </c>
      <c r="O60" s="8"/>
      <c r="P60" s="8"/>
    </row>
    <row r="61" customFormat="false" ht="15.75" hidden="false" customHeight="true" outlineLevel="0" collapsed="false">
      <c r="A61" s="7" t="s">
        <v>167</v>
      </c>
      <c r="B61" s="8" t="s">
        <v>134</v>
      </c>
      <c r="C61" s="8" t="n">
        <v>2016</v>
      </c>
      <c r="D61" s="9" t="s">
        <v>168</v>
      </c>
      <c r="E61" s="7" t="s">
        <v>35</v>
      </c>
      <c r="F61" s="10" t="n">
        <f aca="false">IF(ISBLANK($G61),,VLOOKUP($G61, Rarities!$A$1:$B869, 2, FALSE()))</f>
        <v>3</v>
      </c>
      <c r="G61" s="8" t="s">
        <v>53</v>
      </c>
      <c r="H61" s="8" t="str">
        <f aca="false">VLOOKUP(B61,Manufacturers!A$1:B869,2)</f>
        <v>DE</v>
      </c>
      <c r="I61" s="11" t="n">
        <v>242000</v>
      </c>
      <c r="J61" s="8" t="n">
        <v>1</v>
      </c>
      <c r="K61" s="8"/>
      <c r="L61" s="12" t="n">
        <v>10</v>
      </c>
      <c r="M61" s="11" t="e">
        <f aca="false">IF(AND(ISNUMBER(L61),L61&gt;0),(3*J61+K61)*#REF!/L61,"-")</f>
        <v>#REF!</v>
      </c>
      <c r="N61" s="11" t="e">
        <f aca="false">IF(AND(#REF!,ISNUMBER(L61),L61&gt;0),((3*J61+K61)*#REF!-I61)/L61,"-")</f>
        <v>#REF!</v>
      </c>
      <c r="O61" s="8"/>
      <c r="P61" s="8"/>
    </row>
    <row r="62" customFormat="false" ht="15.75" hidden="false" customHeight="true" outlineLevel="0" collapsed="false">
      <c r="A62" s="7" t="s">
        <v>169</v>
      </c>
      <c r="B62" s="8" t="s">
        <v>134</v>
      </c>
      <c r="C62" s="8" t="n">
        <v>2018</v>
      </c>
      <c r="D62" s="9" t="s">
        <v>143</v>
      </c>
      <c r="E62" s="7" t="s">
        <v>58</v>
      </c>
      <c r="F62" s="10" t="n">
        <f aca="false">IF(ISBLANK($G62),,VLOOKUP($G62, Rarities!$A$1:$B869, 2, FALSE()))</f>
        <v>2</v>
      </c>
      <c r="G62" s="8" t="s">
        <v>36</v>
      </c>
      <c r="H62" s="8" t="str">
        <f aca="false">VLOOKUP(B62,Manufacturers!A$1:B869,2)</f>
        <v>DE</v>
      </c>
      <c r="I62" s="11" t="n">
        <v>250000</v>
      </c>
      <c r="J62" s="8"/>
      <c r="K62" s="8"/>
      <c r="L62" s="12"/>
      <c r="M62" s="11"/>
      <c r="N62" s="11"/>
      <c r="O62" s="8"/>
      <c r="P62" s="8"/>
    </row>
    <row r="63" customFormat="false" ht="15.75" hidden="false" customHeight="true" outlineLevel="0" collapsed="false">
      <c r="A63" s="7" t="s">
        <v>170</v>
      </c>
      <c r="B63" s="8" t="s">
        <v>134</v>
      </c>
      <c r="C63" s="8" t="n">
        <v>2018</v>
      </c>
      <c r="D63" s="9" t="s">
        <v>171</v>
      </c>
      <c r="E63" s="7" t="s">
        <v>58</v>
      </c>
      <c r="F63" s="10" t="n">
        <f aca="false">IF(ISBLANK($G63),,VLOOKUP($G63, Rarities!$A$1:$B869, 2, FALSE()))</f>
        <v>2</v>
      </c>
      <c r="G63" s="8" t="s">
        <v>36</v>
      </c>
      <c r="H63" s="8" t="str">
        <f aca="false">VLOOKUP(B63,Manufacturers!A$1:B869,2)</f>
        <v>DE</v>
      </c>
      <c r="I63" s="11" t="n">
        <v>95000</v>
      </c>
      <c r="J63" s="8"/>
      <c r="K63" s="8"/>
      <c r="L63" s="12"/>
      <c r="M63" s="11"/>
      <c r="N63" s="11"/>
      <c r="O63" s="8"/>
      <c r="P63" s="8"/>
    </row>
    <row r="64" customFormat="false" ht="15.75" hidden="false" customHeight="true" outlineLevel="0" collapsed="false">
      <c r="A64" s="7" t="s">
        <v>172</v>
      </c>
      <c r="B64" s="8" t="s">
        <v>134</v>
      </c>
      <c r="C64" s="8" t="n">
        <v>2018</v>
      </c>
      <c r="D64" s="9" t="s">
        <v>173</v>
      </c>
      <c r="E64" s="7" t="s">
        <v>26</v>
      </c>
      <c r="F64" s="10" t="n">
        <f aca="false">IF(ISBLANK($G64),,VLOOKUP($G64, Rarities!$A$1:$B869, 2, FALSE()))</f>
        <v>2</v>
      </c>
      <c r="G64" s="8" t="s">
        <v>36</v>
      </c>
      <c r="H64" s="8" t="str">
        <f aca="false">VLOOKUP(B64,Manufacturers!A$1:B869,2)</f>
        <v>DE</v>
      </c>
      <c r="I64" s="11" t="n">
        <v>75000</v>
      </c>
      <c r="J64" s="8"/>
      <c r="K64" s="8" t="n">
        <v>1</v>
      </c>
      <c r="L64" s="12" t="n">
        <v>9</v>
      </c>
      <c r="M64" s="11" t="e">
        <f aca="false">IF(AND(ISNUMBER(L64),L64&gt;0),(3*J64+K64)*#REF!/L64,"-")</f>
        <v>#REF!</v>
      </c>
      <c r="N64" s="11" t="e">
        <f aca="false">IF(AND(#REF!,ISNUMBER(L64),L64&gt;0),((3*J64+K64)*#REF!-I64)/L64,"-")</f>
        <v>#REF!</v>
      </c>
      <c r="O64" s="8"/>
      <c r="P64" s="8"/>
    </row>
    <row r="65" customFormat="false" ht="15.75" hidden="false" customHeight="true" outlineLevel="0" collapsed="false">
      <c r="A65" s="7" t="s">
        <v>174</v>
      </c>
      <c r="B65" s="8" t="s">
        <v>134</v>
      </c>
      <c r="C65" s="8" t="n">
        <v>2020</v>
      </c>
      <c r="D65" s="9" t="s">
        <v>175</v>
      </c>
      <c r="E65" s="7" t="s">
        <v>58</v>
      </c>
      <c r="F65" s="10" t="n">
        <f aca="false">IF(ISBLANK($G65),,VLOOKUP($G65, Rarities!$A$1:$B869, 2, FALSE()))</f>
        <v>2</v>
      </c>
      <c r="G65" s="8" t="s">
        <v>36</v>
      </c>
      <c r="H65" s="8" t="str">
        <f aca="false">VLOOKUP(B65,Manufacturers!A$1:B869,2)</f>
        <v>DE</v>
      </c>
      <c r="I65" s="11" t="n">
        <v>60000</v>
      </c>
      <c r="J65" s="8"/>
      <c r="K65" s="8"/>
      <c r="L65" s="12"/>
      <c r="M65" s="11"/>
      <c r="N65" s="11"/>
      <c r="O65" s="8"/>
      <c r="P65" s="8"/>
    </row>
    <row r="66" customFormat="false" ht="15.75" hidden="false" customHeight="true" outlineLevel="0" collapsed="false">
      <c r="A66" s="7" t="s">
        <v>176</v>
      </c>
      <c r="B66" s="8" t="s">
        <v>134</v>
      </c>
      <c r="C66" s="8" t="n">
        <v>2020</v>
      </c>
      <c r="D66" s="9" t="s">
        <v>177</v>
      </c>
      <c r="E66" s="7" t="s">
        <v>26</v>
      </c>
      <c r="F66" s="10" t="n">
        <f aca="false">IF(ISBLANK($G66),,VLOOKUP($G66, Rarities!$A$1:$B869, 2, FALSE()))</f>
        <v>2</v>
      </c>
      <c r="G66" s="8" t="s">
        <v>36</v>
      </c>
      <c r="H66" s="8" t="str">
        <f aca="false">VLOOKUP(B66,Manufacturers!A$1:B869,2)</f>
        <v>DE</v>
      </c>
      <c r="I66" s="11" t="n">
        <v>250000</v>
      </c>
      <c r="J66" s="8"/>
      <c r="K66" s="8"/>
      <c r="L66" s="12"/>
      <c r="M66" s="11"/>
      <c r="N66" s="11"/>
      <c r="O66" s="8"/>
      <c r="P66" s="8"/>
    </row>
    <row r="67" customFormat="false" ht="15.75" hidden="false" customHeight="true" outlineLevel="0" collapsed="false">
      <c r="A67" s="7" t="s">
        <v>178</v>
      </c>
      <c r="B67" s="8" t="s">
        <v>134</v>
      </c>
      <c r="C67" s="8" t="n">
        <v>2021</v>
      </c>
      <c r="D67" s="9" t="s">
        <v>179</v>
      </c>
      <c r="E67" s="7" t="s">
        <v>58</v>
      </c>
      <c r="F67" s="10" t="n">
        <f aca="false">IF(ISBLANK($G67),,VLOOKUP($G67, Rarities!$A$1:$B869, 2, FALSE()))</f>
        <v>3</v>
      </c>
      <c r="G67" s="8" t="s">
        <v>53</v>
      </c>
      <c r="H67" s="8" t="str">
        <f aca="false">VLOOKUP(B67,Manufacturers!A$1:B869,2)</f>
        <v>DE</v>
      </c>
      <c r="I67" s="11" t="n">
        <v>250000</v>
      </c>
      <c r="J67" s="8"/>
      <c r="K67" s="8"/>
      <c r="L67" s="12"/>
      <c r="M67" s="11"/>
      <c r="N67" s="11"/>
      <c r="O67" s="8"/>
      <c r="P67" s="8"/>
    </row>
    <row r="68" customFormat="false" ht="15.75" hidden="false" customHeight="true" outlineLevel="0" collapsed="false">
      <c r="A68" s="7" t="s">
        <v>180</v>
      </c>
      <c r="B68" s="8" t="s">
        <v>134</v>
      </c>
      <c r="C68" s="8" t="n">
        <v>2021</v>
      </c>
      <c r="D68" s="9" t="s">
        <v>162</v>
      </c>
      <c r="E68" s="7" t="s">
        <v>58</v>
      </c>
      <c r="F68" s="10" t="n">
        <f aca="false">IF(ISBLANK($G68),,VLOOKUP($G68, Rarities!$A$1:$B869, 2, FALSE()))</f>
        <v>2</v>
      </c>
      <c r="G68" s="8" t="s">
        <v>36</v>
      </c>
      <c r="H68" s="8" t="str">
        <f aca="false">VLOOKUP(B68,Manufacturers!A$1:B869,2)</f>
        <v>DE</v>
      </c>
      <c r="I68" s="11" t="n">
        <v>250000</v>
      </c>
      <c r="J68" s="8"/>
      <c r="K68" s="8"/>
      <c r="L68" s="12"/>
      <c r="M68" s="11"/>
      <c r="N68" s="11"/>
      <c r="O68" s="8"/>
      <c r="P68" s="8"/>
    </row>
    <row r="69" customFormat="false" ht="15.75" hidden="false" customHeight="true" outlineLevel="0" collapsed="false">
      <c r="A69" s="7" t="s">
        <v>181</v>
      </c>
      <c r="B69" s="8" t="s">
        <v>134</v>
      </c>
      <c r="C69" s="8" t="n">
        <v>2021</v>
      </c>
      <c r="D69" s="9" t="s">
        <v>159</v>
      </c>
      <c r="E69" s="7" t="s">
        <v>58</v>
      </c>
      <c r="F69" s="10" t="n">
        <f aca="false">IF(ISBLANK($G69),,VLOOKUP($G69, Rarities!$A$1:$B869, 2, FALSE()))</f>
        <v>2</v>
      </c>
      <c r="G69" s="8" t="s">
        <v>36</v>
      </c>
      <c r="H69" s="8" t="str">
        <f aca="false">VLOOKUP(B69,Manufacturers!A$1:B869,2)</f>
        <v>DE</v>
      </c>
      <c r="I69" s="11" t="n">
        <v>250000</v>
      </c>
      <c r="J69" s="8"/>
      <c r="K69" s="8"/>
      <c r="L69" s="12"/>
      <c r="M69" s="11"/>
      <c r="N69" s="11"/>
      <c r="O69" s="8"/>
      <c r="P69" s="8"/>
    </row>
    <row r="70" customFormat="false" ht="15.75" hidden="false" customHeight="true" outlineLevel="0" collapsed="false">
      <c r="A70" s="7" t="s">
        <v>182</v>
      </c>
      <c r="B70" s="8" t="s">
        <v>183</v>
      </c>
      <c r="C70" s="8" t="n">
        <v>1958</v>
      </c>
      <c r="D70" s="9" t="s">
        <v>182</v>
      </c>
      <c r="E70" s="7" t="s">
        <v>184</v>
      </c>
      <c r="F70" s="10" t="n">
        <f aca="false">IF(ISBLANK($G70),,VLOOKUP($G70, Rarities!$A$1:$B869, 2, FALSE()))</f>
        <v>1</v>
      </c>
      <c r="G70" s="8" t="s">
        <v>17</v>
      </c>
      <c r="H70" s="8" t="str">
        <f aca="false">VLOOKUP(B70,Manufacturers!A$1:B869,2)</f>
        <v>GB</v>
      </c>
      <c r="I70" s="11" t="n">
        <v>20000</v>
      </c>
      <c r="J70" s="8"/>
      <c r="K70" s="8" t="n">
        <v>1</v>
      </c>
      <c r="L70" s="12" t="n">
        <v>9</v>
      </c>
      <c r="M70" s="11" t="e">
        <f aca="false">IF(AND(ISNUMBER(L70),L70&gt;0),(3*J70+K70)*#REF!/L70,"-")</f>
        <v>#REF!</v>
      </c>
      <c r="N70" s="11" t="e">
        <f aca="false">IF(AND(#REF!,ISNUMBER(L70),L70&gt;0),((3*J70+K70)*#REF!-I70)/L70,"-")</f>
        <v>#REF!</v>
      </c>
      <c r="O70" s="8"/>
      <c r="P70" s="8"/>
    </row>
    <row r="71" customFormat="false" ht="15.75" hidden="false" customHeight="true" outlineLevel="0" collapsed="false">
      <c r="A71" s="7" t="s">
        <v>185</v>
      </c>
      <c r="B71" s="8" t="s">
        <v>186</v>
      </c>
      <c r="C71" s="8" t="n">
        <v>1939</v>
      </c>
      <c r="D71" s="9" t="s">
        <v>187</v>
      </c>
      <c r="E71" s="7" t="s">
        <v>188</v>
      </c>
      <c r="F71" s="10" t="n">
        <f aca="false">IF(ISBLANK($G71),,VLOOKUP($G71, Rarities!$A$1:$B869, 2, FALSE()))</f>
        <v>4</v>
      </c>
      <c r="G71" s="8" t="s">
        <v>41</v>
      </c>
      <c r="H71" s="8" t="str">
        <f aca="false">VLOOKUP(B71,Manufacturers!A$1:B869,2)</f>
        <v>DE</v>
      </c>
      <c r="I71" s="11" t="n">
        <v>15000000</v>
      </c>
      <c r="J71" s="8" t="n">
        <v>2</v>
      </c>
      <c r="K71" s="8"/>
      <c r="L71" s="12" t="n">
        <v>25</v>
      </c>
      <c r="M71" s="11" t="e">
        <f aca="false">IF(AND(ISNUMBER(L71),L71&gt;0),(3*J71+K71)*#REF!/L71,"-")</f>
        <v>#REF!</v>
      </c>
      <c r="N71" s="11" t="e">
        <f aca="false">IF(AND(#REF!,ISNUMBER(L71),L71&gt;0),((3*J71+K71)*#REF!-I71)/L71,"-")</f>
        <v>#REF!</v>
      </c>
      <c r="O71" s="8"/>
      <c r="P71" s="8"/>
    </row>
    <row r="72" customFormat="false" ht="15.75" hidden="false" customHeight="true" outlineLevel="0" collapsed="false">
      <c r="A72" s="7" t="s">
        <v>189</v>
      </c>
      <c r="B72" s="8" t="s">
        <v>190</v>
      </c>
      <c r="C72" s="8" t="n">
        <v>2020</v>
      </c>
      <c r="D72" s="9" t="s">
        <v>191</v>
      </c>
      <c r="E72" s="7" t="s">
        <v>118</v>
      </c>
      <c r="F72" s="10" t="n">
        <f aca="false">IF(ISBLANK($G72),,VLOOKUP($G72, Rarities!$A$1:$B869, 2, FALSE()))</f>
        <v>4</v>
      </c>
      <c r="G72" s="8" t="s">
        <v>41</v>
      </c>
      <c r="H72" s="8" t="str">
        <f aca="false">VLOOKUP(B72,Manufacturers!A$1:B869,2)</f>
        <v>IT</v>
      </c>
      <c r="I72" s="11" t="n">
        <v>2500000</v>
      </c>
      <c r="J72" s="8"/>
      <c r="K72" s="8"/>
      <c r="L72" s="12"/>
      <c r="M72" s="11"/>
      <c r="N72" s="11"/>
      <c r="O72" s="8"/>
      <c r="P72" s="8"/>
    </row>
    <row r="73" customFormat="false" ht="15.75" hidden="false" customHeight="true" outlineLevel="0" collapsed="false">
      <c r="A73" s="7" t="s">
        <v>192</v>
      </c>
      <c r="B73" s="8" t="s">
        <v>193</v>
      </c>
      <c r="C73" s="8" t="n">
        <v>2014</v>
      </c>
      <c r="D73" s="9" t="s">
        <v>194</v>
      </c>
      <c r="E73" s="7" t="s">
        <v>111</v>
      </c>
      <c r="F73" s="10" t="n">
        <f aca="false">IF(ISBLANK($G73),,VLOOKUP($G73, Rarities!$A$1:$B869, 2, FALSE()))</f>
        <v>3</v>
      </c>
      <c r="G73" s="8" t="s">
        <v>53</v>
      </c>
      <c r="H73" s="8" t="str">
        <f aca="false">VLOOKUP(B73,Manufacturers!A$1:B869,2)</f>
        <v>GB</v>
      </c>
      <c r="I73" s="11" t="n">
        <v>160000</v>
      </c>
      <c r="J73" s="8"/>
      <c r="K73" s="8" t="n">
        <v>1</v>
      </c>
      <c r="L73" s="12" t="n">
        <v>9</v>
      </c>
      <c r="M73" s="11" t="e">
        <f aca="false">IF(AND(ISNUMBER(L73),L73&gt;0),(3*J73+K73)*#REF!/L73,"-")</f>
        <v>#REF!</v>
      </c>
      <c r="N73" s="11" t="e">
        <f aca="false">IF(AND(#REF!,ISNUMBER(L73),L73&gt;0),((3*J73+K73)*#REF!-I73)/L73,"-")</f>
        <v>#REF!</v>
      </c>
      <c r="O73" s="8"/>
      <c r="P73" s="8"/>
    </row>
    <row r="74" customFormat="false" ht="15.75" hidden="false" customHeight="true" outlineLevel="0" collapsed="false">
      <c r="A74" s="7" t="s">
        <v>195</v>
      </c>
      <c r="B74" s="8" t="s">
        <v>196</v>
      </c>
      <c r="C74" s="8" t="n">
        <v>1930</v>
      </c>
      <c r="D74" s="9" t="s">
        <v>197</v>
      </c>
      <c r="E74" s="7" t="s">
        <v>44</v>
      </c>
      <c r="F74" s="10" t="n">
        <f aca="false">IF(ISBLANK($G74),,VLOOKUP($G74, Rarities!$A$1:$B869, 2, FALSE()))</f>
        <v>4</v>
      </c>
      <c r="G74" s="8" t="s">
        <v>41</v>
      </c>
      <c r="H74" s="8" t="str">
        <f aca="false">VLOOKUP(B74,Manufacturers!A$1:B869,2)</f>
        <v>GB</v>
      </c>
      <c r="I74" s="11" t="n">
        <v>1500000</v>
      </c>
      <c r="J74" s="8"/>
      <c r="K74" s="8" t="n">
        <v>1</v>
      </c>
      <c r="L74" s="12" t="n">
        <v>9</v>
      </c>
      <c r="M74" s="11" t="e">
        <f aca="false">IF(AND(ISNUMBER(L74),L74&gt;0),(3*J74+K74)*#REF!/L74,"-")</f>
        <v>#REF!</v>
      </c>
      <c r="N74" s="11" t="e">
        <f aca="false">IF(AND(#REF!,ISNUMBER(L74),L74&gt;0),((3*J74+K74)*#REF!-I74)/L74,"-")</f>
        <v>#REF!</v>
      </c>
      <c r="O74" s="8"/>
      <c r="P74" s="8"/>
    </row>
    <row r="75" customFormat="false" ht="15.75" hidden="false" customHeight="true" outlineLevel="0" collapsed="false">
      <c r="A75" s="7" t="s">
        <v>198</v>
      </c>
      <c r="B75" s="8" t="s">
        <v>196</v>
      </c>
      <c r="C75" s="8" t="n">
        <v>1930</v>
      </c>
      <c r="D75" s="9" t="s">
        <v>199</v>
      </c>
      <c r="E75" s="7" t="s">
        <v>188</v>
      </c>
      <c r="F75" s="10" t="n">
        <f aca="false">IF(ISBLANK($G75),,VLOOKUP($G75, Rarities!$A$1:$B869, 2, FALSE()))</f>
        <v>4</v>
      </c>
      <c r="G75" s="8" t="s">
        <v>41</v>
      </c>
      <c r="H75" s="8" t="str">
        <f aca="false">VLOOKUP(B75,Manufacturers!A$1:B869,2)</f>
        <v>GB</v>
      </c>
      <c r="I75" s="11" t="n">
        <v>4000000</v>
      </c>
      <c r="J75" s="8" t="n">
        <v>2</v>
      </c>
      <c r="K75" s="8"/>
      <c r="L75" s="12" t="n">
        <v>22</v>
      </c>
      <c r="M75" s="11" t="e">
        <f aca="false">IF(AND(ISNUMBER(L75),L75&gt;0),(3*J75+K75)*#REF!/L75,"-")</f>
        <v>#REF!</v>
      </c>
      <c r="N75" s="11" t="e">
        <f aca="false">IF(AND(#REF!,ISNUMBER(L75),L75&gt;0),((3*J75+K75)*#REF!-I75)/L75,"-")</f>
        <v>#REF!</v>
      </c>
      <c r="O75" s="8"/>
      <c r="P75" s="8"/>
    </row>
    <row r="76" customFormat="false" ht="15.75" hidden="false" customHeight="true" outlineLevel="0" collapsed="false">
      <c r="A76" s="7" t="s">
        <v>200</v>
      </c>
      <c r="B76" s="8" t="s">
        <v>196</v>
      </c>
      <c r="C76" s="8" t="n">
        <v>1991</v>
      </c>
      <c r="D76" s="9" t="s">
        <v>201</v>
      </c>
      <c r="E76" s="7" t="s">
        <v>49</v>
      </c>
      <c r="F76" s="10" t="n">
        <f aca="false">IF(ISBLANK($G76),,VLOOKUP($G76, Rarities!$A$1:$B869, 2, FALSE()))</f>
        <v>2</v>
      </c>
      <c r="G76" s="8" t="s">
        <v>36</v>
      </c>
      <c r="H76" s="8" t="str">
        <f aca="false">VLOOKUP(B76,Manufacturers!A$1:B869,2)</f>
        <v>GB</v>
      </c>
      <c r="I76" s="11" t="n">
        <v>250000</v>
      </c>
      <c r="J76" s="8"/>
      <c r="K76" s="8"/>
      <c r="L76" s="12"/>
      <c r="M76" s="11"/>
      <c r="N76" s="11"/>
      <c r="O76" s="8"/>
      <c r="P76" s="8"/>
    </row>
    <row r="77" customFormat="false" ht="15.75" hidden="false" customHeight="true" outlineLevel="0" collapsed="false">
      <c r="A77" s="7" t="s">
        <v>202</v>
      </c>
      <c r="B77" s="8" t="s">
        <v>196</v>
      </c>
      <c r="C77" s="8" t="n">
        <v>2016</v>
      </c>
      <c r="D77" s="9" t="s">
        <v>203</v>
      </c>
      <c r="E77" s="7" t="s">
        <v>125</v>
      </c>
      <c r="F77" s="10" t="n">
        <f aca="false">IF(ISBLANK($G77),,VLOOKUP($G77, Rarities!$A$1:$B869, 2, FALSE()))</f>
        <v>3</v>
      </c>
      <c r="G77" s="8" t="s">
        <v>53</v>
      </c>
      <c r="H77" s="8" t="str">
        <f aca="false">VLOOKUP(B77,Manufacturers!A$1:B869,2)</f>
        <v>GB</v>
      </c>
      <c r="I77" s="11" t="n">
        <v>180000</v>
      </c>
      <c r="J77" s="8"/>
      <c r="K77" s="8" t="n">
        <v>1</v>
      </c>
      <c r="L77" s="12" t="n">
        <v>11</v>
      </c>
      <c r="M77" s="11" t="e">
        <f aca="false">IF(AND(ISNUMBER(L77),L77&gt;0),(3*J77+K77)*#REF!/L77,"-")</f>
        <v>#REF!</v>
      </c>
      <c r="N77" s="11" t="e">
        <f aca="false">IF(AND(#REF!,ISNUMBER(L77),L77&gt;0),((3*J77+K77)*#REF!-I77)/L77,"-")</f>
        <v>#REF!</v>
      </c>
      <c r="O77" s="8"/>
      <c r="P77" s="8"/>
    </row>
    <row r="78" customFormat="false" ht="15.75" hidden="false" customHeight="true" outlineLevel="0" collapsed="false">
      <c r="A78" s="7" t="s">
        <v>204</v>
      </c>
      <c r="B78" s="8" t="s">
        <v>196</v>
      </c>
      <c r="C78" s="8" t="n">
        <v>2017</v>
      </c>
      <c r="D78" s="9" t="s">
        <v>205</v>
      </c>
      <c r="E78" s="7" t="s">
        <v>52</v>
      </c>
      <c r="F78" s="10" t="n">
        <f aca="false">IF(ISBLANK($G78),,VLOOKUP($G78, Rarities!$A$1:$B869, 2, FALSE()))</f>
        <v>3</v>
      </c>
      <c r="G78" s="8" t="s">
        <v>53</v>
      </c>
      <c r="H78" s="8" t="str">
        <f aca="false">VLOOKUP(B78,Manufacturers!A$1:B869,2)</f>
        <v>GB</v>
      </c>
      <c r="I78" s="11" t="n">
        <v>200000</v>
      </c>
      <c r="J78" s="8"/>
      <c r="K78" s="8" t="n">
        <v>1</v>
      </c>
      <c r="L78" s="12" t="n">
        <v>14</v>
      </c>
      <c r="M78" s="11" t="e">
        <f aca="false">IF(AND(ISNUMBER(L78),L78&gt;0),(3*J78+K78)*#REF!/L78,"-")</f>
        <v>#REF!</v>
      </c>
      <c r="N78" s="11" t="e">
        <f aca="false">IF(AND(#REF!,ISNUMBER(L78),L78&gt;0),((3*J78+K78)*#REF!-I78)/L78,"-")</f>
        <v>#REF!</v>
      </c>
      <c r="O78" s="8"/>
      <c r="P78" s="8"/>
    </row>
    <row r="79" customFormat="false" ht="15.75" hidden="false" customHeight="true" outlineLevel="0" collapsed="false">
      <c r="A79" s="7" t="s">
        <v>206</v>
      </c>
      <c r="B79" s="8" t="s">
        <v>196</v>
      </c>
      <c r="C79" s="8" t="n">
        <v>2021</v>
      </c>
      <c r="D79" s="9" t="s">
        <v>207</v>
      </c>
      <c r="E79" s="7" t="s">
        <v>52</v>
      </c>
      <c r="F79" s="10" t="n">
        <f aca="false">IF(ISBLANK($G79),,VLOOKUP($G79, Rarities!$A$1:$B869, 2, FALSE()))</f>
        <v>2</v>
      </c>
      <c r="G79" s="8" t="s">
        <v>36</v>
      </c>
      <c r="H79" s="8" t="str">
        <f aca="false">VLOOKUP(B79,Manufacturers!A$1:B869,2)</f>
        <v>GB</v>
      </c>
      <c r="I79" s="11" t="n">
        <v>300000</v>
      </c>
      <c r="J79" s="8"/>
      <c r="K79" s="8"/>
      <c r="L79" s="12"/>
      <c r="M79" s="11"/>
      <c r="N79" s="11"/>
      <c r="O79" s="8"/>
      <c r="P79" s="8"/>
    </row>
    <row r="80" customFormat="false" ht="15.75" hidden="false" customHeight="true" outlineLevel="0" collapsed="false">
      <c r="A80" s="7" t="s">
        <v>208</v>
      </c>
      <c r="B80" s="8" t="s">
        <v>209</v>
      </c>
      <c r="C80" s="8" t="n">
        <v>1957</v>
      </c>
      <c r="D80" s="9" t="s">
        <v>210</v>
      </c>
      <c r="E80" s="7" t="s">
        <v>16</v>
      </c>
      <c r="F80" s="10" t="n">
        <f aca="false">IF(ISBLANK($G80),,VLOOKUP($G80, Rarities!$A$1:$B869, 2, FALSE()))</f>
        <v>1</v>
      </c>
      <c r="G80" s="8" t="s">
        <v>17</v>
      </c>
      <c r="H80" s="8" t="str">
        <f aca="false">VLOOKUP(B80,Manufacturers!A$1:B869,2)</f>
        <v>DE</v>
      </c>
      <c r="I80" s="11" t="n">
        <v>45000</v>
      </c>
      <c r="J80" s="8"/>
      <c r="K80" s="8" t="n">
        <v>1</v>
      </c>
      <c r="L80" s="12" t="n">
        <v>9</v>
      </c>
      <c r="M80" s="11" t="e">
        <f aca="false">IF(AND(ISNUMBER(L80),L80&gt;0),(3*J80+K80)*#REF!/L80,"-")</f>
        <v>#REF!</v>
      </c>
      <c r="N80" s="11" t="e">
        <f aca="false">IF(AND(#REF!,ISNUMBER(L80),L80&gt;0),((3*J80+K80)*#REF!-I80)/L80,"-")</f>
        <v>#REF!</v>
      </c>
      <c r="O80" s="8"/>
      <c r="P80" s="8"/>
    </row>
    <row r="81" customFormat="false" ht="15.75" hidden="false" customHeight="true" outlineLevel="0" collapsed="false">
      <c r="A81" s="7" t="s">
        <v>211</v>
      </c>
      <c r="B81" s="8" t="s">
        <v>209</v>
      </c>
      <c r="C81" s="8" t="n">
        <v>1973</v>
      </c>
      <c r="D81" s="9" t="s">
        <v>212</v>
      </c>
      <c r="E81" s="7" t="s">
        <v>184</v>
      </c>
      <c r="F81" s="10" t="n">
        <f aca="false">IF(ISBLANK($G81),,VLOOKUP($G81, Rarities!$A$1:$B869, 2, FALSE()))</f>
        <v>4</v>
      </c>
      <c r="G81" s="8" t="s">
        <v>41</v>
      </c>
      <c r="H81" s="8" t="str">
        <f aca="false">VLOOKUP(B81,Manufacturers!A$1:B869,2)</f>
        <v>DE</v>
      </c>
      <c r="I81" s="11" t="n">
        <v>26000</v>
      </c>
      <c r="J81" s="8"/>
      <c r="K81" s="8" t="n">
        <v>1</v>
      </c>
      <c r="L81" s="12" t="n">
        <v>9</v>
      </c>
      <c r="M81" s="11" t="e">
        <f aca="false">IF(AND(ISNUMBER(L81),L81&gt;0),(3*J81+K81)*#REF!/L81,"-")</f>
        <v>#REF!</v>
      </c>
      <c r="N81" s="11" t="e">
        <f aca="false">IF(AND(#REF!,ISNUMBER(L81),L81&gt;0),((3*J81+K81)*#REF!-I81)/L81,"-")</f>
        <v>#REF!</v>
      </c>
      <c r="O81" s="8"/>
      <c r="P81" s="8"/>
    </row>
    <row r="82" customFormat="false" ht="15.75" hidden="false" customHeight="true" outlineLevel="0" collapsed="false">
      <c r="A82" s="7" t="s">
        <v>213</v>
      </c>
      <c r="B82" s="8" t="s">
        <v>209</v>
      </c>
      <c r="C82" s="8" t="n">
        <v>1981</v>
      </c>
      <c r="D82" s="9" t="s">
        <v>214</v>
      </c>
      <c r="E82" s="7" t="s">
        <v>215</v>
      </c>
      <c r="F82" s="10" t="n">
        <f aca="false">IF(ISBLANK($G82),,VLOOKUP($G82, Rarities!$A$1:$B869, 2, FALSE()))</f>
        <v>3</v>
      </c>
      <c r="G82" s="8" t="s">
        <v>53</v>
      </c>
      <c r="H82" s="8" t="str">
        <f aca="false">VLOOKUP(B82,Manufacturers!A$1:B869,2)</f>
        <v>DE</v>
      </c>
      <c r="I82" s="11" t="n">
        <v>585000</v>
      </c>
      <c r="J82" s="8"/>
      <c r="K82" s="8" t="n">
        <v>2</v>
      </c>
      <c r="L82" s="12" t="n">
        <v>11</v>
      </c>
      <c r="M82" s="11" t="e">
        <f aca="false">IF(AND(ISNUMBER(L82),L82&gt;0),(3*J82+K82)*#REF!/L82,"-")</f>
        <v>#REF!</v>
      </c>
      <c r="N82" s="11" t="e">
        <f aca="false">IF(AND(#REF!,ISNUMBER(L82),L82&gt;0),((3*J82+K82)*#REF!-I82)/L82,"-")</f>
        <v>#REF!</v>
      </c>
      <c r="O82" s="8"/>
      <c r="P82" s="8"/>
    </row>
    <row r="83" customFormat="false" ht="15.75" hidden="false" customHeight="true" outlineLevel="0" collapsed="false">
      <c r="A83" s="7" t="s">
        <v>216</v>
      </c>
      <c r="B83" s="8" t="s">
        <v>209</v>
      </c>
      <c r="C83" s="8" t="n">
        <v>1988</v>
      </c>
      <c r="D83" s="9" t="s">
        <v>217</v>
      </c>
      <c r="E83" s="7" t="s">
        <v>49</v>
      </c>
      <c r="F83" s="10" t="n">
        <f aca="false">IF(ISBLANK($G83),,VLOOKUP($G83, Rarities!$A$1:$B869, 2, FALSE()))</f>
        <v>2</v>
      </c>
      <c r="G83" s="8" t="s">
        <v>36</v>
      </c>
      <c r="H83" s="8" t="str">
        <f aca="false">VLOOKUP(B83,Manufacturers!A$1:B869,2)</f>
        <v>DE</v>
      </c>
      <c r="I83" s="11" t="n">
        <v>54000</v>
      </c>
      <c r="J83" s="8"/>
      <c r="K83" s="8" t="n">
        <v>1</v>
      </c>
      <c r="L83" s="12" t="n">
        <v>9</v>
      </c>
      <c r="M83" s="11" t="e">
        <f aca="false">IF(AND(ISNUMBER(L83),L83&gt;0),(3*J83+K83)*#REF!/L83,"-")</f>
        <v>#REF!</v>
      </c>
      <c r="N83" s="11" t="e">
        <f aca="false">IF(AND(#REF!,ISNUMBER(L83),L83&gt;0),((3*J83+K83)*#REF!-I83)/L83,"-")</f>
        <v>#REF!</v>
      </c>
      <c r="O83" s="8"/>
      <c r="P83" s="8"/>
    </row>
    <row r="84" customFormat="false" ht="15.75" hidden="false" customHeight="true" outlineLevel="0" collapsed="false">
      <c r="A84" s="7" t="s">
        <v>218</v>
      </c>
      <c r="B84" s="8" t="s">
        <v>209</v>
      </c>
      <c r="C84" s="8" t="n">
        <v>1991</v>
      </c>
      <c r="D84" s="9" t="s">
        <v>219</v>
      </c>
      <c r="E84" s="7" t="s">
        <v>49</v>
      </c>
      <c r="F84" s="10" t="n">
        <f aca="false">IF(ISBLANK($G84),,VLOOKUP($G84, Rarities!$A$1:$B869, 2, FALSE()))</f>
        <v>2</v>
      </c>
      <c r="G84" s="8" t="s">
        <v>36</v>
      </c>
      <c r="H84" s="8" t="str">
        <f aca="false">VLOOKUP(B84,Manufacturers!A$1:B869,2)</f>
        <v>DE</v>
      </c>
      <c r="I84" s="11" t="n">
        <v>70000</v>
      </c>
      <c r="J84" s="8"/>
      <c r="K84" s="8" t="n">
        <v>1</v>
      </c>
      <c r="L84" s="12" t="n">
        <v>14</v>
      </c>
      <c r="M84" s="11" t="e">
        <f aca="false">IF(AND(ISNUMBER(L84),L84&gt;0),(3*J84+K84)*#REF!/L84,"-")</f>
        <v>#REF!</v>
      </c>
      <c r="N84" s="11" t="e">
        <f aca="false">IF(AND(#REF!,ISNUMBER(L84),L84&gt;0),((3*J84+K84)*#REF!-I84)/L84,"-")</f>
        <v>#REF!</v>
      </c>
      <c r="O84" s="8"/>
      <c r="P84" s="8"/>
    </row>
    <row r="85" customFormat="false" ht="15.75" hidden="false" customHeight="true" outlineLevel="0" collapsed="false">
      <c r="A85" s="7" t="s">
        <v>220</v>
      </c>
      <c r="B85" s="8" t="s">
        <v>209</v>
      </c>
      <c r="C85" s="8" t="n">
        <v>1995</v>
      </c>
      <c r="D85" s="9" t="s">
        <v>221</v>
      </c>
      <c r="E85" s="7" t="s">
        <v>222</v>
      </c>
      <c r="F85" s="10" t="n">
        <f aca="false">IF(ISBLANK($G85),,VLOOKUP($G85, Rarities!$A$1:$B869, 2, FALSE()))</f>
        <v>2</v>
      </c>
      <c r="G85" s="8" t="s">
        <v>36</v>
      </c>
      <c r="H85" s="8" t="str">
        <f aca="false">VLOOKUP(B85,Manufacturers!A$1:B869,2)</f>
        <v>DE</v>
      </c>
      <c r="I85" s="11" t="n">
        <v>250000</v>
      </c>
      <c r="J85" s="8"/>
      <c r="K85" s="8"/>
      <c r="L85" s="12"/>
      <c r="M85" s="11"/>
      <c r="N85" s="11"/>
      <c r="O85" s="8"/>
      <c r="P85" s="8"/>
    </row>
    <row r="86" customFormat="false" ht="15.75" hidden="false" customHeight="true" outlineLevel="0" collapsed="false">
      <c r="A86" s="7" t="s">
        <v>223</v>
      </c>
      <c r="B86" s="8" t="s">
        <v>209</v>
      </c>
      <c r="C86" s="8" t="n">
        <v>1995</v>
      </c>
      <c r="D86" s="9" t="s">
        <v>217</v>
      </c>
      <c r="E86" s="7" t="s">
        <v>49</v>
      </c>
      <c r="F86" s="10" t="n">
        <f aca="false">IF(ISBLANK($G86),,VLOOKUP($G86, Rarities!$A$1:$B869, 2, FALSE()))</f>
        <v>2</v>
      </c>
      <c r="G86" s="8" t="s">
        <v>36</v>
      </c>
      <c r="H86" s="8" t="str">
        <f aca="false">VLOOKUP(B86,Manufacturers!A$1:B869,2)</f>
        <v>DE</v>
      </c>
      <c r="I86" s="11" t="n">
        <v>25000</v>
      </c>
      <c r="J86" s="8"/>
      <c r="K86" s="8" t="n">
        <v>1</v>
      </c>
      <c r="L86" s="12" t="n">
        <v>9</v>
      </c>
      <c r="M86" s="11" t="e">
        <f aca="false">IF(AND(ISNUMBER(L86),L86&gt;0),(3*J86+K86)*#REF!/L86,"-")</f>
        <v>#REF!</v>
      </c>
      <c r="N86" s="11" t="e">
        <f aca="false">IF(AND(#REF!,ISNUMBER(L86),L86&gt;0),((3*J86+K86)*#REF!-I86)/L86,"-")</f>
        <v>#REF!</v>
      </c>
      <c r="O86" s="8"/>
      <c r="P86" s="8"/>
    </row>
    <row r="87" customFormat="false" ht="15.75" hidden="false" customHeight="true" outlineLevel="0" collapsed="false">
      <c r="A87" s="7" t="s">
        <v>224</v>
      </c>
      <c r="B87" s="8" t="s">
        <v>209</v>
      </c>
      <c r="C87" s="8" t="n">
        <v>1997</v>
      </c>
      <c r="D87" s="9" t="s">
        <v>219</v>
      </c>
      <c r="E87" s="7" t="s">
        <v>49</v>
      </c>
      <c r="F87" s="10" t="n">
        <f aca="false">IF(ISBLANK($G87),,VLOOKUP($G87, Rarities!$A$1:$B869, 2, FALSE()))</f>
        <v>1</v>
      </c>
      <c r="G87" s="8" t="s">
        <v>17</v>
      </c>
      <c r="H87" s="8" t="str">
        <f aca="false">VLOOKUP(B87,Manufacturers!A$1:B869,2)</f>
        <v>DE</v>
      </c>
      <c r="I87" s="11" t="n">
        <v>35000</v>
      </c>
      <c r="J87" s="8"/>
      <c r="K87" s="8" t="n">
        <v>2</v>
      </c>
      <c r="L87" s="12" t="n">
        <v>21</v>
      </c>
      <c r="M87" s="11" t="e">
        <f aca="false">IF(AND(ISNUMBER(L87),L87&gt;0),(3*J87+K87)*#REF!/L87,"-")</f>
        <v>#REF!</v>
      </c>
      <c r="N87" s="11" t="e">
        <f aca="false">IF(AND(#REF!,ISNUMBER(L87),L87&gt;0),((3*J87+K87)*#REF!-I87)/L87,"-")</f>
        <v>#REF!</v>
      </c>
      <c r="O87" s="8"/>
      <c r="P87" s="8"/>
    </row>
    <row r="88" customFormat="false" ht="15.75" hidden="false" customHeight="true" outlineLevel="0" collapsed="false">
      <c r="A88" s="7" t="s">
        <v>225</v>
      </c>
      <c r="B88" s="8" t="s">
        <v>209</v>
      </c>
      <c r="C88" s="8" t="n">
        <v>2002</v>
      </c>
      <c r="D88" s="9" t="s">
        <v>226</v>
      </c>
      <c r="E88" s="7" t="s">
        <v>111</v>
      </c>
      <c r="F88" s="10" t="n">
        <f aca="false">IF(ISBLANK($G88),,VLOOKUP($G88, Rarities!$A$1:$B869, 2, FALSE()))</f>
        <v>3</v>
      </c>
      <c r="G88" s="8" t="s">
        <v>53</v>
      </c>
      <c r="H88" s="8" t="str">
        <f aca="false">VLOOKUP(B88,Manufacturers!A$1:B869,2)</f>
        <v>DE</v>
      </c>
      <c r="I88" s="11" t="n">
        <v>180000</v>
      </c>
      <c r="J88" s="8"/>
      <c r="K88" s="8" t="n">
        <v>2</v>
      </c>
      <c r="L88" s="12" t="n">
        <v>11</v>
      </c>
      <c r="M88" s="11" t="e">
        <f aca="false">IF(AND(ISNUMBER(L88),L88&gt;0),(3*J88+K88)*#REF!/L88,"-")</f>
        <v>#REF!</v>
      </c>
      <c r="N88" s="11" t="e">
        <f aca="false">IF(AND(#REF!,ISNUMBER(L88),L88&gt;0),((3*J88+K88)*#REF!-I88)/L88,"-")</f>
        <v>#REF!</v>
      </c>
      <c r="O88" s="8"/>
      <c r="P88" s="8"/>
    </row>
    <row r="89" customFormat="false" ht="15.75" hidden="false" customHeight="true" outlineLevel="0" collapsed="false">
      <c r="A89" s="7" t="s">
        <v>227</v>
      </c>
      <c r="B89" s="8" t="s">
        <v>209</v>
      </c>
      <c r="C89" s="8" t="n">
        <v>2002</v>
      </c>
      <c r="D89" s="9" t="s">
        <v>228</v>
      </c>
      <c r="E89" s="7" t="s">
        <v>222</v>
      </c>
      <c r="F89" s="10" t="n">
        <f aca="false">IF(ISBLANK($G89),,VLOOKUP($G89, Rarities!$A$1:$B869, 2, FALSE()))</f>
        <v>1</v>
      </c>
      <c r="G89" s="8" t="s">
        <v>17</v>
      </c>
      <c r="H89" s="8" t="str">
        <f aca="false">VLOOKUP(B89,Manufacturers!A$1:B869,2)</f>
        <v>DE</v>
      </c>
      <c r="I89" s="11" t="n">
        <v>30000</v>
      </c>
      <c r="J89" s="8"/>
      <c r="K89" s="8" t="n">
        <v>2</v>
      </c>
      <c r="L89" s="12" t="n">
        <v>11</v>
      </c>
      <c r="M89" s="11" t="e">
        <f aca="false">IF(AND(ISNUMBER(L89),L89&gt;0),(3*J89+K89)*#REF!/L89,"-")</f>
        <v>#REF!</v>
      </c>
      <c r="N89" s="11" t="e">
        <f aca="false">IF(AND(#REF!,ISNUMBER(L89),L89&gt;0),((3*J89+K89)*#REF!-I89)/L89,"-")</f>
        <v>#REF!</v>
      </c>
      <c r="O89" s="8"/>
      <c r="P89" s="8"/>
    </row>
    <row r="90" customFormat="false" ht="15.75" hidden="false" customHeight="true" outlineLevel="0" collapsed="false">
      <c r="A90" s="7" t="s">
        <v>229</v>
      </c>
      <c r="B90" s="8" t="s">
        <v>209</v>
      </c>
      <c r="C90" s="8" t="n">
        <v>2003</v>
      </c>
      <c r="D90" s="9" t="s">
        <v>217</v>
      </c>
      <c r="E90" s="7" t="s">
        <v>49</v>
      </c>
      <c r="F90" s="10" t="n">
        <f aca="false">IF(ISBLANK($G90),,VLOOKUP($G90, Rarities!$A$1:$B869, 2, FALSE()))</f>
        <v>1</v>
      </c>
      <c r="G90" s="8" t="s">
        <v>17</v>
      </c>
      <c r="H90" s="8" t="str">
        <f aca="false">VLOOKUP(B90,Manufacturers!A$1:B869,2)</f>
        <v>DE</v>
      </c>
      <c r="I90" s="11" t="n">
        <v>30000</v>
      </c>
      <c r="J90" s="8"/>
      <c r="K90" s="8" t="n">
        <v>1</v>
      </c>
      <c r="L90" s="12" t="n">
        <v>9</v>
      </c>
      <c r="M90" s="11" t="e">
        <f aca="false">IF(AND(ISNUMBER(L90),L90&gt;0),(3*J90+K90)*#REF!/L90,"-")</f>
        <v>#REF!</v>
      </c>
      <c r="N90" s="11" t="e">
        <f aca="false">IF(AND(#REF!,ISNUMBER(L90),L90&gt;0),((3*J90+K90)*#REF!-I90)/L90,"-")</f>
        <v>#REF!</v>
      </c>
      <c r="O90" s="8"/>
      <c r="P90" s="8"/>
    </row>
    <row r="91" customFormat="false" ht="15.75" hidden="false" customHeight="true" outlineLevel="0" collapsed="false">
      <c r="A91" s="7" t="s">
        <v>230</v>
      </c>
      <c r="B91" s="8" t="s">
        <v>209</v>
      </c>
      <c r="C91" s="8" t="n">
        <v>2005</v>
      </c>
      <c r="D91" s="9" t="s">
        <v>219</v>
      </c>
      <c r="E91" s="7" t="s">
        <v>49</v>
      </c>
      <c r="F91" s="10" t="n">
        <f aca="false">IF(ISBLANK($G91),,VLOOKUP($G91, Rarities!$A$1:$B869, 2, FALSE()))</f>
        <v>1</v>
      </c>
      <c r="G91" s="8" t="s">
        <v>17</v>
      </c>
      <c r="H91" s="8" t="str">
        <f aca="false">VLOOKUP(B91,Manufacturers!A$1:B869,2)</f>
        <v>DE</v>
      </c>
      <c r="I91" s="11" t="n">
        <v>33000</v>
      </c>
      <c r="J91" s="8"/>
      <c r="K91" s="8" t="n">
        <v>1</v>
      </c>
      <c r="L91" s="12" t="n">
        <v>9</v>
      </c>
      <c r="M91" s="11" t="e">
        <f aca="false">IF(AND(ISNUMBER(L91),L91&gt;0),(3*J91+K91)*#REF!/L91,"-")</f>
        <v>#REF!</v>
      </c>
      <c r="N91" s="11" t="e">
        <f aca="false">IF(AND(#REF!,ISNUMBER(L91),L91&gt;0),((3*J91+K91)*#REF!-I91)/L91,"-")</f>
        <v>#REF!</v>
      </c>
      <c r="O91" s="8"/>
      <c r="P91" s="8"/>
    </row>
    <row r="92" customFormat="false" ht="15.75" hidden="false" customHeight="true" outlineLevel="0" collapsed="false">
      <c r="A92" s="7" t="s">
        <v>231</v>
      </c>
      <c r="B92" s="8" t="s">
        <v>209</v>
      </c>
      <c r="C92" s="8" t="n">
        <v>2008</v>
      </c>
      <c r="D92" s="9" t="s">
        <v>232</v>
      </c>
      <c r="E92" s="7" t="s">
        <v>26</v>
      </c>
      <c r="F92" s="10" t="n">
        <f aca="false">IF(ISBLANK($G92),,VLOOKUP($G92, Rarities!$A$1:$B869, 2, FALSE()))</f>
        <v>2</v>
      </c>
      <c r="G92" s="8" t="s">
        <v>36</v>
      </c>
      <c r="H92" s="8" t="str">
        <f aca="false">VLOOKUP(B92,Manufacturers!A$1:B869,2)</f>
        <v>DE</v>
      </c>
      <c r="I92" s="11" t="n">
        <v>82000</v>
      </c>
      <c r="J92" s="8"/>
      <c r="K92" s="8" t="n">
        <v>1</v>
      </c>
      <c r="L92" s="12" t="n">
        <v>14</v>
      </c>
      <c r="M92" s="11" t="e">
        <f aca="false">IF(AND(ISNUMBER(L92),L92&gt;0),(3*J92+K92)*#REF!/L92,"-")</f>
        <v>#REF!</v>
      </c>
      <c r="N92" s="11" t="e">
        <f aca="false">IF(AND(#REF!,ISNUMBER(L92),L92&gt;0),((3*J92+K92)*#REF!-I92)/L92,"-")</f>
        <v>#REF!</v>
      </c>
      <c r="O92" s="8"/>
      <c r="P92" s="8"/>
    </row>
    <row r="93" customFormat="false" ht="15.75" hidden="false" customHeight="true" outlineLevel="0" collapsed="false">
      <c r="A93" s="7" t="s">
        <v>233</v>
      </c>
      <c r="B93" s="8" t="s">
        <v>209</v>
      </c>
      <c r="C93" s="8" t="n">
        <v>2008</v>
      </c>
      <c r="D93" s="9" t="s">
        <v>219</v>
      </c>
      <c r="E93" s="7" t="s">
        <v>58</v>
      </c>
      <c r="F93" s="10" t="n">
        <f aca="false">IF(ISBLANK($G93),,VLOOKUP($G93, Rarities!$A$1:$B869, 2, FALSE()))</f>
        <v>1</v>
      </c>
      <c r="G93" s="8" t="s">
        <v>17</v>
      </c>
      <c r="H93" s="8" t="str">
        <f aca="false">VLOOKUP(B93,Manufacturers!A$1:B869,2)</f>
        <v>DE</v>
      </c>
      <c r="I93" s="11" t="n">
        <v>48000</v>
      </c>
      <c r="J93" s="8"/>
      <c r="K93" s="8" t="n">
        <v>1</v>
      </c>
      <c r="L93" s="12" t="n">
        <v>14</v>
      </c>
      <c r="M93" s="11" t="e">
        <f aca="false">IF(AND(ISNUMBER(L93),L93&gt;0),(3*J93+K93)*#REF!/L93,"-")</f>
        <v>#REF!</v>
      </c>
      <c r="N93" s="11" t="e">
        <f aca="false">IF(AND(#REF!,ISNUMBER(L93),L93&gt;0),((3*J93+K93)*#REF!-I93)/L93,"-")</f>
        <v>#REF!</v>
      </c>
      <c r="O93" s="8"/>
      <c r="P93" s="8"/>
    </row>
    <row r="94" customFormat="false" ht="15.75" hidden="false" customHeight="true" outlineLevel="0" collapsed="false">
      <c r="A94" s="7" t="s">
        <v>234</v>
      </c>
      <c r="B94" s="8" t="s">
        <v>209</v>
      </c>
      <c r="C94" s="8" t="n">
        <v>2009</v>
      </c>
      <c r="D94" s="9" t="s">
        <v>217</v>
      </c>
      <c r="E94" s="7" t="s">
        <v>58</v>
      </c>
      <c r="F94" s="10" t="n">
        <f aca="false">IF(ISBLANK($G94),,VLOOKUP($G94, Rarities!$A$1:$B869, 2, FALSE()))</f>
        <v>2</v>
      </c>
      <c r="G94" s="8" t="s">
        <v>36</v>
      </c>
      <c r="H94" s="8" t="str">
        <f aca="false">VLOOKUP(B94,Manufacturers!A$1:B869,2)</f>
        <v>DE</v>
      </c>
      <c r="I94" s="11" t="n">
        <v>90000</v>
      </c>
      <c r="J94" s="8"/>
      <c r="K94" s="8" t="n">
        <v>1</v>
      </c>
      <c r="L94" s="12" t="n">
        <v>9</v>
      </c>
      <c r="M94" s="11" t="e">
        <f aca="false">IF(AND(ISNUMBER(L94),L94&gt;0),(3*J94+K94)*#REF!/L94,"-")</f>
        <v>#REF!</v>
      </c>
      <c r="N94" s="11" t="e">
        <f aca="false">IF(AND(#REF!,ISNUMBER(L94),L94&gt;0),((3*J94+K94)*#REF!-I94)/L94,"-")</f>
        <v>#REF!</v>
      </c>
      <c r="O94" s="8"/>
      <c r="P94" s="8"/>
    </row>
    <row r="95" customFormat="false" ht="15.75" hidden="false" customHeight="true" outlineLevel="0" collapsed="false">
      <c r="A95" s="7" t="s">
        <v>235</v>
      </c>
      <c r="B95" s="8" t="s">
        <v>209</v>
      </c>
      <c r="C95" s="8" t="n">
        <v>2010</v>
      </c>
      <c r="D95" s="9" t="s">
        <v>236</v>
      </c>
      <c r="E95" s="7" t="s">
        <v>111</v>
      </c>
      <c r="F95" s="10" t="n">
        <f aca="false">IF(ISBLANK($G95),,VLOOKUP($G95, Rarities!$A$1:$B869, 2, FALSE()))</f>
        <v>3</v>
      </c>
      <c r="G95" s="8" t="s">
        <v>53</v>
      </c>
      <c r="H95" s="8" t="str">
        <f aca="false">VLOOKUP(B95,Manufacturers!A$1:B869,2)</f>
        <v>DE</v>
      </c>
      <c r="I95" s="11" t="n">
        <v>250000</v>
      </c>
      <c r="J95" s="8"/>
      <c r="K95" s="8"/>
      <c r="L95" s="12"/>
      <c r="M95" s="11"/>
      <c r="N95" s="11"/>
      <c r="O95" s="8"/>
      <c r="P95" s="8"/>
    </row>
    <row r="96" customFormat="false" ht="15.75" hidden="false" customHeight="true" outlineLevel="0" collapsed="false">
      <c r="A96" s="7" t="s">
        <v>237</v>
      </c>
      <c r="B96" s="8" t="s">
        <v>209</v>
      </c>
      <c r="C96" s="8" t="n">
        <v>2011</v>
      </c>
      <c r="D96" s="9" t="s">
        <v>238</v>
      </c>
      <c r="E96" s="7" t="s">
        <v>86</v>
      </c>
      <c r="F96" s="10" t="n">
        <f aca="false">IF(ISBLANK($G96),,VLOOKUP($G96, Rarities!$A$1:$B869, 2, FALSE()))</f>
        <v>5</v>
      </c>
      <c r="G96" s="8" t="s">
        <v>239</v>
      </c>
      <c r="H96" s="8" t="str">
        <f aca="false">VLOOKUP(B96,Manufacturers!A$1:B869,2)</f>
        <v>DE</v>
      </c>
      <c r="I96" s="11" t="n">
        <v>500000</v>
      </c>
      <c r="J96" s="8"/>
      <c r="K96" s="8" t="n">
        <v>2</v>
      </c>
      <c r="L96" s="12" t="n">
        <v>11</v>
      </c>
      <c r="M96" s="11" t="e">
        <f aca="false">IF(AND(ISNUMBER(L96),L96&gt;0),(3*J96+K96)*#REF!/L96,"-")</f>
        <v>#REF!</v>
      </c>
      <c r="N96" s="11" t="e">
        <f aca="false">IF(AND(#REF!,ISNUMBER(L96),L96&gt;0),((3*J96+K96)*#REF!-I96)/L96,"-")</f>
        <v>#REF!</v>
      </c>
      <c r="O96" s="8"/>
      <c r="P96" s="8"/>
    </row>
    <row r="97" customFormat="false" ht="15.75" hidden="false" customHeight="true" outlineLevel="0" collapsed="false">
      <c r="A97" s="7" t="s">
        <v>240</v>
      </c>
      <c r="B97" s="8" t="s">
        <v>209</v>
      </c>
      <c r="C97" s="8" t="n">
        <v>2011</v>
      </c>
      <c r="D97" s="9" t="s">
        <v>241</v>
      </c>
      <c r="E97" s="7" t="s">
        <v>58</v>
      </c>
      <c r="F97" s="10" t="n">
        <f aca="false">IF(ISBLANK($G97),,VLOOKUP($G97, Rarities!$A$1:$B869, 2, FALSE()))</f>
        <v>2</v>
      </c>
      <c r="G97" s="8" t="s">
        <v>36</v>
      </c>
      <c r="H97" s="8" t="str">
        <f aca="false">VLOOKUP(B97,Manufacturers!A$1:B869,2)</f>
        <v>DE</v>
      </c>
      <c r="I97" s="11" t="n">
        <v>55000</v>
      </c>
      <c r="J97" s="8"/>
      <c r="K97" s="8" t="n">
        <v>1</v>
      </c>
      <c r="L97" s="12" t="n">
        <v>14</v>
      </c>
      <c r="M97" s="11" t="e">
        <f aca="false">IF(AND(ISNUMBER(L97),L97&gt;0),(3*J97+K97)*#REF!/L97,"-")</f>
        <v>#REF!</v>
      </c>
      <c r="N97" s="11" t="e">
        <f aca="false">IF(AND(#REF!,ISNUMBER(L97),L97&gt;0),((3*J97+K97)*#REF!-I97)/L97,"-")</f>
        <v>#REF!</v>
      </c>
      <c r="O97" s="8"/>
      <c r="P97" s="8"/>
    </row>
    <row r="98" customFormat="false" ht="15.75" hidden="false" customHeight="true" outlineLevel="0" collapsed="false">
      <c r="A98" s="7" t="s">
        <v>242</v>
      </c>
      <c r="B98" s="8" t="s">
        <v>209</v>
      </c>
      <c r="C98" s="8" t="n">
        <v>2011</v>
      </c>
      <c r="D98" s="9" t="s">
        <v>243</v>
      </c>
      <c r="E98" s="7" t="s">
        <v>125</v>
      </c>
      <c r="F98" s="10" t="n">
        <f aca="false">IF(ISBLANK($G98),,VLOOKUP($G98, Rarities!$A$1:$B869, 2, FALSE()))</f>
        <v>1</v>
      </c>
      <c r="G98" s="8" t="s">
        <v>17</v>
      </c>
      <c r="H98" s="8" t="str">
        <f aca="false">VLOOKUP(B98,Manufacturers!A$1:B869,2)</f>
        <v>DE</v>
      </c>
      <c r="I98" s="11" t="n">
        <v>100000</v>
      </c>
      <c r="J98" s="8"/>
      <c r="K98" s="8" t="n">
        <v>1</v>
      </c>
      <c r="L98" s="12" t="n">
        <v>11</v>
      </c>
      <c r="M98" s="11" t="e">
        <f aca="false">IF(AND(ISNUMBER(L98),L98&gt;0),(3*J98+K98)*#REF!/L98,"-")</f>
        <v>#REF!</v>
      </c>
      <c r="N98" s="11" t="e">
        <f aca="false">IF(AND(#REF!,ISNUMBER(L98),L98&gt;0),((3*J98+K98)*#REF!-I98)/L98,"-")</f>
        <v>#REF!</v>
      </c>
      <c r="O98" s="8"/>
      <c r="P98" s="8"/>
    </row>
    <row r="99" customFormat="false" ht="15.75" hidden="false" customHeight="true" outlineLevel="0" collapsed="false">
      <c r="A99" s="7" t="s">
        <v>244</v>
      </c>
      <c r="B99" s="8" t="s">
        <v>209</v>
      </c>
      <c r="C99" s="8" t="n">
        <v>2011</v>
      </c>
      <c r="D99" s="9" t="s">
        <v>245</v>
      </c>
      <c r="E99" s="7" t="s">
        <v>244</v>
      </c>
      <c r="F99" s="10" t="n">
        <f aca="false">IF(ISBLANK($G99),,VLOOKUP($G99, Rarities!$A$1:$B869, 2, FALSE()))</f>
        <v>0</v>
      </c>
      <c r="G99" s="8" t="s">
        <v>244</v>
      </c>
      <c r="H99" s="8" t="str">
        <f aca="false">VLOOKUP(B99,Manufacturers!A$1:B869,2)</f>
        <v>DE</v>
      </c>
      <c r="I99" s="11" t="s">
        <v>244</v>
      </c>
      <c r="J99" s="8"/>
      <c r="K99" s="8"/>
      <c r="L99" s="12" t="s">
        <v>244</v>
      </c>
      <c r="M99" s="11" t="str">
        <f aca="false">IF(AND(ISNUMBER(L99),L99&gt;0),(3*J99+K99)*#REF!/L99,"-")</f>
        <v>-</v>
      </c>
      <c r="N99" s="11" t="e">
        <f aca="false">IF(AND(#REF!,ISNUMBER(L99),L99&gt;0),((3*J99+K99)*#REF!-I99)/L99,"-")</f>
        <v>#REF!</v>
      </c>
      <c r="O99" s="8"/>
      <c r="P99" s="8"/>
    </row>
    <row r="100" customFormat="false" ht="15.75" hidden="false" customHeight="true" outlineLevel="0" collapsed="false">
      <c r="A100" s="7" t="s">
        <v>246</v>
      </c>
      <c r="B100" s="8" t="s">
        <v>209</v>
      </c>
      <c r="C100" s="8" t="n">
        <v>2012</v>
      </c>
      <c r="D100" s="9" t="s">
        <v>217</v>
      </c>
      <c r="E100" s="7" t="s">
        <v>58</v>
      </c>
      <c r="F100" s="10" t="n">
        <f aca="false">IF(ISBLANK($G100),,VLOOKUP($G100, Rarities!$A$1:$B869, 2, FALSE()))</f>
        <v>2</v>
      </c>
      <c r="G100" s="8" t="s">
        <v>36</v>
      </c>
      <c r="H100" s="8" t="str">
        <f aca="false">VLOOKUP(B100,Manufacturers!A$1:B869,2)</f>
        <v>DE</v>
      </c>
      <c r="I100" s="11" t="n">
        <v>112000</v>
      </c>
      <c r="J100" s="8"/>
      <c r="K100" s="8" t="n">
        <v>1</v>
      </c>
      <c r="L100" s="12" t="n">
        <v>9</v>
      </c>
      <c r="M100" s="11" t="e">
        <f aca="false">IF(AND(ISNUMBER(L100),L100&gt;0),(3*J100+K100)*#REF!/L100,"-")</f>
        <v>#REF!</v>
      </c>
      <c r="N100" s="11" t="e">
        <f aca="false">IF(AND(#REF!,ISNUMBER(L100),L100&gt;0),((3*J100+K100)*#REF!-I100)/L100,"-")</f>
        <v>#REF!</v>
      </c>
      <c r="O100" s="8"/>
      <c r="P100" s="8"/>
    </row>
    <row r="101" customFormat="false" ht="15.75" hidden="false" customHeight="true" outlineLevel="0" collapsed="false">
      <c r="A101" s="7" t="s">
        <v>247</v>
      </c>
      <c r="B101" s="8" t="s">
        <v>209</v>
      </c>
      <c r="C101" s="8" t="n">
        <v>2013</v>
      </c>
      <c r="D101" s="9" t="s">
        <v>248</v>
      </c>
      <c r="E101" s="7" t="s">
        <v>52</v>
      </c>
      <c r="F101" s="10" t="n">
        <f aca="false">IF(ISBLANK($G101),,VLOOKUP($G101, Rarities!$A$1:$B869, 2, FALSE()))</f>
        <v>2</v>
      </c>
      <c r="G101" s="8" t="s">
        <v>36</v>
      </c>
      <c r="H101" s="8" t="str">
        <f aca="false">VLOOKUP(B101,Manufacturers!A$1:B869,2)</f>
        <v>DE</v>
      </c>
      <c r="I101" s="11" t="n">
        <v>120000</v>
      </c>
      <c r="J101" s="8"/>
      <c r="K101" s="8" t="n">
        <v>1</v>
      </c>
      <c r="L101" s="12" t="n">
        <v>9</v>
      </c>
      <c r="M101" s="11" t="e">
        <f aca="false">IF(AND(ISNUMBER(L101),L101&gt;0),(3*J101+K101)*#REF!/L101,"-")</f>
        <v>#REF!</v>
      </c>
      <c r="N101" s="11" t="e">
        <f aca="false">IF(AND(#REF!,ISNUMBER(L101),L101&gt;0),((3*J101+K101)*#REF!-I101)/L101,"-")</f>
        <v>#REF!</v>
      </c>
      <c r="O101" s="8"/>
      <c r="P101" s="8"/>
    </row>
    <row r="102" customFormat="false" ht="15.75" hidden="false" customHeight="true" outlineLevel="0" collapsed="false">
      <c r="A102" s="7" t="s">
        <v>249</v>
      </c>
      <c r="B102" s="8" t="s">
        <v>209</v>
      </c>
      <c r="C102" s="8" t="n">
        <v>2014</v>
      </c>
      <c r="D102" s="9" t="s">
        <v>250</v>
      </c>
      <c r="E102" s="7" t="s">
        <v>58</v>
      </c>
      <c r="F102" s="10" t="n">
        <f aca="false">IF(ISBLANK($G102),,VLOOKUP($G102, Rarities!$A$1:$B869, 2, FALSE()))</f>
        <v>2</v>
      </c>
      <c r="G102" s="8" t="s">
        <v>36</v>
      </c>
      <c r="H102" s="8" t="str">
        <f aca="false">VLOOKUP(B102,Manufacturers!A$1:B869,2)</f>
        <v>DE</v>
      </c>
      <c r="I102" s="11" t="n">
        <v>92000</v>
      </c>
      <c r="J102" s="8"/>
      <c r="K102" s="8" t="n">
        <v>1</v>
      </c>
      <c r="L102" s="12" t="n">
        <v>14</v>
      </c>
      <c r="M102" s="11" t="e">
        <f aca="false">IF(AND(ISNUMBER(L102),L102&gt;0),(3*J102+K102)*#REF!/L102,"-")</f>
        <v>#REF!</v>
      </c>
      <c r="N102" s="11" t="e">
        <f aca="false">IF(AND(#REF!,ISNUMBER(L102),L102&gt;0),((3*J102+K102)*#REF!-I102)/L102,"-")</f>
        <v>#REF!</v>
      </c>
      <c r="O102" s="8"/>
      <c r="P102" s="8"/>
    </row>
    <row r="103" customFormat="false" ht="15.75" hidden="false" customHeight="true" outlineLevel="0" collapsed="false">
      <c r="A103" s="7" t="s">
        <v>251</v>
      </c>
      <c r="B103" s="8" t="s">
        <v>209</v>
      </c>
      <c r="C103" s="8" t="n">
        <v>2015</v>
      </c>
      <c r="D103" s="9" t="s">
        <v>252</v>
      </c>
      <c r="E103" s="7" t="s">
        <v>125</v>
      </c>
      <c r="F103" s="10" t="n">
        <f aca="false">IF(ISBLANK($G103),,VLOOKUP($G103, Rarities!$A$1:$B869, 2, FALSE()))</f>
        <v>3</v>
      </c>
      <c r="G103" s="8" t="s">
        <v>53</v>
      </c>
      <c r="H103" s="8" t="str">
        <f aca="false">VLOOKUP(B103,Manufacturers!A$1:B869,2)</f>
        <v>DE</v>
      </c>
      <c r="I103" s="11" t="n">
        <v>130000</v>
      </c>
      <c r="J103" s="8"/>
      <c r="K103" s="8" t="n">
        <v>1</v>
      </c>
      <c r="L103" s="12" t="n">
        <v>11</v>
      </c>
      <c r="M103" s="11" t="e">
        <f aca="false">IF(AND(ISNUMBER(L103),L103&gt;0),(3*J103+K103)*#REF!/L103,"-")</f>
        <v>#REF!</v>
      </c>
      <c r="N103" s="11" t="e">
        <f aca="false">IF(AND(#REF!,ISNUMBER(L103),L103&gt;0),((3*J103+K103)*#REF!-I103)/L103,"-")</f>
        <v>#REF!</v>
      </c>
      <c r="O103" s="8"/>
      <c r="P103" s="8"/>
    </row>
    <row r="104" customFormat="false" ht="15.75" hidden="false" customHeight="true" outlineLevel="0" collapsed="false">
      <c r="A104" s="7" t="s">
        <v>253</v>
      </c>
      <c r="B104" s="8" t="s">
        <v>209</v>
      </c>
      <c r="C104" s="8" t="n">
        <v>2015</v>
      </c>
      <c r="D104" s="9" t="s">
        <v>254</v>
      </c>
      <c r="E104" s="7" t="s">
        <v>35</v>
      </c>
      <c r="F104" s="10" t="n">
        <f aca="false">IF(ISBLANK($G104),,VLOOKUP($G104, Rarities!$A$1:$B869, 2, FALSE()))</f>
        <v>2</v>
      </c>
      <c r="G104" s="8" t="s">
        <v>36</v>
      </c>
      <c r="H104" s="8" t="str">
        <f aca="false">VLOOKUP(B104,Manufacturers!A$1:B869,2)</f>
        <v>DE</v>
      </c>
      <c r="I104" s="11" t="n">
        <v>140000</v>
      </c>
      <c r="J104" s="8" t="n">
        <v>1</v>
      </c>
      <c r="K104" s="8"/>
      <c r="L104" s="12" t="n">
        <v>14</v>
      </c>
      <c r="M104" s="11" t="e">
        <f aca="false">IF(AND(ISNUMBER(L104),L104&gt;0),(3*J104+K104)*#REF!/L104,"-")</f>
        <v>#REF!</v>
      </c>
      <c r="N104" s="11" t="e">
        <f aca="false">IF(AND(#REF!,ISNUMBER(L104),L104&gt;0),((3*J104+K104)*#REF!-I104)/L104,"-")</f>
        <v>#REF!</v>
      </c>
      <c r="O104" s="8"/>
      <c r="P104" s="8"/>
    </row>
    <row r="105" customFormat="false" ht="15.75" hidden="false" customHeight="true" outlineLevel="0" collapsed="false">
      <c r="A105" s="7" t="s">
        <v>255</v>
      </c>
      <c r="B105" s="8" t="s">
        <v>209</v>
      </c>
      <c r="C105" s="8" t="n">
        <v>2016</v>
      </c>
      <c r="D105" s="9" t="s">
        <v>256</v>
      </c>
      <c r="E105" s="7" t="s">
        <v>111</v>
      </c>
      <c r="F105" s="10" t="n">
        <f aca="false">IF(ISBLANK($G105),,VLOOKUP($G105, Rarities!$A$1:$B869, 2, FALSE()))</f>
        <v>3</v>
      </c>
      <c r="G105" s="8" t="s">
        <v>53</v>
      </c>
      <c r="H105" s="8" t="str">
        <f aca="false">VLOOKUP(B105,Manufacturers!A$1:B869,2)</f>
        <v>DE</v>
      </c>
      <c r="I105" s="11" t="n">
        <v>135000</v>
      </c>
      <c r="J105" s="8"/>
      <c r="K105" s="8" t="n">
        <v>1</v>
      </c>
      <c r="L105" s="12" t="n">
        <v>9</v>
      </c>
      <c r="M105" s="11" t="e">
        <f aca="false">IF(AND(ISNUMBER(L105),L105&gt;0),(3*J105+K105)*#REF!/L105,"-")</f>
        <v>#REF!</v>
      </c>
      <c r="N105" s="11" t="e">
        <f aca="false">IF(AND(#REF!,ISNUMBER(L105),L105&gt;0),((3*J105+K105)*#REF!-I105)/L105,"-")</f>
        <v>#REF!</v>
      </c>
      <c r="O105" s="8"/>
      <c r="P105" s="8"/>
    </row>
    <row r="106" customFormat="false" ht="15.75" hidden="false" customHeight="true" outlineLevel="0" collapsed="false">
      <c r="A106" s="7" t="s">
        <v>257</v>
      </c>
      <c r="B106" s="8" t="s">
        <v>209</v>
      </c>
      <c r="C106" s="8" t="n">
        <v>2016</v>
      </c>
      <c r="D106" s="9" t="s">
        <v>258</v>
      </c>
      <c r="E106" s="7" t="s">
        <v>58</v>
      </c>
      <c r="F106" s="10" t="n">
        <f aca="false">IF(ISBLANK($G106),,VLOOKUP($G106, Rarities!$A$1:$B869, 2, FALSE()))</f>
        <v>1</v>
      </c>
      <c r="G106" s="8" t="s">
        <v>17</v>
      </c>
      <c r="H106" s="8" t="str">
        <f aca="false">VLOOKUP(B106,Manufacturers!A$1:B869,2)</f>
        <v>DE</v>
      </c>
      <c r="I106" s="11" t="n">
        <v>69000</v>
      </c>
      <c r="J106" s="8"/>
      <c r="K106" s="8" t="n">
        <v>1</v>
      </c>
      <c r="L106" s="12" t="n">
        <v>9</v>
      </c>
      <c r="M106" s="11" t="e">
        <f aca="false">IF(AND(ISNUMBER(L106),L106&gt;0),(3*J106+K106)*#REF!/L106,"-")</f>
        <v>#REF!</v>
      </c>
      <c r="N106" s="11" t="e">
        <f aca="false">IF(AND(#REF!,ISNUMBER(L106),L106&gt;0),((3*J106+K106)*#REF!-I106)/L106,"-")</f>
        <v>#REF!</v>
      </c>
      <c r="O106" s="8"/>
      <c r="P106" s="8"/>
    </row>
    <row r="107" customFormat="false" ht="15.75" hidden="false" customHeight="true" outlineLevel="0" collapsed="false">
      <c r="A107" s="7" t="s">
        <v>259</v>
      </c>
      <c r="B107" s="8" t="s">
        <v>209</v>
      </c>
      <c r="C107" s="8" t="n">
        <v>2018</v>
      </c>
      <c r="D107" s="9" t="s">
        <v>260</v>
      </c>
      <c r="E107" s="7" t="s">
        <v>86</v>
      </c>
      <c r="F107" s="10" t="n">
        <f aca="false">IF(ISBLANK($G107),,VLOOKUP($G107, Rarities!$A$1:$B869, 2, FALSE()))</f>
        <v>2</v>
      </c>
      <c r="G107" s="8" t="s">
        <v>36</v>
      </c>
      <c r="H107" s="8" t="str">
        <f aca="false">VLOOKUP(B107,Manufacturers!A$1:B869,2)</f>
        <v>DE</v>
      </c>
      <c r="I107" s="11" t="n">
        <v>313000</v>
      </c>
      <c r="J107" s="8"/>
      <c r="K107" s="8"/>
      <c r="L107" s="12"/>
      <c r="M107" s="11"/>
      <c r="N107" s="11"/>
      <c r="O107" s="8"/>
      <c r="P107" s="8"/>
    </row>
    <row r="108" customFormat="false" ht="15.75" hidden="false" customHeight="true" outlineLevel="0" collapsed="false">
      <c r="A108" s="7" t="s">
        <v>261</v>
      </c>
      <c r="B108" s="8" t="s">
        <v>209</v>
      </c>
      <c r="C108" s="8" t="n">
        <v>2018</v>
      </c>
      <c r="D108" s="9" t="s">
        <v>217</v>
      </c>
      <c r="E108" s="7" t="s">
        <v>58</v>
      </c>
      <c r="F108" s="10" t="n">
        <f aca="false">IF(ISBLANK($G108),,VLOOKUP($G108, Rarities!$A$1:$B869, 2, FALSE()))</f>
        <v>2</v>
      </c>
      <c r="G108" s="8" t="s">
        <v>36</v>
      </c>
      <c r="H108" s="8" t="str">
        <f aca="false">VLOOKUP(B108,Manufacturers!A$1:B869,2)</f>
        <v>DE</v>
      </c>
      <c r="I108" s="11" t="n">
        <v>105000</v>
      </c>
      <c r="J108" s="8"/>
      <c r="K108" s="8" t="n">
        <v>1</v>
      </c>
      <c r="L108" s="12" t="n">
        <v>9</v>
      </c>
      <c r="M108" s="11" t="e">
        <f aca="false">IF(AND(ISNUMBER(L108),L108&gt;0),(3*J108+K108)*#REF!/L108,"-")</f>
        <v>#REF!</v>
      </c>
      <c r="N108" s="11" t="e">
        <f aca="false">IF(AND(#REF!,ISNUMBER(L108),L108&gt;0),((3*J108+K108)*#REF!-I108)/L108,"-")</f>
        <v>#REF!</v>
      </c>
      <c r="O108" s="8"/>
      <c r="P108" s="8"/>
    </row>
    <row r="109" customFormat="false" ht="15.75" hidden="false" customHeight="true" outlineLevel="0" collapsed="false">
      <c r="A109" s="7" t="s">
        <v>262</v>
      </c>
      <c r="B109" s="8" t="s">
        <v>209</v>
      </c>
      <c r="C109" s="8" t="n">
        <v>2019</v>
      </c>
      <c r="D109" s="9" t="s">
        <v>263</v>
      </c>
      <c r="E109" s="7" t="s">
        <v>26</v>
      </c>
      <c r="F109" s="10" t="n">
        <f aca="false">IF(ISBLANK($G109),,VLOOKUP($G109, Rarities!$A$1:$B869, 2, FALSE()))</f>
        <v>1</v>
      </c>
      <c r="G109" s="8" t="s">
        <v>17</v>
      </c>
      <c r="H109" s="8" t="str">
        <f aca="false">VLOOKUP(B109,Manufacturers!A$1:B869,2)</f>
        <v>DE</v>
      </c>
      <c r="I109" s="11" t="n">
        <v>35000</v>
      </c>
      <c r="J109" s="8"/>
      <c r="K109" s="8" t="n">
        <v>1</v>
      </c>
      <c r="L109" s="12" t="n">
        <v>14</v>
      </c>
      <c r="M109" s="11" t="e">
        <f aca="false">IF(AND(ISNUMBER(L109),L109&gt;0),(3*J109+K109)*#REF!/L109,"-")</f>
        <v>#REF!</v>
      </c>
      <c r="N109" s="11" t="e">
        <f aca="false">IF(AND(#REF!,ISNUMBER(L109),L109&gt;0),((3*J109+K109)*#REF!-I109)/L109,"-")</f>
        <v>#REF!</v>
      </c>
      <c r="O109" s="8"/>
      <c r="P109" s="8"/>
    </row>
    <row r="110" customFormat="false" ht="15.75" hidden="false" customHeight="true" outlineLevel="0" collapsed="false">
      <c r="A110" s="7" t="s">
        <v>264</v>
      </c>
      <c r="B110" s="8" t="s">
        <v>209</v>
      </c>
      <c r="C110" s="8" t="n">
        <v>2020</v>
      </c>
      <c r="D110" s="9" t="s">
        <v>265</v>
      </c>
      <c r="E110" s="7" t="s">
        <v>52</v>
      </c>
      <c r="F110" s="10" t="n">
        <f aca="false">IF(ISBLANK($G110),,VLOOKUP($G110, Rarities!$A$1:$B869, 2, FALSE()))</f>
        <v>2</v>
      </c>
      <c r="G110" s="8" t="s">
        <v>36</v>
      </c>
      <c r="H110" s="8" t="str">
        <f aca="false">VLOOKUP(B110,Manufacturers!A$1:B869,2)</f>
        <v>DE</v>
      </c>
      <c r="I110" s="11" t="n">
        <v>175000</v>
      </c>
      <c r="J110" s="8"/>
      <c r="K110" s="8"/>
      <c r="L110" s="12"/>
      <c r="M110" s="11"/>
      <c r="N110" s="11"/>
      <c r="O110" s="8"/>
      <c r="P110" s="8"/>
    </row>
    <row r="111" customFormat="false" ht="15.75" hidden="false" customHeight="true" outlineLevel="0" collapsed="false">
      <c r="A111" s="7" t="s">
        <v>266</v>
      </c>
      <c r="B111" s="8" t="s">
        <v>209</v>
      </c>
      <c r="C111" s="8" t="n">
        <v>2021</v>
      </c>
      <c r="D111" s="9" t="s">
        <v>267</v>
      </c>
      <c r="E111" s="7" t="s">
        <v>58</v>
      </c>
      <c r="F111" s="10" t="n">
        <f aca="false">IF(ISBLANK($G111),,VLOOKUP($G111, Rarities!$A$1:$B869, 2, FALSE()))</f>
        <v>3</v>
      </c>
      <c r="G111" s="8" t="s">
        <v>53</v>
      </c>
      <c r="H111" s="8" t="str">
        <f aca="false">VLOOKUP(B111,Manufacturers!A$1:B869,2)</f>
        <v>DE</v>
      </c>
      <c r="I111" s="11" t="n">
        <v>250000</v>
      </c>
      <c r="J111" s="8"/>
      <c r="K111" s="8"/>
      <c r="L111" s="12"/>
      <c r="M111" s="11"/>
      <c r="N111" s="11"/>
      <c r="O111" s="8"/>
      <c r="P111" s="8"/>
    </row>
    <row r="112" customFormat="false" ht="15.75" hidden="false" customHeight="true" outlineLevel="0" collapsed="false">
      <c r="A112" s="7" t="s">
        <v>268</v>
      </c>
      <c r="B112" s="8" t="s">
        <v>209</v>
      </c>
      <c r="C112" s="8" t="n">
        <v>2021</v>
      </c>
      <c r="D112" s="9" t="s">
        <v>269</v>
      </c>
      <c r="E112" s="7" t="s">
        <v>58</v>
      </c>
      <c r="F112" s="10" t="n">
        <f aca="false">IF(ISBLANK($G112),,VLOOKUP($G112, Rarities!$A$1:$B869, 2, FALSE()))</f>
        <v>2</v>
      </c>
      <c r="G112" s="8" t="s">
        <v>36</v>
      </c>
      <c r="H112" s="8" t="str">
        <f aca="false">VLOOKUP(B112,Manufacturers!A$1:B869,2)</f>
        <v>DE</v>
      </c>
      <c r="I112" s="11" t="n">
        <v>250000</v>
      </c>
      <c r="J112" s="8"/>
      <c r="K112" s="8"/>
      <c r="L112" s="12"/>
      <c r="M112" s="11"/>
      <c r="N112" s="11"/>
      <c r="O112" s="8"/>
      <c r="P112" s="8"/>
    </row>
    <row r="113" customFormat="false" ht="15.75" hidden="false" customHeight="true" outlineLevel="0" collapsed="false">
      <c r="A113" s="7" t="s">
        <v>270</v>
      </c>
      <c r="B113" s="8" t="s">
        <v>209</v>
      </c>
      <c r="C113" s="8" t="n">
        <v>2022</v>
      </c>
      <c r="D113" s="9" t="s">
        <v>271</v>
      </c>
      <c r="E113" s="7" t="s">
        <v>58</v>
      </c>
      <c r="F113" s="10" t="n">
        <f aca="false">IF(ISBLANK($G113),,VLOOKUP($G113, Rarities!$A$1:$B869, 2, FALSE()))</f>
        <v>2</v>
      </c>
      <c r="G113" s="8" t="s">
        <v>36</v>
      </c>
      <c r="H113" s="8" t="str">
        <f aca="false">VLOOKUP(B113,Manufacturers!A$1:B869,2)</f>
        <v>DE</v>
      </c>
      <c r="I113" s="11" t="n">
        <v>250000</v>
      </c>
      <c r="J113" s="8"/>
      <c r="K113" s="8"/>
      <c r="L113" s="12"/>
      <c r="M113" s="11"/>
      <c r="N113" s="11"/>
      <c r="O113" s="8"/>
      <c r="P113" s="8"/>
    </row>
    <row r="114" customFormat="false" ht="15.75" hidden="false" customHeight="true" outlineLevel="0" collapsed="false">
      <c r="A114" s="7" t="s">
        <v>272</v>
      </c>
      <c r="B114" s="8" t="s">
        <v>209</v>
      </c>
      <c r="C114" s="8" t="n">
        <v>2022</v>
      </c>
      <c r="D114" s="9" t="s">
        <v>273</v>
      </c>
      <c r="E114" s="7" t="s">
        <v>125</v>
      </c>
      <c r="F114" s="10" t="n">
        <f aca="false">IF(ISBLANK($G114),,VLOOKUP($G114, Rarities!$A$1:$B869, 2, FALSE()))</f>
        <v>2</v>
      </c>
      <c r="G114" s="8" t="s">
        <v>36</v>
      </c>
      <c r="H114" s="8" t="str">
        <f aca="false">VLOOKUP(B114,Manufacturers!A$1:B869,2)</f>
        <v>DE</v>
      </c>
      <c r="I114" s="11" t="n">
        <v>250000</v>
      </c>
      <c r="J114" s="8"/>
      <c r="K114" s="8"/>
      <c r="L114" s="12"/>
      <c r="M114" s="11"/>
      <c r="N114" s="11"/>
      <c r="O114" s="8"/>
      <c r="P114" s="8"/>
    </row>
    <row r="115" customFormat="false" ht="15.75" hidden="false" customHeight="true" outlineLevel="0" collapsed="false">
      <c r="A115" s="7" t="s">
        <v>274</v>
      </c>
      <c r="B115" s="8" t="s">
        <v>209</v>
      </c>
      <c r="C115" s="8" t="n">
        <v>2023</v>
      </c>
      <c r="D115" s="9" t="s">
        <v>275</v>
      </c>
      <c r="E115" s="7" t="s">
        <v>58</v>
      </c>
      <c r="F115" s="10" t="n">
        <f aca="false">IF(ISBLANK($G115),,VLOOKUP($G115, Rarities!$A$1:$B869, 2, FALSE()))</f>
        <v>2</v>
      </c>
      <c r="G115" s="8" t="s">
        <v>36</v>
      </c>
      <c r="H115" s="8" t="str">
        <f aca="false">VLOOKUP(B115,Manufacturers!A$1:B869,2)</f>
        <v>DE</v>
      </c>
      <c r="I115" s="11" t="n">
        <v>250000</v>
      </c>
      <c r="J115" s="8"/>
      <c r="K115" s="8"/>
      <c r="L115" s="12"/>
      <c r="M115" s="11"/>
      <c r="N115" s="11"/>
      <c r="O115" s="8"/>
      <c r="P115" s="8"/>
    </row>
    <row r="116" customFormat="false" ht="15.75" hidden="false" customHeight="true" outlineLevel="0" collapsed="false">
      <c r="A116" s="7" t="s">
        <v>276</v>
      </c>
      <c r="B116" s="8" t="s">
        <v>277</v>
      </c>
      <c r="C116" s="8" t="n">
        <v>2019</v>
      </c>
      <c r="D116" s="9" t="s">
        <v>278</v>
      </c>
      <c r="E116" s="7" t="s">
        <v>86</v>
      </c>
      <c r="F116" s="10" t="n">
        <f aca="false">IF(ISBLANK($G116),,VLOOKUP($G116, Rarities!$A$1:$B869, 2, FALSE()))</f>
        <v>4</v>
      </c>
      <c r="G116" s="8" t="s">
        <v>41</v>
      </c>
      <c r="H116" s="8" t="str">
        <f aca="false">VLOOKUP(B116,Manufacturers!A$1:B869,2)</f>
        <v>GB</v>
      </c>
      <c r="I116" s="11" t="n">
        <v>1500000</v>
      </c>
      <c r="J116" s="8"/>
      <c r="K116" s="8"/>
      <c r="L116" s="12"/>
      <c r="M116" s="11"/>
      <c r="N116" s="11"/>
      <c r="O116" s="8"/>
      <c r="P116" s="8"/>
    </row>
    <row r="117" customFormat="false" ht="15.75" hidden="false" customHeight="true" outlineLevel="0" collapsed="false">
      <c r="A117" s="7" t="s">
        <v>279</v>
      </c>
      <c r="B117" s="8" t="s">
        <v>280</v>
      </c>
      <c r="C117" s="8" t="n">
        <v>1926</v>
      </c>
      <c r="D117" s="9" t="s">
        <v>281</v>
      </c>
      <c r="E117" s="7" t="s">
        <v>188</v>
      </c>
      <c r="F117" s="10" t="n">
        <f aca="false">IF(ISBLANK($G117),,VLOOKUP($G117, Rarities!$A$1:$B869, 2, FALSE()))</f>
        <v>4</v>
      </c>
      <c r="G117" s="8" t="s">
        <v>41</v>
      </c>
      <c r="H117" s="8" t="str">
        <f aca="false">VLOOKUP(B117,Manufacturers!A$1:B869,2)</f>
        <v>FR</v>
      </c>
      <c r="I117" s="11" t="n">
        <v>1300000</v>
      </c>
      <c r="J117" s="8" t="n">
        <v>2</v>
      </c>
      <c r="K117" s="8"/>
      <c r="L117" s="12" t="n">
        <v>25</v>
      </c>
      <c r="M117" s="11" t="e">
        <f aca="false">IF(AND(ISNUMBER(L117),L117&gt;0),(3*J117+K117)*#REF!/L117,"-")</f>
        <v>#REF!</v>
      </c>
      <c r="N117" s="11" t="e">
        <f aca="false">IF(AND(#REF!,ISNUMBER(L117),L117&gt;0),((3*J117+K117)*#REF!-I117)/L117,"-")</f>
        <v>#REF!</v>
      </c>
      <c r="O117" s="8"/>
      <c r="P117" s="8"/>
    </row>
    <row r="118" customFormat="false" ht="15.75" hidden="false" customHeight="true" outlineLevel="0" collapsed="false">
      <c r="A118" s="7" t="s">
        <v>282</v>
      </c>
      <c r="B118" s="8" t="s">
        <v>280</v>
      </c>
      <c r="C118" s="8" t="n">
        <v>1992</v>
      </c>
      <c r="D118" s="9" t="s">
        <v>283</v>
      </c>
      <c r="E118" s="7" t="s">
        <v>215</v>
      </c>
      <c r="F118" s="10" t="n">
        <f aca="false">IF(ISBLANK($G118),,VLOOKUP($G118, Rarities!$A$1:$B869, 2, FALSE()))</f>
        <v>4</v>
      </c>
      <c r="G118" s="8" t="s">
        <v>41</v>
      </c>
      <c r="H118" s="8" t="str">
        <f aca="false">VLOOKUP(B118,Manufacturers!A$1:B869,2)</f>
        <v>FR</v>
      </c>
      <c r="I118" s="11" t="n">
        <v>1700000</v>
      </c>
      <c r="J118" s="8"/>
      <c r="K118" s="8" t="n">
        <v>1</v>
      </c>
      <c r="L118" s="12" t="n">
        <v>9</v>
      </c>
      <c r="M118" s="11" t="e">
        <f aca="false">IF(AND(ISNUMBER(L118),L118&gt;0),(3*J118+K118)*#REF!/L118,"-")</f>
        <v>#REF!</v>
      </c>
      <c r="N118" s="11" t="e">
        <f aca="false">IF(AND(#REF!,ISNUMBER(L118),L118&gt;0),((3*J118+K118)*#REF!-I118)/L118,"-")</f>
        <v>#REF!</v>
      </c>
      <c r="O118" s="8"/>
      <c r="P118" s="8"/>
    </row>
    <row r="119" customFormat="false" ht="15.75" hidden="false" customHeight="true" outlineLevel="0" collapsed="false">
      <c r="A119" s="7" t="s">
        <v>284</v>
      </c>
      <c r="B119" s="8" t="s">
        <v>280</v>
      </c>
      <c r="C119" s="8" t="n">
        <v>2011</v>
      </c>
      <c r="D119" s="9" t="s">
        <v>285</v>
      </c>
      <c r="E119" s="7" t="s">
        <v>118</v>
      </c>
      <c r="F119" s="10" t="n">
        <f aca="false">IF(ISBLANK($G119),,VLOOKUP($G119, Rarities!$A$1:$B869, 2, FALSE()))</f>
        <v>4</v>
      </c>
      <c r="G119" s="8" t="s">
        <v>41</v>
      </c>
      <c r="H119" s="8" t="str">
        <f aca="false">VLOOKUP(B119,Manufacturers!A$1:B869,2)</f>
        <v>FR</v>
      </c>
      <c r="I119" s="11" t="n">
        <v>2200000</v>
      </c>
      <c r="J119" s="8" t="n">
        <v>1</v>
      </c>
      <c r="K119" s="8" t="n">
        <v>1</v>
      </c>
      <c r="L119" s="12" t="n">
        <v>14</v>
      </c>
      <c r="M119" s="11" t="e">
        <f aca="false">IF(AND(ISNUMBER(L119),L119&gt;0),(3*J119+K119)*#REF!/L119,"-")</f>
        <v>#REF!</v>
      </c>
      <c r="N119" s="11" t="e">
        <f aca="false">IF(AND(#REF!,ISNUMBER(L119),L119&gt;0),((3*J119+K119)*#REF!-I119)/L119,"-")</f>
        <v>#REF!</v>
      </c>
      <c r="O119" s="8"/>
      <c r="P119" s="8"/>
    </row>
    <row r="120" customFormat="false" ht="15.75" hidden="false" customHeight="true" outlineLevel="0" collapsed="false">
      <c r="A120" s="7" t="s">
        <v>286</v>
      </c>
      <c r="B120" s="8" t="s">
        <v>280</v>
      </c>
      <c r="C120" s="8" t="n">
        <v>2018</v>
      </c>
      <c r="D120" s="9" t="s">
        <v>287</v>
      </c>
      <c r="E120" s="7" t="s">
        <v>118</v>
      </c>
      <c r="F120" s="10" t="n">
        <f aca="false">IF(ISBLANK($G120),,VLOOKUP($G120, Rarities!$A$1:$B869, 2, FALSE()))</f>
        <v>4</v>
      </c>
      <c r="G120" s="8" t="s">
        <v>41</v>
      </c>
      <c r="H120" s="8" t="str">
        <f aca="false">VLOOKUP(B120,Manufacturers!A$1:B869,2)</f>
        <v>FR</v>
      </c>
      <c r="I120" s="11" t="n">
        <v>2400000</v>
      </c>
      <c r="J120" s="8" t="n">
        <v>1</v>
      </c>
      <c r="K120" s="8" t="n">
        <v>1</v>
      </c>
      <c r="L120" s="12" t="n">
        <v>14</v>
      </c>
      <c r="M120" s="11" t="e">
        <f aca="false">IF(AND(ISNUMBER(L120),L120&gt;0),(3*J120+K120)*#REF!/L120,"-")</f>
        <v>#REF!</v>
      </c>
      <c r="N120" s="11" t="e">
        <f aca="false">IF(AND(#REF!,ISNUMBER(L120),L120&gt;0),((3*J120+K120)*#REF!-I120)/L120,"-")</f>
        <v>#REF!</v>
      </c>
      <c r="O120" s="8"/>
      <c r="P120" s="8"/>
    </row>
    <row r="121" customFormat="false" ht="15.75" hidden="false" customHeight="true" outlineLevel="0" collapsed="false">
      <c r="A121" s="7" t="s">
        <v>288</v>
      </c>
      <c r="B121" s="8" t="s">
        <v>280</v>
      </c>
      <c r="C121" s="8" t="n">
        <v>2019</v>
      </c>
      <c r="D121" s="9" t="s">
        <v>289</v>
      </c>
      <c r="E121" s="7" t="s">
        <v>86</v>
      </c>
      <c r="F121" s="10" t="n">
        <f aca="false">IF(ISBLANK($G121),,VLOOKUP($G121, Rarities!$A$1:$B869, 2, FALSE()))</f>
        <v>4</v>
      </c>
      <c r="G121" s="8" t="s">
        <v>41</v>
      </c>
      <c r="H121" s="8" t="str">
        <f aca="false">VLOOKUP(B121,Manufacturers!A$1:B869,2)</f>
        <v>FR</v>
      </c>
      <c r="I121" s="11" t="n">
        <v>3000000</v>
      </c>
      <c r="J121" s="8" t="n">
        <v>2</v>
      </c>
      <c r="K121" s="8" t="n">
        <v>1</v>
      </c>
      <c r="L121" s="12" t="n">
        <v>24</v>
      </c>
      <c r="M121" s="11" t="e">
        <f aca="false">IF(AND(ISNUMBER(L121),L121&gt;0),(3*J121+K121)*#REF!/L121,"-")</f>
        <v>#REF!</v>
      </c>
      <c r="N121" s="11" t="e">
        <f aca="false">IF(AND(#REF!,ISNUMBER(L121),L121&gt;0),((3*J121+K121)*#REF!-I121)/L121,"-")</f>
        <v>#REF!</v>
      </c>
      <c r="O121" s="8"/>
      <c r="P121" s="8"/>
    </row>
    <row r="122" customFormat="false" ht="15.75" hidden="false" customHeight="true" outlineLevel="0" collapsed="false">
      <c r="A122" s="7" t="s">
        <v>290</v>
      </c>
      <c r="B122" s="8" t="s">
        <v>291</v>
      </c>
      <c r="C122" s="8" t="n">
        <v>1970</v>
      </c>
      <c r="D122" s="9" t="s">
        <v>292</v>
      </c>
      <c r="E122" s="7" t="s">
        <v>76</v>
      </c>
      <c r="F122" s="10" t="n">
        <f aca="false">IF(ISBLANK($G122),,VLOOKUP($G122, Rarities!$A$1:$B869, 2, FALSE()))</f>
        <v>2</v>
      </c>
      <c r="G122" s="8" t="s">
        <v>36</v>
      </c>
      <c r="H122" s="8" t="str">
        <f aca="false">VLOOKUP(B122,Manufacturers!A$1:B869,2)</f>
        <v>US</v>
      </c>
      <c r="I122" s="11" t="n">
        <v>80000</v>
      </c>
      <c r="J122" s="8"/>
      <c r="K122" s="8" t="n">
        <v>1</v>
      </c>
      <c r="L122" s="12" t="n">
        <v>11</v>
      </c>
      <c r="M122" s="11" t="e">
        <f aca="false">IF(AND(ISNUMBER(L122),L122&gt;0),(3*J122+K122)*#REF!/L122,"-")</f>
        <v>#REF!</v>
      </c>
      <c r="N122" s="11" t="e">
        <f aca="false">IF(AND(#REF!,ISNUMBER(L122),L122&gt;0),((3*J122+K122)*#REF!-I122)/L122,"-")</f>
        <v>#REF!</v>
      </c>
      <c r="O122" s="8"/>
      <c r="P122" s="8"/>
    </row>
    <row r="123" customFormat="false" ht="15.75" hidden="false" customHeight="true" outlineLevel="0" collapsed="false">
      <c r="A123" s="7" t="s">
        <v>293</v>
      </c>
      <c r="B123" s="8" t="s">
        <v>291</v>
      </c>
      <c r="C123" s="8" t="n">
        <v>1987</v>
      </c>
      <c r="D123" s="9" t="s">
        <v>294</v>
      </c>
      <c r="E123" s="7" t="s">
        <v>295</v>
      </c>
      <c r="F123" s="10" t="n">
        <f aca="false">IF(ISBLANK($G123),,VLOOKUP($G123, Rarities!$A$1:$B869, 2, FALSE()))</f>
        <v>2</v>
      </c>
      <c r="G123" s="8" t="s">
        <v>36</v>
      </c>
      <c r="H123" s="8" t="str">
        <f aca="false">VLOOKUP(B123,Manufacturers!A$1:B869,2)</f>
        <v>US</v>
      </c>
      <c r="I123" s="11" t="n">
        <v>130000</v>
      </c>
      <c r="J123" s="8"/>
      <c r="K123" s="8" t="n">
        <v>2</v>
      </c>
      <c r="L123" s="12" t="n">
        <v>30</v>
      </c>
      <c r="M123" s="11" t="e">
        <f aca="false">IF(AND(ISNUMBER(L123),L123&gt;0),(3*J123+K123)*#REF!/L123,"-")</f>
        <v>#REF!</v>
      </c>
      <c r="N123" s="11" t="e">
        <f aca="false">IF(AND(#REF!,ISNUMBER(L123),L123&gt;0),((3*J123+K123)*#REF!-I123)/L123,"-")</f>
        <v>#REF!</v>
      </c>
      <c r="O123" s="8"/>
      <c r="P123" s="8"/>
    </row>
    <row r="124" customFormat="false" ht="15.75" hidden="false" customHeight="true" outlineLevel="0" collapsed="false">
      <c r="A124" s="7" t="s">
        <v>296</v>
      </c>
      <c r="B124" s="8" t="s">
        <v>297</v>
      </c>
      <c r="C124" s="8" t="n">
        <v>2013</v>
      </c>
      <c r="D124" s="9" t="s">
        <v>298</v>
      </c>
      <c r="E124" s="7" t="s">
        <v>58</v>
      </c>
      <c r="F124" s="10" t="n">
        <f aca="false">IF(ISBLANK($G124),,VLOOKUP($G124, Rarities!$A$1:$B869, 2, FALSE()))</f>
        <v>2</v>
      </c>
      <c r="G124" s="8" t="s">
        <v>36</v>
      </c>
      <c r="H124" s="8" t="str">
        <f aca="false">VLOOKUP(B124,Manufacturers!A$1:B869,2)</f>
        <v>US</v>
      </c>
      <c r="I124" s="11" t="n">
        <v>250000</v>
      </c>
      <c r="J124" s="8"/>
      <c r="K124" s="8"/>
      <c r="L124" s="12"/>
      <c r="M124" s="11"/>
      <c r="N124" s="11"/>
      <c r="O124" s="8"/>
      <c r="P124" s="8"/>
    </row>
    <row r="125" customFormat="false" ht="15.75" hidden="false" customHeight="true" outlineLevel="0" collapsed="false">
      <c r="A125" s="7" t="s">
        <v>299</v>
      </c>
      <c r="B125" s="8" t="s">
        <v>297</v>
      </c>
      <c r="C125" s="8" t="n">
        <v>2015</v>
      </c>
      <c r="D125" s="9" t="s">
        <v>300</v>
      </c>
      <c r="E125" s="7" t="s">
        <v>86</v>
      </c>
      <c r="F125" s="10" t="n">
        <f aca="false">IF(ISBLANK($G125),,VLOOKUP($G125, Rarities!$A$1:$B869, 2, FALSE()))</f>
        <v>2</v>
      </c>
      <c r="G125" s="8" t="s">
        <v>36</v>
      </c>
      <c r="H125" s="8" t="str">
        <f aca="false">VLOOKUP(B125,Manufacturers!A$1:B869,2)</f>
        <v>US</v>
      </c>
      <c r="I125" s="11" t="n">
        <v>308000</v>
      </c>
      <c r="J125" s="8"/>
      <c r="K125" s="8"/>
      <c r="L125" s="12"/>
      <c r="M125" s="11"/>
      <c r="N125" s="11"/>
      <c r="O125" s="8"/>
      <c r="P125" s="8"/>
    </row>
    <row r="126" customFormat="false" ht="15.75" hidden="false" customHeight="true" outlineLevel="0" collapsed="false">
      <c r="A126" s="7" t="s">
        <v>301</v>
      </c>
      <c r="B126" s="8" t="s">
        <v>297</v>
      </c>
      <c r="C126" s="8" t="n">
        <v>2016</v>
      </c>
      <c r="D126" s="9" t="s">
        <v>302</v>
      </c>
      <c r="E126" s="7" t="s">
        <v>303</v>
      </c>
      <c r="F126" s="10" t="n">
        <f aca="false">IF(ISBLANK($G126),,VLOOKUP($G126, Rarities!$A$1:$B869, 2, FALSE()))</f>
        <v>1</v>
      </c>
      <c r="G126" s="8" t="s">
        <v>17</v>
      </c>
      <c r="H126" s="8" t="str">
        <f aca="false">VLOOKUP(B126,Manufacturers!A$1:B869,2)</f>
        <v>US</v>
      </c>
      <c r="I126" s="11" t="n">
        <v>65000</v>
      </c>
      <c r="J126" s="8"/>
      <c r="K126" s="8" t="n">
        <v>1</v>
      </c>
      <c r="L126" s="12" t="n">
        <v>9</v>
      </c>
      <c r="M126" s="11" t="e">
        <f aca="false">IF(AND(ISNUMBER(L126),L126&gt;0),(3*J126+K126)*#REF!/L126,"-")</f>
        <v>#REF!</v>
      </c>
      <c r="N126" s="11" t="e">
        <f aca="false">IF(AND(#REF!,ISNUMBER(L126),L126&gt;0),((3*J126+K126)*#REF!-I126)/L126,"-")</f>
        <v>#REF!</v>
      </c>
      <c r="O126" s="8"/>
      <c r="P126" s="8"/>
    </row>
    <row r="127" customFormat="false" ht="15.75" hidden="false" customHeight="true" outlineLevel="0" collapsed="false">
      <c r="A127" s="7" t="s">
        <v>304</v>
      </c>
      <c r="B127" s="8" t="s">
        <v>297</v>
      </c>
      <c r="C127" s="8" t="n">
        <v>2016</v>
      </c>
      <c r="D127" s="9" t="s">
        <v>305</v>
      </c>
      <c r="E127" s="7" t="s">
        <v>303</v>
      </c>
      <c r="F127" s="10" t="n">
        <f aca="false">IF(ISBLANK($G127),,VLOOKUP($G127, Rarities!$A$1:$B869, 2, FALSE()))</f>
        <v>1</v>
      </c>
      <c r="G127" s="8" t="s">
        <v>17</v>
      </c>
      <c r="H127" s="8" t="str">
        <f aca="false">VLOOKUP(B127,Manufacturers!A$1:B869,2)</f>
        <v>US</v>
      </c>
      <c r="I127" s="11" t="n">
        <v>80000</v>
      </c>
      <c r="J127" s="8"/>
      <c r="K127" s="8" t="n">
        <v>1</v>
      </c>
      <c r="L127" s="12" t="n">
        <v>9</v>
      </c>
      <c r="M127" s="11" t="e">
        <f aca="false">IF(AND(ISNUMBER(L127),L127&gt;0),(3*J127+K127)*#REF!/L127,"-")</f>
        <v>#REF!</v>
      </c>
      <c r="N127" s="11" t="e">
        <f aca="false">IF(AND(#REF!,ISNUMBER(L127),L127&gt;0),((3*J127+K127)*#REF!-I127)/L127,"-")</f>
        <v>#REF!</v>
      </c>
      <c r="O127" s="8"/>
      <c r="P127" s="8"/>
    </row>
    <row r="128" customFormat="false" ht="15.75" hidden="false" customHeight="true" outlineLevel="0" collapsed="false">
      <c r="A128" s="7" t="s">
        <v>306</v>
      </c>
      <c r="B128" s="8" t="s">
        <v>297</v>
      </c>
      <c r="C128" s="8" t="n">
        <v>2022</v>
      </c>
      <c r="D128" s="9" t="s">
        <v>307</v>
      </c>
      <c r="E128" s="7" t="s">
        <v>303</v>
      </c>
      <c r="F128" s="10" t="n">
        <f aca="false">IF(ISBLANK($G128),,VLOOKUP($G128, Rarities!$A$1:$B869, 2, FALSE()))</f>
        <v>2</v>
      </c>
      <c r="G128" s="8" t="s">
        <v>36</v>
      </c>
      <c r="H128" s="8" t="str">
        <f aca="false">VLOOKUP(B128,Manufacturers!A$1:B869,2)</f>
        <v>US</v>
      </c>
      <c r="I128" s="11" t="n">
        <v>250000</v>
      </c>
      <c r="J128" s="8"/>
      <c r="K128" s="8"/>
      <c r="L128" s="12"/>
      <c r="M128" s="11"/>
      <c r="N128" s="11"/>
      <c r="O128" s="8"/>
      <c r="P128" s="8"/>
    </row>
    <row r="129" customFormat="false" ht="15.75" hidden="false" customHeight="true" outlineLevel="0" collapsed="false">
      <c r="A129" s="7" t="s">
        <v>308</v>
      </c>
      <c r="B129" s="8" t="s">
        <v>297</v>
      </c>
      <c r="C129" s="8" t="n">
        <v>2022</v>
      </c>
      <c r="D129" s="9" t="s">
        <v>309</v>
      </c>
      <c r="E129" s="7" t="s">
        <v>303</v>
      </c>
      <c r="F129" s="10" t="n">
        <f aca="false">IF(ISBLANK($G129),,VLOOKUP($G129, Rarities!$A$1:$B869, 2, FALSE()))</f>
        <v>2</v>
      </c>
      <c r="G129" s="8" t="s">
        <v>36</v>
      </c>
      <c r="H129" s="8" t="str">
        <f aca="false">VLOOKUP(B129,Manufacturers!A$1:B869,2)</f>
        <v>US</v>
      </c>
      <c r="I129" s="11" t="n">
        <v>250000</v>
      </c>
      <c r="J129" s="8"/>
      <c r="K129" s="8"/>
      <c r="L129" s="12"/>
      <c r="M129" s="11"/>
      <c r="N129" s="11"/>
      <c r="O129" s="8"/>
      <c r="P129" s="8"/>
    </row>
    <row r="130" customFormat="false" ht="15.75" hidden="false" customHeight="true" outlineLevel="0" collapsed="false">
      <c r="A130" s="7" t="s">
        <v>310</v>
      </c>
      <c r="B130" s="8" t="s">
        <v>311</v>
      </c>
      <c r="C130" s="8" t="n">
        <v>2018</v>
      </c>
      <c r="D130" s="9" t="s">
        <v>312</v>
      </c>
      <c r="E130" s="7" t="s">
        <v>313</v>
      </c>
      <c r="F130" s="10" t="n">
        <f aca="false">IF(ISBLANK($G130),,VLOOKUP($G130, Rarities!$A$1:$B869, 2, FALSE()))</f>
        <v>1</v>
      </c>
      <c r="G130" s="8" t="s">
        <v>17</v>
      </c>
      <c r="H130" s="8" t="str">
        <f aca="false">VLOOKUP(B130,Manufacturers!A$1:B869,2)</f>
        <v>CA</v>
      </c>
      <c r="I130" s="11" t="n">
        <v>25000</v>
      </c>
      <c r="J130" s="8"/>
      <c r="K130" s="8" t="n">
        <v>1</v>
      </c>
      <c r="L130" s="12" t="n">
        <v>14</v>
      </c>
      <c r="M130" s="11" t="e">
        <f aca="false">IF(AND(ISNUMBER(L130),L130&gt;0),(3*J130+K130)*#REF!/L130,"-")</f>
        <v>#REF!</v>
      </c>
      <c r="N130" s="11" t="e">
        <f aca="false">IF(AND(#REF!,ISNUMBER(L130),L130&gt;0),((3*J130+K130)*#REF!-I130)/L130,"-")</f>
        <v>#REF!</v>
      </c>
      <c r="O130" s="8"/>
      <c r="P130" s="8"/>
    </row>
    <row r="131" customFormat="false" ht="15.75" hidden="false" customHeight="true" outlineLevel="0" collapsed="false">
      <c r="A131" s="7" t="s">
        <v>314</v>
      </c>
      <c r="B131" s="8" t="s">
        <v>315</v>
      </c>
      <c r="C131" s="8" t="n">
        <v>2019</v>
      </c>
      <c r="D131" s="9" t="s">
        <v>316</v>
      </c>
      <c r="E131" s="7" t="s">
        <v>72</v>
      </c>
      <c r="F131" s="10" t="n">
        <f aca="false">IF(ISBLANK($G131),,VLOOKUP($G131, Rarities!$A$1:$B869, 2, FALSE()))</f>
        <v>3</v>
      </c>
      <c r="G131" s="8" t="s">
        <v>53</v>
      </c>
      <c r="H131" s="8" t="str">
        <f aca="false">VLOOKUP(B131,Manufacturers!A$1:B869,2)</f>
        <v>US</v>
      </c>
      <c r="I131" s="11" t="n">
        <v>500000</v>
      </c>
      <c r="J131" s="8"/>
      <c r="K131" s="8"/>
      <c r="L131" s="12"/>
      <c r="M131" s="11"/>
      <c r="N131" s="11"/>
      <c r="O131" s="8"/>
      <c r="P131" s="8"/>
    </row>
    <row r="132" customFormat="false" ht="15.75" hidden="false" customHeight="true" outlineLevel="0" collapsed="false">
      <c r="A132" s="7" t="s">
        <v>317</v>
      </c>
      <c r="B132" s="8" t="s">
        <v>318</v>
      </c>
      <c r="C132" s="8" t="n">
        <v>2013</v>
      </c>
      <c r="D132" s="9" t="s">
        <v>319</v>
      </c>
      <c r="E132" s="7" t="s">
        <v>111</v>
      </c>
      <c r="F132" s="10" t="n">
        <f aca="false">IF(ISBLANK($G132),,VLOOKUP($G132, Rarities!$A$1:$B869, 2, FALSE()))</f>
        <v>2</v>
      </c>
      <c r="G132" s="8" t="s">
        <v>36</v>
      </c>
      <c r="H132" s="8" t="str">
        <f aca="false">VLOOKUP(B132,Manufacturers!A$1:B869,2)</f>
        <v>GB</v>
      </c>
      <c r="I132" s="11" t="n">
        <v>82000</v>
      </c>
      <c r="J132" s="8"/>
      <c r="K132" s="8" t="n">
        <v>1</v>
      </c>
      <c r="L132" s="12" t="n">
        <v>9</v>
      </c>
      <c r="M132" s="11" t="e">
        <f aca="false">IF(AND(ISNUMBER(L132),L132&gt;0),(3*J132+K132)*#REF!/L132,"-")</f>
        <v>#REF!</v>
      </c>
      <c r="N132" s="11" t="e">
        <f aca="false">IF(AND(#REF!,ISNUMBER(L132),L132&gt;0),((3*J132+K132)*#REF!-I132)/L132,"-")</f>
        <v>#REF!</v>
      </c>
      <c r="O132" s="8"/>
      <c r="P132" s="8"/>
    </row>
    <row r="133" customFormat="false" ht="15.75" hidden="false" customHeight="true" outlineLevel="0" collapsed="false">
      <c r="A133" s="7" t="s">
        <v>320</v>
      </c>
      <c r="B133" s="8" t="s">
        <v>321</v>
      </c>
      <c r="C133" s="8" t="n">
        <v>1953</v>
      </c>
      <c r="D133" s="9" t="s">
        <v>322</v>
      </c>
      <c r="E133" s="7" t="s">
        <v>40</v>
      </c>
      <c r="F133" s="10" t="n">
        <f aca="false">IF(ISBLANK($G133),,VLOOKUP($G133, Rarities!$A$1:$B869, 2, FALSE()))</f>
        <v>5</v>
      </c>
      <c r="G133" s="8" t="s">
        <v>239</v>
      </c>
      <c r="H133" s="8" t="str">
        <f aca="false">VLOOKUP(B133,Manufacturers!A$1:B869,2)</f>
        <v>US</v>
      </c>
      <c r="I133" s="11" t="n">
        <v>500000</v>
      </c>
      <c r="J133" s="8" t="n">
        <v>1</v>
      </c>
      <c r="K133" s="8"/>
      <c r="L133" s="12" t="n">
        <v>10</v>
      </c>
      <c r="M133" s="11" t="e">
        <f aca="false">IF(AND(ISNUMBER(L133),L133&gt;0),(3*J133+K133)*#REF!/L133,"-")</f>
        <v>#REF!</v>
      </c>
      <c r="N133" s="11" t="e">
        <f aca="false">IF(AND(#REF!,ISNUMBER(L133),L133&gt;0),((3*J133+K133)*#REF!-I133)/L133,"-")</f>
        <v>#REF!</v>
      </c>
      <c r="O133" s="8"/>
      <c r="P133" s="8"/>
    </row>
    <row r="134" customFormat="false" ht="15.75" hidden="false" customHeight="true" outlineLevel="0" collapsed="false">
      <c r="A134" s="7" t="s">
        <v>323</v>
      </c>
      <c r="B134" s="8" t="s">
        <v>321</v>
      </c>
      <c r="C134" s="8" t="n">
        <v>1953</v>
      </c>
      <c r="D134" s="9" t="s">
        <v>324</v>
      </c>
      <c r="E134" s="7" t="s">
        <v>184</v>
      </c>
      <c r="F134" s="10" t="n">
        <f aca="false">IF(ISBLANK($G134),,VLOOKUP($G134, Rarities!$A$1:$B869, 2, FALSE()))</f>
        <v>4</v>
      </c>
      <c r="G134" s="8" t="s">
        <v>41</v>
      </c>
      <c r="H134" s="8" t="str">
        <f aca="false">VLOOKUP(B134,Manufacturers!A$1:B869,2)</f>
        <v>US</v>
      </c>
      <c r="I134" s="11" t="n">
        <v>210000</v>
      </c>
      <c r="J134" s="8"/>
      <c r="K134" s="8" t="n">
        <v>2</v>
      </c>
      <c r="L134" s="12" t="n">
        <v>11</v>
      </c>
      <c r="M134" s="11" t="e">
        <f aca="false">IF(AND(ISNUMBER(L134),L134&gt;0),(3*J134+K134)*#REF!/L134,"-")</f>
        <v>#REF!</v>
      </c>
      <c r="N134" s="11" t="e">
        <f aca="false">IF(AND(#REF!,ISNUMBER(L134),L134&gt;0),((3*J134+K134)*#REF!-I134)/L134,"-")</f>
        <v>#REF!</v>
      </c>
      <c r="O134" s="8"/>
      <c r="P134" s="8"/>
    </row>
    <row r="135" customFormat="false" ht="15.75" hidden="false" customHeight="true" outlineLevel="0" collapsed="false">
      <c r="A135" s="7" t="s">
        <v>325</v>
      </c>
      <c r="B135" s="8" t="s">
        <v>321</v>
      </c>
      <c r="C135" s="8" t="n">
        <v>1955</v>
      </c>
      <c r="D135" s="9" t="s">
        <v>326</v>
      </c>
      <c r="E135" s="7" t="s">
        <v>327</v>
      </c>
      <c r="F135" s="10" t="n">
        <f aca="false">IF(ISBLANK($G135),,VLOOKUP($G135, Rarities!$A$1:$B869, 2, FALSE()))</f>
        <v>1</v>
      </c>
      <c r="G135" s="8" t="s">
        <v>17</v>
      </c>
      <c r="H135" s="8" t="str">
        <f aca="false">VLOOKUP(B135,Manufacturers!A$1:B869,2)</f>
        <v>US</v>
      </c>
      <c r="I135" s="11" t="n">
        <v>35000</v>
      </c>
      <c r="J135" s="8"/>
      <c r="K135" s="8" t="n">
        <v>1</v>
      </c>
      <c r="L135" s="12" t="n">
        <v>31</v>
      </c>
      <c r="M135" s="11" t="e">
        <f aca="false">IF(AND(ISNUMBER(L135),L135&gt;0),(3*J135+K135)*#REF!/L135,"-")</f>
        <v>#REF!</v>
      </c>
      <c r="N135" s="11" t="e">
        <f aca="false">IF(AND(#REF!,ISNUMBER(L135),L135&gt;0),((3*J135+K135)*#REF!-I135)/L135,"-")</f>
        <v>#REF!</v>
      </c>
      <c r="O135" s="8"/>
      <c r="P135" s="8"/>
    </row>
    <row r="136" customFormat="false" ht="15.75" hidden="false" customHeight="true" outlineLevel="0" collapsed="false">
      <c r="A136" s="7" t="s">
        <v>328</v>
      </c>
      <c r="B136" s="8" t="s">
        <v>321</v>
      </c>
      <c r="C136" s="8" t="n">
        <v>1956</v>
      </c>
      <c r="D136" s="9" t="str">
        <f aca="false">"'Barbie Movie' Corvette EV"</f>
        <v>'Barbie Movie' Corvette EV</v>
      </c>
      <c r="E136" s="7" t="s">
        <v>327</v>
      </c>
      <c r="F136" s="10" t="n">
        <f aca="false">IF(ISBLANK($G136),,VLOOKUP($G136, Rarities!$A$1:$B869, 2, FALSE()))</f>
        <v>3</v>
      </c>
      <c r="G136" s="8" t="s">
        <v>53</v>
      </c>
      <c r="H136" s="8" t="str">
        <f aca="false">VLOOKUP(B136,Manufacturers!A$1:B869,2)</f>
        <v>US</v>
      </c>
      <c r="I136" s="11" t="n">
        <v>500000</v>
      </c>
      <c r="J136" s="8"/>
      <c r="K136" s="8"/>
      <c r="L136" s="12"/>
      <c r="M136" s="11"/>
      <c r="N136" s="11"/>
      <c r="O136" s="8"/>
      <c r="P136" s="8"/>
    </row>
    <row r="137" customFormat="false" ht="15.75" hidden="false" customHeight="true" outlineLevel="0" collapsed="false">
      <c r="A137" s="7" t="s">
        <v>329</v>
      </c>
      <c r="B137" s="8" t="s">
        <v>321</v>
      </c>
      <c r="C137" s="8" t="n">
        <v>1957</v>
      </c>
      <c r="D137" s="9" t="s">
        <v>330</v>
      </c>
      <c r="E137" s="7" t="s">
        <v>327</v>
      </c>
      <c r="F137" s="10" t="n">
        <f aca="false">IF(ISBLANK($G137),,VLOOKUP($G137, Rarities!$A$1:$B869, 2, FALSE()))</f>
        <v>2</v>
      </c>
      <c r="G137" s="8" t="s">
        <v>36</v>
      </c>
      <c r="H137" s="8" t="str">
        <f aca="false">VLOOKUP(B137,Manufacturers!A$1:B869,2)</f>
        <v>US</v>
      </c>
      <c r="I137" s="11" t="n">
        <v>130000</v>
      </c>
      <c r="J137" s="8"/>
      <c r="K137" s="8" t="n">
        <v>1</v>
      </c>
      <c r="L137" s="12" t="n">
        <v>11</v>
      </c>
      <c r="M137" s="11" t="e">
        <f aca="false">IF(AND(ISNUMBER(L137),L137&gt;0),(3*J137+K137)*#REF!/L137,"-")</f>
        <v>#REF!</v>
      </c>
      <c r="N137" s="11" t="e">
        <f aca="false">IF(AND(#REF!,ISNUMBER(L137),L137&gt;0),((3*J137+K137)*#REF!-I137)/L137,"-")</f>
        <v>#REF!</v>
      </c>
      <c r="O137" s="8"/>
      <c r="P137" s="8"/>
    </row>
    <row r="138" customFormat="false" ht="15.75" hidden="false" customHeight="true" outlineLevel="0" collapsed="false">
      <c r="A138" s="7" t="s">
        <v>331</v>
      </c>
      <c r="B138" s="8" t="s">
        <v>321</v>
      </c>
      <c r="C138" s="8" t="n">
        <v>1960</v>
      </c>
      <c r="D138" s="9" t="s">
        <v>324</v>
      </c>
      <c r="E138" s="7" t="s">
        <v>184</v>
      </c>
      <c r="F138" s="10" t="n">
        <f aca="false">IF(ISBLANK($G138),,VLOOKUP($G138, Rarities!$A$1:$B869, 2, FALSE()))</f>
        <v>3</v>
      </c>
      <c r="G138" s="8" t="s">
        <v>53</v>
      </c>
      <c r="H138" s="8" t="str">
        <f aca="false">VLOOKUP(B138,Manufacturers!A$1:B869,2)</f>
        <v>US</v>
      </c>
      <c r="I138" s="11" t="n">
        <v>210000</v>
      </c>
      <c r="J138" s="8"/>
      <c r="K138" s="8" t="n">
        <v>2</v>
      </c>
      <c r="L138" s="12" t="n">
        <v>11</v>
      </c>
      <c r="M138" s="11" t="e">
        <f aca="false">IF(AND(ISNUMBER(L138),L138&gt;0),(3*J138+K138)*#REF!/L138,"-")</f>
        <v>#REF!</v>
      </c>
      <c r="N138" s="11" t="e">
        <f aca="false">IF(AND(#REF!,ISNUMBER(L138),L138&gt;0),((3*J138+K138)*#REF!-I138)/L138,"-")</f>
        <v>#REF!</v>
      </c>
      <c r="O138" s="8"/>
      <c r="P138" s="8"/>
    </row>
    <row r="139" customFormat="false" ht="15.75" hidden="false" customHeight="true" outlineLevel="0" collapsed="false">
      <c r="A139" s="7" t="s">
        <v>332</v>
      </c>
      <c r="B139" s="8" t="s">
        <v>321</v>
      </c>
      <c r="C139" s="8" t="n">
        <v>1964</v>
      </c>
      <c r="D139" s="9" t="s">
        <v>333</v>
      </c>
      <c r="E139" s="7" t="s">
        <v>327</v>
      </c>
      <c r="F139" s="10" t="n">
        <f aca="false">IF(ISBLANK($G139),,VLOOKUP($G139, Rarities!$A$1:$B869, 2, FALSE()))</f>
        <v>1</v>
      </c>
      <c r="G139" s="8" t="s">
        <v>17</v>
      </c>
      <c r="H139" s="8" t="str">
        <f aca="false">VLOOKUP(B139,Manufacturers!A$1:B869,2)</f>
        <v>US</v>
      </c>
      <c r="I139" s="11" t="n">
        <v>46000</v>
      </c>
      <c r="J139" s="8"/>
      <c r="K139" s="8" t="n">
        <v>1</v>
      </c>
      <c r="L139" s="12" t="n">
        <v>9</v>
      </c>
      <c r="M139" s="11" t="e">
        <f aca="false">IF(AND(ISNUMBER(L139),L139&gt;0),(3*J139+K139)*#REF!/L139,"-")</f>
        <v>#REF!</v>
      </c>
      <c r="N139" s="11" t="e">
        <f aca="false">IF(AND(#REF!,ISNUMBER(L139),L139&gt;0),((3*J139+K139)*#REF!-I139)/L139,"-")</f>
        <v>#REF!</v>
      </c>
      <c r="O139" s="8"/>
      <c r="P139" s="8"/>
    </row>
    <row r="140" customFormat="false" ht="15.75" hidden="false" customHeight="true" outlineLevel="0" collapsed="false">
      <c r="A140" s="7" t="s">
        <v>334</v>
      </c>
      <c r="B140" s="8" t="s">
        <v>321</v>
      </c>
      <c r="C140" s="8" t="n">
        <v>1966</v>
      </c>
      <c r="D140" s="9" t="s">
        <v>335</v>
      </c>
      <c r="E140" s="7" t="s">
        <v>76</v>
      </c>
      <c r="F140" s="10" t="n">
        <f aca="false">IF(ISBLANK($G140),,VLOOKUP($G140, Rarities!$A$1:$B869, 2, FALSE()))</f>
        <v>1</v>
      </c>
      <c r="G140" s="8" t="s">
        <v>17</v>
      </c>
      <c r="H140" s="8" t="str">
        <f aca="false">VLOOKUP(B140,Manufacturers!A$1:B869,2)</f>
        <v>US</v>
      </c>
      <c r="I140" s="11" t="n">
        <v>250000</v>
      </c>
      <c r="J140" s="8"/>
      <c r="K140" s="8"/>
      <c r="L140" s="12"/>
      <c r="M140" s="11"/>
      <c r="N140" s="11"/>
      <c r="O140" s="8"/>
      <c r="P140" s="8"/>
    </row>
    <row r="141" customFormat="false" ht="15.75" hidden="false" customHeight="true" outlineLevel="0" collapsed="false">
      <c r="A141" s="7" t="s">
        <v>336</v>
      </c>
      <c r="B141" s="8" t="s">
        <v>321</v>
      </c>
      <c r="C141" s="8" t="n">
        <v>1967</v>
      </c>
      <c r="D141" s="9" t="s">
        <v>337</v>
      </c>
      <c r="E141" s="7" t="s">
        <v>76</v>
      </c>
      <c r="F141" s="10" t="n">
        <f aca="false">IF(ISBLANK($G141),,VLOOKUP($G141, Rarities!$A$1:$B869, 2, FALSE()))</f>
        <v>3</v>
      </c>
      <c r="G141" s="8" t="s">
        <v>53</v>
      </c>
      <c r="H141" s="8" t="str">
        <f aca="false">VLOOKUP(B141,Manufacturers!A$1:B869,2)</f>
        <v>US</v>
      </c>
      <c r="I141" s="11" t="n">
        <v>150000</v>
      </c>
      <c r="J141" s="8"/>
      <c r="K141" s="8" t="n">
        <v>2</v>
      </c>
      <c r="L141" s="12" t="n">
        <v>14</v>
      </c>
      <c r="M141" s="11" t="e">
        <f aca="false">IF(AND(ISNUMBER(L141),L141&gt;0),(3*J141+K141)*#REF!/L141,"-")</f>
        <v>#REF!</v>
      </c>
      <c r="N141" s="11" t="e">
        <f aca="false">IF(AND(#REF!,ISNUMBER(L141),L141&gt;0),((3*J141+K141)*#REF!-I141)/L141,"-")</f>
        <v>#REF!</v>
      </c>
      <c r="O141" s="8"/>
      <c r="P141" s="8"/>
    </row>
    <row r="142" customFormat="false" ht="15.75" hidden="false" customHeight="true" outlineLevel="0" collapsed="false">
      <c r="A142" s="7" t="s">
        <v>338</v>
      </c>
      <c r="B142" s="8" t="s">
        <v>321</v>
      </c>
      <c r="C142" s="8" t="n">
        <v>1969</v>
      </c>
      <c r="D142" s="9" t="s">
        <v>339</v>
      </c>
      <c r="E142" s="7" t="s">
        <v>76</v>
      </c>
      <c r="F142" s="10" t="n">
        <f aca="false">IF(ISBLANK($G142),,VLOOKUP($G142, Rarities!$A$1:$B869, 2, FALSE()))</f>
        <v>2</v>
      </c>
      <c r="G142" s="8" t="s">
        <v>36</v>
      </c>
      <c r="H142" s="8" t="str">
        <f aca="false">VLOOKUP(B142,Manufacturers!A$1:B869,2)</f>
        <v>US</v>
      </c>
      <c r="I142" s="11" t="n">
        <v>110000</v>
      </c>
      <c r="J142" s="8"/>
      <c r="K142" s="8" t="n">
        <v>2</v>
      </c>
      <c r="L142" s="12" t="n">
        <v>14</v>
      </c>
      <c r="M142" s="11" t="e">
        <f aca="false">IF(AND(ISNUMBER(L142),L142&gt;0),(3*J142+K142)*#REF!/L142,"-")</f>
        <v>#REF!</v>
      </c>
      <c r="N142" s="11" t="e">
        <f aca="false">IF(AND(#REF!,ISNUMBER(L142),L142&gt;0),((3*J142+K142)*#REF!-I142)/L142,"-")</f>
        <v>#REF!</v>
      </c>
      <c r="O142" s="8"/>
      <c r="P142" s="8"/>
    </row>
    <row r="143" customFormat="false" ht="15.75" hidden="false" customHeight="true" outlineLevel="0" collapsed="false">
      <c r="A143" s="7" t="s">
        <v>340</v>
      </c>
      <c r="B143" s="8" t="s">
        <v>321</v>
      </c>
      <c r="C143" s="8" t="n">
        <v>1969</v>
      </c>
      <c r="D143" s="9" t="s">
        <v>341</v>
      </c>
      <c r="E143" s="7" t="s">
        <v>76</v>
      </c>
      <c r="F143" s="10" t="n">
        <f aca="false">IF(ISBLANK($G143),,VLOOKUP($G143, Rarities!$A$1:$B869, 2, FALSE()))</f>
        <v>1</v>
      </c>
      <c r="G143" s="8" t="s">
        <v>17</v>
      </c>
      <c r="H143" s="8" t="str">
        <f aca="false">VLOOKUP(B143,Manufacturers!A$1:B869,2)</f>
        <v>US</v>
      </c>
      <c r="I143" s="11" t="n">
        <v>47000</v>
      </c>
      <c r="J143" s="8"/>
      <c r="K143" s="8" t="n">
        <v>1</v>
      </c>
      <c r="L143" s="12" t="n">
        <v>9</v>
      </c>
      <c r="M143" s="11" t="e">
        <f aca="false">IF(AND(ISNUMBER(L143),L143&gt;0),(3*J143+K143)*#REF!/L143,"-")</f>
        <v>#REF!</v>
      </c>
      <c r="N143" s="11" t="e">
        <f aca="false">IF(AND(#REF!,ISNUMBER(L143),L143&gt;0),((3*J143+K143)*#REF!-I143)/L143,"-")</f>
        <v>#REF!</v>
      </c>
      <c r="O143" s="8"/>
      <c r="P143" s="8"/>
    </row>
    <row r="144" customFormat="false" ht="15.75" hidden="false" customHeight="true" outlineLevel="0" collapsed="false">
      <c r="A144" s="7" t="s">
        <v>342</v>
      </c>
      <c r="B144" s="8" t="s">
        <v>321</v>
      </c>
      <c r="C144" s="8" t="n">
        <v>1970</v>
      </c>
      <c r="D144" s="9" t="s">
        <v>343</v>
      </c>
      <c r="E144" s="7" t="s">
        <v>76</v>
      </c>
      <c r="F144" s="10" t="n">
        <f aca="false">IF(ISBLANK($G144),,VLOOKUP($G144, Rarities!$A$1:$B869, 2, FALSE()))</f>
        <v>3</v>
      </c>
      <c r="G144" s="8" t="s">
        <v>53</v>
      </c>
      <c r="H144" s="8" t="str">
        <f aca="false">VLOOKUP(B144,Manufacturers!A$1:B869,2)</f>
        <v>US</v>
      </c>
      <c r="I144" s="11" t="n">
        <v>310000</v>
      </c>
      <c r="J144" s="8"/>
      <c r="K144" s="8" t="n">
        <v>1</v>
      </c>
      <c r="L144" s="12" t="n">
        <v>9</v>
      </c>
      <c r="M144" s="11" t="e">
        <f aca="false">IF(AND(ISNUMBER(L144),L144&gt;0),(3*J144+K144)*#REF!/L144,"-")</f>
        <v>#REF!</v>
      </c>
      <c r="N144" s="11" t="e">
        <f aca="false">IF(AND(#REF!,ISNUMBER(L144),L144&gt;0),((3*J144+K144)*#REF!-I144)/L144,"-")</f>
        <v>#REF!</v>
      </c>
      <c r="O144" s="8"/>
      <c r="P144" s="8"/>
    </row>
    <row r="145" customFormat="false" ht="15.75" hidden="false" customHeight="true" outlineLevel="0" collapsed="false">
      <c r="A145" s="7" t="s">
        <v>344</v>
      </c>
      <c r="B145" s="8" t="s">
        <v>321</v>
      </c>
      <c r="C145" s="8" t="n">
        <v>1970</v>
      </c>
      <c r="D145" s="9" t="s">
        <v>345</v>
      </c>
      <c r="E145" s="7" t="s">
        <v>76</v>
      </c>
      <c r="F145" s="10" t="n">
        <f aca="false">IF(ISBLANK($G145),,VLOOKUP($G145, Rarities!$A$1:$B869, 2, FALSE()))</f>
        <v>2</v>
      </c>
      <c r="G145" s="8" t="s">
        <v>36</v>
      </c>
      <c r="H145" s="8" t="str">
        <f aca="false">VLOOKUP(B145,Manufacturers!A$1:B869,2)</f>
        <v>US</v>
      </c>
      <c r="I145" s="11" t="n">
        <v>53000</v>
      </c>
      <c r="J145" s="8" t="n">
        <v>1</v>
      </c>
      <c r="K145" s="8"/>
      <c r="L145" s="12" t="n">
        <v>14</v>
      </c>
      <c r="M145" s="11" t="e">
        <f aca="false">IF(AND(ISNUMBER(L145),L145&gt;0),(3*J145+K145)*#REF!/L145,"-")</f>
        <v>#REF!</v>
      </c>
      <c r="N145" s="11" t="e">
        <f aca="false">IF(AND(#REF!,ISNUMBER(L145),L145&gt;0),((3*J145+K145)*#REF!-I145)/L145,"-")</f>
        <v>#REF!</v>
      </c>
      <c r="O145" s="8"/>
      <c r="P145" s="8"/>
    </row>
    <row r="146" customFormat="false" ht="15.75" hidden="false" customHeight="true" outlineLevel="0" collapsed="false">
      <c r="A146" s="7" t="s">
        <v>346</v>
      </c>
      <c r="B146" s="8" t="s">
        <v>321</v>
      </c>
      <c r="C146" s="8" t="n">
        <v>1970</v>
      </c>
      <c r="D146" s="9" t="s">
        <v>347</v>
      </c>
      <c r="E146" s="7" t="s">
        <v>76</v>
      </c>
      <c r="F146" s="10" t="n">
        <f aca="false">IF(ISBLANK($G146),,VLOOKUP($G146, Rarities!$A$1:$B869, 2, FALSE()))</f>
        <v>2</v>
      </c>
      <c r="G146" s="8" t="s">
        <v>36</v>
      </c>
      <c r="H146" s="8" t="str">
        <f aca="false">VLOOKUP(B146,Manufacturers!A$1:B869,2)</f>
        <v>US</v>
      </c>
      <c r="I146" s="11" t="n">
        <v>80000</v>
      </c>
      <c r="J146" s="8"/>
      <c r="K146" s="8" t="n">
        <v>2</v>
      </c>
      <c r="L146" s="12" t="n">
        <v>14</v>
      </c>
      <c r="M146" s="11" t="e">
        <f aca="false">IF(AND(ISNUMBER(L146),L146&gt;0),(3*J146+K146)*#REF!/L146,"-")</f>
        <v>#REF!</v>
      </c>
      <c r="N146" s="11" t="e">
        <f aca="false">IF(AND(#REF!,ISNUMBER(L146),L146&gt;0),((3*J146+K146)*#REF!-I146)/L146,"-")</f>
        <v>#REF!</v>
      </c>
      <c r="O146" s="8"/>
      <c r="P146" s="8"/>
    </row>
    <row r="147" customFormat="false" ht="15.75" hidden="false" customHeight="true" outlineLevel="0" collapsed="false">
      <c r="A147" s="7" t="s">
        <v>348</v>
      </c>
      <c r="B147" s="8" t="s">
        <v>321</v>
      </c>
      <c r="C147" s="8" t="n">
        <v>1970</v>
      </c>
      <c r="D147" s="9" t="s">
        <v>349</v>
      </c>
      <c r="E147" s="7" t="s">
        <v>350</v>
      </c>
      <c r="F147" s="10" t="n">
        <f aca="false">IF(ISBLANK($G147),,VLOOKUP($G147, Rarities!$A$1:$B869, 2, FALSE()))</f>
        <v>2</v>
      </c>
      <c r="G147" s="8" t="s">
        <v>36</v>
      </c>
      <c r="H147" s="8" t="str">
        <f aca="false">VLOOKUP(B147,Manufacturers!A$1:B869,2)</f>
        <v>US</v>
      </c>
      <c r="I147" s="11" t="n">
        <v>65000</v>
      </c>
      <c r="J147" s="8"/>
      <c r="K147" s="8" t="n">
        <v>1</v>
      </c>
      <c r="L147" s="12" t="n">
        <v>9</v>
      </c>
      <c r="M147" s="11" t="e">
        <f aca="false">IF(AND(ISNUMBER(L147),L147&gt;0),(3*J147+K147)*#REF!/L147,"-")</f>
        <v>#REF!</v>
      </c>
      <c r="N147" s="11" t="e">
        <f aca="false">IF(AND(#REF!,ISNUMBER(L147),L147&gt;0),((3*J147+K147)*#REF!-I147)/L147,"-")</f>
        <v>#REF!</v>
      </c>
      <c r="O147" s="8"/>
      <c r="P147" s="8"/>
    </row>
    <row r="148" customFormat="false" ht="15.75" hidden="false" customHeight="true" outlineLevel="0" collapsed="false">
      <c r="A148" s="7" t="s">
        <v>351</v>
      </c>
      <c r="B148" s="8" t="s">
        <v>321</v>
      </c>
      <c r="C148" s="8" t="n">
        <v>1972</v>
      </c>
      <c r="D148" s="9" t="s">
        <v>352</v>
      </c>
      <c r="E148" s="7" t="s">
        <v>353</v>
      </c>
      <c r="F148" s="10" t="n">
        <f aca="false">IF(ISBLANK($G148),,VLOOKUP($G148, Rarities!$A$1:$B869, 2, FALSE()))</f>
        <v>1</v>
      </c>
      <c r="G148" s="8" t="s">
        <v>17</v>
      </c>
      <c r="H148" s="8" t="str">
        <f aca="false">VLOOKUP(B148,Manufacturers!A$1:B869,2)</f>
        <v>US</v>
      </c>
      <c r="I148" s="11" t="n">
        <v>250000</v>
      </c>
      <c r="J148" s="8"/>
      <c r="K148" s="8"/>
      <c r="L148" s="12"/>
      <c r="M148" s="11"/>
      <c r="N148" s="11"/>
      <c r="O148" s="8"/>
      <c r="P148" s="8"/>
    </row>
    <row r="149" customFormat="false" ht="15.75" hidden="false" customHeight="true" outlineLevel="0" collapsed="false">
      <c r="A149" s="7" t="s">
        <v>354</v>
      </c>
      <c r="B149" s="8" t="s">
        <v>321</v>
      </c>
      <c r="C149" s="8" t="n">
        <v>1979</v>
      </c>
      <c r="D149" s="9" t="s">
        <v>345</v>
      </c>
      <c r="E149" s="7" t="s">
        <v>76</v>
      </c>
      <c r="F149" s="10" t="n">
        <f aca="false">IF(ISBLANK($G149),,VLOOKUP($G149, Rarities!$A$1:$B869, 2, FALSE()))</f>
        <v>2</v>
      </c>
      <c r="G149" s="8" t="s">
        <v>36</v>
      </c>
      <c r="H149" s="8" t="str">
        <f aca="false">VLOOKUP(B149,Manufacturers!A$1:B869,2)</f>
        <v>US</v>
      </c>
      <c r="I149" s="11" t="n">
        <v>35000</v>
      </c>
      <c r="J149" s="8"/>
      <c r="K149" s="8" t="n">
        <v>1</v>
      </c>
      <c r="L149" s="12" t="n">
        <v>9</v>
      </c>
      <c r="M149" s="11" t="e">
        <f aca="false">IF(AND(ISNUMBER(L149),L149&gt;0),(3*J149+K149)*#REF!/L149,"-")</f>
        <v>#REF!</v>
      </c>
      <c r="N149" s="11" t="e">
        <f aca="false">IF(AND(#REF!,ISNUMBER(L149),L149&gt;0),((3*J149+K149)*#REF!-I149)/L149,"-")</f>
        <v>#REF!</v>
      </c>
      <c r="O149" s="8"/>
      <c r="P149" s="8"/>
    </row>
    <row r="150" customFormat="false" ht="15.75" hidden="false" customHeight="true" outlineLevel="0" collapsed="false">
      <c r="A150" s="7" t="s">
        <v>355</v>
      </c>
      <c r="B150" s="8" t="s">
        <v>321</v>
      </c>
      <c r="C150" s="8" t="n">
        <v>1988</v>
      </c>
      <c r="D150" s="9" t="s">
        <v>356</v>
      </c>
      <c r="E150" s="7" t="s">
        <v>295</v>
      </c>
      <c r="F150" s="10" t="n">
        <f aca="false">IF(ISBLANK($G150),,VLOOKUP($G150, Rarities!$A$1:$B869, 2, FALSE()))</f>
        <v>1</v>
      </c>
      <c r="G150" s="8" t="s">
        <v>17</v>
      </c>
      <c r="H150" s="8" t="str">
        <f aca="false">VLOOKUP(B150,Manufacturers!A$1:B869,2)</f>
        <v>US</v>
      </c>
      <c r="I150" s="11" t="n">
        <v>25000</v>
      </c>
      <c r="J150" s="8"/>
      <c r="K150" s="8" t="n">
        <v>1</v>
      </c>
      <c r="L150" s="12" t="n">
        <v>9</v>
      </c>
      <c r="M150" s="11" t="e">
        <f aca="false">IF(AND(ISNUMBER(L150),L150&gt;0),(3*J150+K150)*#REF!/L150,"-")</f>
        <v>#REF!</v>
      </c>
      <c r="N150" s="11" t="e">
        <f aca="false">IF(AND(#REF!,ISNUMBER(L150),L150&gt;0),((3*J150+K150)*#REF!-I150)/L150,"-")</f>
        <v>#REF!</v>
      </c>
      <c r="O150" s="8"/>
      <c r="P150" s="8"/>
    </row>
    <row r="151" customFormat="false" ht="15.75" hidden="false" customHeight="true" outlineLevel="0" collapsed="false">
      <c r="A151" s="7" t="s">
        <v>357</v>
      </c>
      <c r="B151" s="8" t="s">
        <v>321</v>
      </c>
      <c r="C151" s="8" t="n">
        <v>1995</v>
      </c>
      <c r="D151" s="9" t="s">
        <v>343</v>
      </c>
      <c r="E151" s="7" t="s">
        <v>295</v>
      </c>
      <c r="F151" s="10" t="n">
        <f aca="false">IF(ISBLANK($G151),,VLOOKUP($G151, Rarities!$A$1:$B869, 2, FALSE()))</f>
        <v>1</v>
      </c>
      <c r="G151" s="8" t="s">
        <v>17</v>
      </c>
      <c r="H151" s="8" t="str">
        <f aca="false">VLOOKUP(B151,Manufacturers!A$1:B869,2)</f>
        <v>US</v>
      </c>
      <c r="I151" s="11" t="n">
        <v>45000</v>
      </c>
      <c r="J151" s="8"/>
      <c r="K151" s="8" t="n">
        <v>1</v>
      </c>
      <c r="L151" s="12" t="n">
        <v>9</v>
      </c>
      <c r="M151" s="11" t="e">
        <f aca="false">IF(AND(ISNUMBER(L151),L151&gt;0),(3*J151+K151)*#REF!/L151,"-")</f>
        <v>#REF!</v>
      </c>
      <c r="N151" s="11" t="e">
        <f aca="false">IF(AND(#REF!,ISNUMBER(L151),L151&gt;0),((3*J151+K151)*#REF!-I151)/L151,"-")</f>
        <v>#REF!</v>
      </c>
      <c r="O151" s="8"/>
      <c r="P151" s="8"/>
    </row>
    <row r="152" customFormat="false" ht="15.75" hidden="false" customHeight="true" outlineLevel="0" collapsed="false">
      <c r="A152" s="7" t="s">
        <v>358</v>
      </c>
      <c r="B152" s="8" t="s">
        <v>321</v>
      </c>
      <c r="C152" s="8" t="n">
        <v>1996</v>
      </c>
      <c r="D152" s="9" t="s">
        <v>359</v>
      </c>
      <c r="E152" s="7" t="s">
        <v>295</v>
      </c>
      <c r="F152" s="10" t="n">
        <f aca="false">IF(ISBLANK($G152),,VLOOKUP($G152, Rarities!$A$1:$B869, 2, FALSE()))</f>
        <v>1</v>
      </c>
      <c r="G152" s="8" t="s">
        <v>17</v>
      </c>
      <c r="H152" s="8" t="str">
        <f aca="false">VLOOKUP(B152,Manufacturers!A$1:B869,2)</f>
        <v>US</v>
      </c>
      <c r="I152" s="11" t="n">
        <v>20000</v>
      </c>
      <c r="J152" s="8"/>
      <c r="K152" s="8" t="n">
        <v>1</v>
      </c>
      <c r="L152" s="12" t="n">
        <v>9</v>
      </c>
      <c r="M152" s="11" t="e">
        <f aca="false">IF(AND(ISNUMBER(L152),L152&gt;0),(3*J152+K152)*#REF!/L152,"-")</f>
        <v>#REF!</v>
      </c>
      <c r="N152" s="11" t="e">
        <f aca="false">IF(AND(#REF!,ISNUMBER(L152),L152&gt;0),((3*J152+K152)*#REF!-I152)/L152,"-")</f>
        <v>#REF!</v>
      </c>
      <c r="O152" s="8"/>
      <c r="P152" s="8"/>
    </row>
    <row r="153" customFormat="false" ht="15.75" hidden="false" customHeight="true" outlineLevel="0" collapsed="false">
      <c r="A153" s="7" t="s">
        <v>360</v>
      </c>
      <c r="B153" s="8" t="s">
        <v>321</v>
      </c>
      <c r="C153" s="8" t="n">
        <v>2002</v>
      </c>
      <c r="D153" s="9" t="s">
        <v>361</v>
      </c>
      <c r="E153" s="7" t="s">
        <v>295</v>
      </c>
      <c r="F153" s="10" t="n">
        <f aca="false">IF(ISBLANK($G153),,VLOOKUP($G153, Rarities!$A$1:$B869, 2, FALSE()))</f>
        <v>1</v>
      </c>
      <c r="G153" s="8" t="s">
        <v>17</v>
      </c>
      <c r="H153" s="8" t="str">
        <f aca="false">VLOOKUP(B153,Manufacturers!A$1:B869,2)</f>
        <v>US</v>
      </c>
      <c r="I153" s="11" t="n">
        <v>35000</v>
      </c>
      <c r="J153" s="8"/>
      <c r="K153" s="8" t="n">
        <v>1</v>
      </c>
      <c r="L153" s="12" t="n">
        <v>9</v>
      </c>
      <c r="M153" s="11" t="e">
        <f aca="false">IF(AND(ISNUMBER(L153),L153&gt;0),(3*J153+K153)*#REF!/L153,"-")</f>
        <v>#REF!</v>
      </c>
      <c r="N153" s="11" t="e">
        <f aca="false">IF(AND(#REF!,ISNUMBER(L153),L153&gt;0),((3*J153+K153)*#REF!-I153)/L153,"-")</f>
        <v>#REF!</v>
      </c>
      <c r="O153" s="8"/>
      <c r="P153" s="8"/>
    </row>
    <row r="154" customFormat="false" ht="15.75" hidden="false" customHeight="true" outlineLevel="0" collapsed="false">
      <c r="A154" s="7" t="s">
        <v>362</v>
      </c>
      <c r="B154" s="8" t="s">
        <v>321</v>
      </c>
      <c r="C154" s="8" t="n">
        <v>2009</v>
      </c>
      <c r="D154" s="9" t="s">
        <v>363</v>
      </c>
      <c r="E154" s="7" t="s">
        <v>303</v>
      </c>
      <c r="F154" s="10" t="n">
        <f aca="false">IF(ISBLANK($G154),,VLOOKUP($G154, Rarities!$A$1:$B869, 2, FALSE()))</f>
        <v>2</v>
      </c>
      <c r="G154" s="8" t="s">
        <v>36</v>
      </c>
      <c r="H154" s="8" t="str">
        <f aca="false">VLOOKUP(B154,Manufacturers!A$1:B869,2)</f>
        <v>US</v>
      </c>
      <c r="I154" s="11" t="n">
        <v>125000</v>
      </c>
      <c r="J154" s="8"/>
      <c r="K154" s="8" t="n">
        <v>1</v>
      </c>
      <c r="L154" s="12" t="n">
        <v>9</v>
      </c>
      <c r="M154" s="11" t="e">
        <f aca="false">IF(AND(ISNUMBER(L154),L154&gt;0),(3*J154+K154)*#REF!/L154,"-")</f>
        <v>#REF!</v>
      </c>
      <c r="N154" s="11" t="e">
        <f aca="false">IF(AND(#REF!,ISNUMBER(L154),L154&gt;0),((3*J154+K154)*#REF!-I154)/L154,"-")</f>
        <v>#REF!</v>
      </c>
      <c r="O154" s="8"/>
      <c r="P154" s="8"/>
    </row>
    <row r="155" customFormat="false" ht="15.75" hidden="false" customHeight="true" outlineLevel="0" collapsed="false">
      <c r="A155" s="7" t="s">
        <v>364</v>
      </c>
      <c r="B155" s="8" t="s">
        <v>321</v>
      </c>
      <c r="C155" s="8" t="n">
        <v>2013</v>
      </c>
      <c r="D155" s="9" t="s">
        <v>365</v>
      </c>
      <c r="E155" s="7" t="s">
        <v>111</v>
      </c>
      <c r="F155" s="10" t="n">
        <f aca="false">IF(ISBLANK($G155),,VLOOKUP($G155, Rarities!$A$1:$B869, 2, FALSE()))</f>
        <v>4</v>
      </c>
      <c r="G155" s="8" t="s">
        <v>41</v>
      </c>
      <c r="H155" s="8" t="str">
        <f aca="false">VLOOKUP(B155,Manufacturers!A$1:B869,2)</f>
        <v>US</v>
      </c>
      <c r="I155" s="11" t="n">
        <v>300000</v>
      </c>
      <c r="J155" s="8"/>
      <c r="K155" s="8"/>
      <c r="L155" s="12"/>
      <c r="M155" s="11"/>
      <c r="N155" s="11"/>
      <c r="O155" s="8"/>
      <c r="P155" s="8"/>
    </row>
    <row r="156" customFormat="false" ht="15.75" hidden="false" customHeight="true" outlineLevel="0" collapsed="false">
      <c r="A156" s="7" t="s">
        <v>366</v>
      </c>
      <c r="B156" s="8" t="s">
        <v>321</v>
      </c>
      <c r="C156" s="8" t="n">
        <v>2015</v>
      </c>
      <c r="D156" s="9" t="s">
        <v>367</v>
      </c>
      <c r="E156" s="7" t="s">
        <v>111</v>
      </c>
      <c r="F156" s="10" t="n">
        <f aca="false">IF(ISBLANK($G156),,VLOOKUP($G156, Rarities!$A$1:$B869, 2, FALSE()))</f>
        <v>2</v>
      </c>
      <c r="G156" s="8" t="s">
        <v>36</v>
      </c>
      <c r="H156" s="8" t="str">
        <f aca="false">VLOOKUP(B156,Manufacturers!A$1:B869,2)</f>
        <v>US</v>
      </c>
      <c r="I156" s="11" t="n">
        <v>86000</v>
      </c>
      <c r="J156" s="8"/>
      <c r="K156" s="8" t="n">
        <v>2</v>
      </c>
      <c r="L156" s="12" t="n">
        <v>14</v>
      </c>
      <c r="M156" s="11" t="e">
        <f aca="false">IF(AND(ISNUMBER(L156),L156&gt;0),(3*J156+K156)*#REF!/L156,"-")</f>
        <v>#REF!</v>
      </c>
      <c r="N156" s="11" t="e">
        <f aca="false">IF(AND(#REF!,ISNUMBER(L156),L156&gt;0),((3*J156+K156)*#REF!-I156)/L156,"-")</f>
        <v>#REF!</v>
      </c>
      <c r="O156" s="8"/>
      <c r="P156" s="8"/>
    </row>
    <row r="157" customFormat="false" ht="15.75" hidden="false" customHeight="true" outlineLevel="0" collapsed="false">
      <c r="A157" s="7" t="s">
        <v>368</v>
      </c>
      <c r="B157" s="8" t="s">
        <v>321</v>
      </c>
      <c r="C157" s="8" t="n">
        <v>2015</v>
      </c>
      <c r="D157" s="9" t="s">
        <v>361</v>
      </c>
      <c r="E157" s="7" t="s">
        <v>303</v>
      </c>
      <c r="F157" s="10" t="n">
        <f aca="false">IF(ISBLANK($G157),,VLOOKUP($G157, Rarities!$A$1:$B869, 2, FALSE()))</f>
        <v>2</v>
      </c>
      <c r="G157" s="8" t="s">
        <v>36</v>
      </c>
      <c r="H157" s="8" t="str">
        <f aca="false">VLOOKUP(B157,Manufacturers!A$1:B869,2)</f>
        <v>US</v>
      </c>
      <c r="I157" s="11" t="n">
        <v>110000</v>
      </c>
      <c r="J157" s="8"/>
      <c r="K157" s="8" t="n">
        <v>2</v>
      </c>
      <c r="L157" s="12" t="n">
        <v>14</v>
      </c>
      <c r="M157" s="11" t="e">
        <f aca="false">IF(AND(ISNUMBER(L157),L157&gt;0),(3*J157+K157)*#REF!/L157,"-")</f>
        <v>#REF!</v>
      </c>
      <c r="N157" s="11" t="e">
        <f aca="false">IF(AND(#REF!,ISNUMBER(L157),L157&gt;0),((3*J157+K157)*#REF!-I157)/L157,"-")</f>
        <v>#REF!</v>
      </c>
      <c r="O157" s="8"/>
      <c r="P157" s="8"/>
    </row>
    <row r="158" customFormat="false" ht="15.75" hidden="false" customHeight="true" outlineLevel="0" collapsed="false">
      <c r="A158" s="7" t="s">
        <v>369</v>
      </c>
      <c r="B158" s="8" t="s">
        <v>321</v>
      </c>
      <c r="C158" s="8" t="n">
        <v>2017</v>
      </c>
      <c r="D158" s="9" t="s">
        <v>370</v>
      </c>
      <c r="E158" s="7" t="s">
        <v>303</v>
      </c>
      <c r="F158" s="10" t="n">
        <f aca="false">IF(ISBLANK($G158),,VLOOKUP($G158, Rarities!$A$1:$B869, 2, FALSE()))</f>
        <v>2</v>
      </c>
      <c r="G158" s="8" t="s">
        <v>36</v>
      </c>
      <c r="H158" s="8" t="str">
        <f aca="false">VLOOKUP(B158,Manufacturers!A$1:B869,2)</f>
        <v>US</v>
      </c>
      <c r="I158" s="11" t="n">
        <v>60000</v>
      </c>
      <c r="J158" s="8"/>
      <c r="K158" s="8" t="n">
        <v>2</v>
      </c>
      <c r="L158" s="12" t="n">
        <v>14</v>
      </c>
      <c r="M158" s="11" t="e">
        <f aca="false">IF(AND(ISNUMBER(L158),L158&gt;0),(3*J158+K158)*#REF!/L158,"-")</f>
        <v>#REF!</v>
      </c>
      <c r="N158" s="11" t="e">
        <f aca="false">IF(AND(#REF!,ISNUMBER(L158),L158&gt;0),((3*J158+K158)*#REF!-I158)/L158,"-")</f>
        <v>#REF!</v>
      </c>
      <c r="O158" s="8"/>
      <c r="P158" s="8"/>
    </row>
    <row r="159" customFormat="false" ht="15.75" hidden="false" customHeight="true" outlineLevel="0" collapsed="false">
      <c r="A159" s="7" t="s">
        <v>371</v>
      </c>
      <c r="B159" s="8" t="s">
        <v>321</v>
      </c>
      <c r="C159" s="8" t="n">
        <v>2017</v>
      </c>
      <c r="D159" s="9" t="s">
        <v>372</v>
      </c>
      <c r="E159" s="7" t="s">
        <v>353</v>
      </c>
      <c r="F159" s="10" t="n">
        <f aca="false">IF(ISBLANK($G159),,VLOOKUP($G159, Rarities!$A$1:$B869, 2, FALSE()))</f>
        <v>1</v>
      </c>
      <c r="G159" s="8" t="s">
        <v>17</v>
      </c>
      <c r="H159" s="8" t="str">
        <f aca="false">VLOOKUP(B159,Manufacturers!A$1:B869,2)</f>
        <v>US</v>
      </c>
      <c r="I159" s="11" t="n">
        <v>46000</v>
      </c>
      <c r="J159" s="8"/>
      <c r="K159" s="8"/>
      <c r="L159" s="12" t="s">
        <v>244</v>
      </c>
      <c r="M159" s="11" t="str">
        <f aca="false">IF(AND(ISNUMBER(L159),L159&gt;0),(3*J159+K159)*#REF!/L159,"-")</f>
        <v>-</v>
      </c>
      <c r="N159" s="11" t="e">
        <f aca="false">IF(AND(#REF!,ISNUMBER(L159),L159&gt;0),((3*J159+K159)*#REF!-I159)/L159,"-")</f>
        <v>#REF!</v>
      </c>
      <c r="O159" s="8"/>
      <c r="P159" s="8"/>
    </row>
    <row r="160" customFormat="false" ht="15.75" hidden="false" customHeight="true" outlineLevel="0" collapsed="false">
      <c r="A160" s="7" t="s">
        <v>244</v>
      </c>
      <c r="B160" s="8" t="s">
        <v>321</v>
      </c>
      <c r="C160" s="8" t="n">
        <v>2017</v>
      </c>
      <c r="D160" s="9" t="s">
        <v>372</v>
      </c>
      <c r="E160" s="7" t="s">
        <v>244</v>
      </c>
      <c r="F160" s="10" t="n">
        <f aca="false">IF(ISBLANK($G160),,VLOOKUP($G160, Rarities!$A$1:$B869, 2, FALSE()))</f>
        <v>0</v>
      </c>
      <c r="G160" s="8" t="s">
        <v>244</v>
      </c>
      <c r="H160" s="8" t="str">
        <f aca="false">VLOOKUP(B160,Manufacturers!A$1:B869,2)</f>
        <v>US</v>
      </c>
      <c r="I160" s="11" t="s">
        <v>244</v>
      </c>
      <c r="J160" s="8"/>
      <c r="K160" s="8"/>
      <c r="L160" s="12" t="s">
        <v>244</v>
      </c>
      <c r="M160" s="11" t="str">
        <f aca="false">IF(AND(ISNUMBER(L160),L160&gt;0),(3*J160+K160)*#REF!/L160,"-")</f>
        <v>-</v>
      </c>
      <c r="N160" s="11" t="e">
        <f aca="false">IF(AND(#REF!,ISNUMBER(L160),L160&gt;0),((3*J160+K160)*#REF!-I160)/L160,"-")</f>
        <v>#REF!</v>
      </c>
      <c r="O160" s="8"/>
      <c r="P160" s="8"/>
    </row>
    <row r="161" customFormat="false" ht="15.75" hidden="false" customHeight="true" outlineLevel="0" collapsed="false">
      <c r="A161" s="7" t="s">
        <v>373</v>
      </c>
      <c r="B161" s="8" t="s">
        <v>321</v>
      </c>
      <c r="C161" s="8" t="n">
        <v>2018</v>
      </c>
      <c r="D161" s="9" t="s">
        <v>374</v>
      </c>
      <c r="E161" s="7" t="s">
        <v>111</v>
      </c>
      <c r="F161" s="10" t="n">
        <f aca="false">IF(ISBLANK($G161),,VLOOKUP($G161, Rarities!$A$1:$B869, 2, FALSE()))</f>
        <v>2</v>
      </c>
      <c r="G161" s="8" t="s">
        <v>36</v>
      </c>
      <c r="H161" s="8" t="str">
        <f aca="false">VLOOKUP(B161,Manufacturers!A$1:B869,2)</f>
        <v>US</v>
      </c>
      <c r="I161" s="11" t="n">
        <v>105000</v>
      </c>
      <c r="J161" s="8"/>
      <c r="K161" s="8" t="n">
        <v>2</v>
      </c>
      <c r="L161" s="12" t="n">
        <v>14</v>
      </c>
      <c r="M161" s="11" t="e">
        <f aca="false">IF(AND(ISNUMBER(L161),L161&gt;0),(3*J161+K161)*#REF!/L161,"-")</f>
        <v>#REF!</v>
      </c>
      <c r="N161" s="11" t="e">
        <f aca="false">IF(AND(#REF!,ISNUMBER(L161),L161&gt;0),((3*J161+K161)*#REF!-I161)/L161,"-")</f>
        <v>#REF!</v>
      </c>
      <c r="O161" s="8"/>
      <c r="P161" s="8"/>
    </row>
    <row r="162" customFormat="false" ht="15.75" hidden="false" customHeight="true" outlineLevel="0" collapsed="false">
      <c r="A162" s="7" t="s">
        <v>375</v>
      </c>
      <c r="B162" s="8" t="s">
        <v>321</v>
      </c>
      <c r="C162" s="8" t="n">
        <v>2018</v>
      </c>
      <c r="D162" s="9" t="s">
        <v>376</v>
      </c>
      <c r="E162" s="7" t="s">
        <v>111</v>
      </c>
      <c r="F162" s="10" t="n">
        <f aca="false">IF(ISBLANK($G162),,VLOOKUP($G162, Rarities!$A$1:$B869, 2, FALSE()))</f>
        <v>2</v>
      </c>
      <c r="G162" s="8" t="s">
        <v>36</v>
      </c>
      <c r="H162" s="8" t="str">
        <f aca="false">VLOOKUP(B162,Manufacturers!A$1:B869,2)</f>
        <v>US</v>
      </c>
      <c r="I162" s="11" t="n">
        <v>205000</v>
      </c>
      <c r="J162" s="8"/>
      <c r="K162" s="8"/>
      <c r="L162" s="12"/>
      <c r="M162" s="11"/>
      <c r="N162" s="11"/>
      <c r="O162" s="8"/>
      <c r="P162" s="8"/>
    </row>
    <row r="163" customFormat="false" ht="15.75" hidden="false" customHeight="true" outlineLevel="0" collapsed="false">
      <c r="A163" s="7" t="s">
        <v>377</v>
      </c>
      <c r="B163" s="8" t="s">
        <v>321</v>
      </c>
      <c r="C163" s="8" t="n">
        <v>2019</v>
      </c>
      <c r="D163" s="9" t="s">
        <v>363</v>
      </c>
      <c r="E163" s="7" t="s">
        <v>111</v>
      </c>
      <c r="F163" s="10" t="n">
        <f aca="false">IF(ISBLANK($G163),,VLOOKUP($G163, Rarities!$A$1:$B869, 2, FALSE()))</f>
        <v>3</v>
      </c>
      <c r="G163" s="8" t="s">
        <v>53</v>
      </c>
      <c r="H163" s="8" t="str">
        <f aca="false">VLOOKUP(B163,Manufacturers!A$1:B869,2)</f>
        <v>US</v>
      </c>
      <c r="I163" s="11" t="n">
        <v>255000</v>
      </c>
      <c r="J163" s="8"/>
      <c r="K163" s="8" t="n">
        <v>2</v>
      </c>
      <c r="L163" s="12" t="n">
        <v>14</v>
      </c>
      <c r="M163" s="11" t="e">
        <f aca="false">IF(AND(ISNUMBER(L163),L163&gt;0),(3*J163+K163)*#REF!/L163,"-")</f>
        <v>#REF!</v>
      </c>
      <c r="N163" s="11" t="e">
        <f aca="false">IF(AND(#REF!,ISNUMBER(L163),L163&gt;0),((3*J163+K163)*#REF!-I163)/L163,"-")</f>
        <v>#REF!</v>
      </c>
      <c r="O163" s="8"/>
      <c r="P163" s="8"/>
    </row>
    <row r="164" customFormat="false" ht="15.75" hidden="false" customHeight="true" outlineLevel="0" collapsed="false">
      <c r="A164" s="7" t="s">
        <v>378</v>
      </c>
      <c r="B164" s="8" t="s">
        <v>321</v>
      </c>
      <c r="C164" s="8" t="n">
        <v>2020</v>
      </c>
      <c r="D164" s="9" t="s">
        <v>379</v>
      </c>
      <c r="E164" s="7" t="s">
        <v>86</v>
      </c>
      <c r="F164" s="10" t="n">
        <f aca="false">IF(ISBLANK($G164),,VLOOKUP($G164, Rarities!$A$1:$B869, 2, FALSE()))</f>
        <v>3</v>
      </c>
      <c r="G164" s="8" t="s">
        <v>53</v>
      </c>
      <c r="H164" s="8" t="str">
        <f aca="false">VLOOKUP(B164,Manufacturers!A$1:B869,2)</f>
        <v>US</v>
      </c>
      <c r="I164" s="11" t="n">
        <v>650000</v>
      </c>
      <c r="J164" s="8"/>
      <c r="K164" s="8"/>
      <c r="L164" s="12"/>
      <c r="M164" s="11"/>
      <c r="N164" s="11"/>
      <c r="O164" s="8"/>
      <c r="P164" s="8"/>
    </row>
    <row r="165" customFormat="false" ht="15.75" hidden="false" customHeight="true" outlineLevel="0" collapsed="false">
      <c r="A165" s="7" t="s">
        <v>380</v>
      </c>
      <c r="B165" s="8" t="s">
        <v>321</v>
      </c>
      <c r="C165" s="8" t="n">
        <v>2020</v>
      </c>
      <c r="D165" s="9" t="s">
        <v>381</v>
      </c>
      <c r="E165" s="7" t="s">
        <v>35</v>
      </c>
      <c r="F165" s="10" t="n">
        <f aca="false">IF(ISBLANK($G165),,VLOOKUP($G165, Rarities!$A$1:$B869, 2, FALSE()))</f>
        <v>2</v>
      </c>
      <c r="G165" s="8" t="s">
        <v>36</v>
      </c>
      <c r="H165" s="8" t="str">
        <f aca="false">VLOOKUP(B165,Manufacturers!A$1:B869,2)</f>
        <v>US</v>
      </c>
      <c r="I165" s="11" t="n">
        <v>65000</v>
      </c>
      <c r="J165" s="8"/>
      <c r="K165" s="8"/>
      <c r="L165" s="12" t="s">
        <v>244</v>
      </c>
      <c r="M165" s="11" t="str">
        <f aca="false">IF(AND(ISNUMBER(L165),L165&gt;0),(3*J165+K165)*#REF!/L165,"-")</f>
        <v>-</v>
      </c>
      <c r="N165" s="11" t="e">
        <f aca="false">IF(AND(#REF!,ISNUMBER(L165),L165&gt;0),((3*J165+K165)*#REF!-I165)/L165,"-")</f>
        <v>#REF!</v>
      </c>
      <c r="O165" s="8"/>
      <c r="P165" s="8"/>
    </row>
    <row r="166" customFormat="false" ht="15.75" hidden="false" customHeight="true" outlineLevel="0" collapsed="false">
      <c r="A166" s="7" t="s">
        <v>382</v>
      </c>
      <c r="B166" s="8" t="s">
        <v>321</v>
      </c>
      <c r="C166" s="8" t="n">
        <v>2020</v>
      </c>
      <c r="D166" s="9" t="s">
        <v>383</v>
      </c>
      <c r="E166" s="7" t="s">
        <v>353</v>
      </c>
      <c r="F166" s="10" t="n">
        <f aca="false">IF(ISBLANK($G166),,VLOOKUP($G166, Rarities!$A$1:$B869, 2, FALSE()))</f>
        <v>2</v>
      </c>
      <c r="G166" s="8" t="s">
        <v>36</v>
      </c>
      <c r="H166" s="8" t="str">
        <f aca="false">VLOOKUP(B166,Manufacturers!A$1:B869,2)</f>
        <v>US</v>
      </c>
      <c r="I166" s="11" t="n">
        <v>75000</v>
      </c>
      <c r="J166" s="8"/>
      <c r="K166" s="8"/>
      <c r="L166" s="12"/>
      <c r="M166" s="11"/>
      <c r="N166" s="11"/>
      <c r="O166" s="8"/>
      <c r="P166" s="8"/>
    </row>
    <row r="167" customFormat="false" ht="15.75" hidden="false" customHeight="true" outlineLevel="0" collapsed="false">
      <c r="A167" s="7" t="s">
        <v>384</v>
      </c>
      <c r="B167" s="8" t="s">
        <v>321</v>
      </c>
      <c r="C167" s="8" t="n">
        <v>2023</v>
      </c>
      <c r="D167" s="9" t="s">
        <v>361</v>
      </c>
      <c r="E167" s="7" t="s">
        <v>111</v>
      </c>
      <c r="F167" s="10" t="n">
        <f aca="false">IF(ISBLANK($G167),,VLOOKUP($G167, Rarities!$A$1:$B869, 2, FALSE()))</f>
        <v>3</v>
      </c>
      <c r="G167" s="8" t="s">
        <v>53</v>
      </c>
      <c r="H167" s="8" t="str">
        <f aca="false">VLOOKUP(B167,Manufacturers!A$1:B869,2)</f>
        <v>US</v>
      </c>
      <c r="I167" s="11" t="n">
        <v>250000</v>
      </c>
      <c r="J167" s="8"/>
      <c r="K167" s="8"/>
      <c r="L167" s="12"/>
      <c r="M167" s="11"/>
      <c r="N167" s="11"/>
      <c r="O167" s="8"/>
      <c r="P167" s="8"/>
    </row>
    <row r="168" customFormat="false" ht="15.75" hidden="false" customHeight="true" outlineLevel="0" collapsed="false">
      <c r="A168" s="7" t="s">
        <v>385</v>
      </c>
      <c r="B168" s="8" t="s">
        <v>321</v>
      </c>
      <c r="C168" s="8" t="n">
        <v>2024</v>
      </c>
      <c r="D168" s="9" t="s">
        <v>385</v>
      </c>
      <c r="E168" s="7" t="s">
        <v>35</v>
      </c>
      <c r="F168" s="10" t="n">
        <f aca="false">IF(ISBLANK($G168),,VLOOKUP($G168, Rarities!$A$1:$B869, 2, FALSE()))</f>
        <v>3</v>
      </c>
      <c r="G168" s="8" t="s">
        <v>53</v>
      </c>
      <c r="H168" s="8" t="str">
        <f aca="false">VLOOKUP(B168,Manufacturers!A$1:B869,2)</f>
        <v>US</v>
      </c>
      <c r="I168" s="11" t="n">
        <v>250000</v>
      </c>
      <c r="J168" s="8"/>
      <c r="K168" s="8"/>
      <c r="L168" s="12"/>
      <c r="M168" s="11"/>
      <c r="N168" s="11"/>
      <c r="O168" s="8"/>
      <c r="P168" s="8"/>
    </row>
    <row r="169" customFormat="false" ht="15.75" hidden="false" customHeight="true" outlineLevel="0" collapsed="false">
      <c r="A169" s="7" t="s">
        <v>386</v>
      </c>
      <c r="B169" s="8" t="s">
        <v>387</v>
      </c>
      <c r="C169" s="8" t="n">
        <v>2021</v>
      </c>
      <c r="D169" s="9" t="s">
        <v>388</v>
      </c>
      <c r="E169" s="7" t="s">
        <v>125</v>
      </c>
      <c r="F169" s="10" t="n">
        <f aca="false">IF(ISBLANK($G169),,VLOOKUP($G169, Rarities!$A$1:$B869, 2, FALSE()))</f>
        <v>3</v>
      </c>
      <c r="G169" s="8" t="s">
        <v>53</v>
      </c>
      <c r="H169" s="8" t="str">
        <f aca="false">VLOOKUP(B169,Manufacturers!A$1:B869,2)</f>
        <v>ES</v>
      </c>
      <c r="I169" s="11" t="n">
        <v>70000</v>
      </c>
      <c r="J169" s="8"/>
      <c r="K169" s="8"/>
      <c r="L169" s="12"/>
      <c r="M169" s="11"/>
      <c r="N169" s="11"/>
      <c r="O169" s="8"/>
      <c r="P169" s="8"/>
    </row>
    <row r="170" customFormat="false" ht="15.75" hidden="false" customHeight="true" outlineLevel="0" collapsed="false">
      <c r="A170" s="7" t="s">
        <v>389</v>
      </c>
      <c r="B170" s="8" t="s">
        <v>387</v>
      </c>
      <c r="C170" s="8" t="n">
        <v>2022</v>
      </c>
      <c r="D170" s="9" t="s">
        <v>390</v>
      </c>
      <c r="E170" s="7" t="s">
        <v>125</v>
      </c>
      <c r="F170" s="10" t="n">
        <f aca="false">IF(ISBLANK($G170),,VLOOKUP($G170, Rarities!$A$1:$B869, 2, FALSE()))</f>
        <v>3</v>
      </c>
      <c r="G170" s="8" t="s">
        <v>53</v>
      </c>
      <c r="H170" s="8" t="str">
        <f aca="false">VLOOKUP(B170,Manufacturers!A$1:B869,2)</f>
        <v>ES</v>
      </c>
      <c r="I170" s="11" t="n">
        <v>50000</v>
      </c>
      <c r="J170" s="8"/>
      <c r="K170" s="8"/>
      <c r="L170" s="12"/>
      <c r="M170" s="11"/>
      <c r="N170" s="11"/>
      <c r="O170" s="8"/>
      <c r="P170" s="8"/>
    </row>
    <row r="171" customFormat="false" ht="15.75" hidden="false" customHeight="true" outlineLevel="0" collapsed="false">
      <c r="A171" s="7" t="s">
        <v>391</v>
      </c>
      <c r="B171" s="8" t="s">
        <v>387</v>
      </c>
      <c r="C171" s="8" t="n">
        <v>2022</v>
      </c>
      <c r="D171" s="9" t="s">
        <v>392</v>
      </c>
      <c r="E171" s="7" t="s">
        <v>111</v>
      </c>
      <c r="F171" s="10" t="n">
        <f aca="false">IF(ISBLANK($G171),,VLOOKUP($G171, Rarities!$A$1:$B869, 2, FALSE()))</f>
        <v>3</v>
      </c>
      <c r="G171" s="8" t="s">
        <v>53</v>
      </c>
      <c r="H171" s="8" t="str">
        <f aca="false">VLOOKUP(B171,Manufacturers!A$1:B869,2)</f>
        <v>ES</v>
      </c>
      <c r="I171" s="11" t="n">
        <v>2000000</v>
      </c>
      <c r="J171" s="8"/>
      <c r="K171" s="8"/>
      <c r="L171" s="12"/>
      <c r="M171" s="11"/>
      <c r="N171" s="11"/>
      <c r="O171" s="8"/>
      <c r="P171" s="8"/>
    </row>
    <row r="172" customFormat="false" ht="15.75" hidden="false" customHeight="true" outlineLevel="0" collapsed="false">
      <c r="A172" s="7" t="s">
        <v>393</v>
      </c>
      <c r="B172" s="8" t="s">
        <v>394</v>
      </c>
      <c r="C172" s="8" t="n">
        <v>2024</v>
      </c>
      <c r="D172" s="9" t="s">
        <v>395</v>
      </c>
      <c r="E172" s="7" t="s">
        <v>86</v>
      </c>
      <c r="F172" s="10" t="n">
        <f aca="false">IF(ISBLANK($G172),,VLOOKUP($G172, Rarities!$A$1:$B869, 2, FALSE()))</f>
        <v>3</v>
      </c>
      <c r="G172" s="8" t="s">
        <v>53</v>
      </c>
      <c r="H172" s="8" t="str">
        <f aca="false">VLOOKUP(B172,Manufacturers!A$1:B869,2)</f>
        <v>US</v>
      </c>
      <c r="I172" s="11" t="n">
        <v>2000000</v>
      </c>
      <c r="J172" s="8"/>
      <c r="K172" s="8"/>
      <c r="L172" s="12"/>
      <c r="M172" s="11"/>
      <c r="N172" s="11"/>
      <c r="O172" s="8"/>
      <c r="P172" s="8"/>
    </row>
    <row r="173" customFormat="false" ht="15.75" hidden="false" customHeight="true" outlineLevel="0" collapsed="false">
      <c r="A173" s="7" t="s">
        <v>396</v>
      </c>
      <c r="B173" s="8" t="s">
        <v>397</v>
      </c>
      <c r="C173" s="8" t="n">
        <v>1970</v>
      </c>
      <c r="D173" s="9" t="s">
        <v>398</v>
      </c>
      <c r="E173" s="7" t="s">
        <v>16</v>
      </c>
      <c r="F173" s="10" t="n">
        <f aca="false">IF(ISBLANK($G173),,VLOOKUP($G173, Rarities!$A$1:$B869, 2, FALSE()))</f>
        <v>1</v>
      </c>
      <c r="G173" s="8" t="s">
        <v>17</v>
      </c>
      <c r="H173" s="8" t="str">
        <f aca="false">VLOOKUP(B173,Manufacturers!A$1:B869,2)</f>
        <v>JP</v>
      </c>
      <c r="I173" s="11" t="n">
        <v>25000</v>
      </c>
      <c r="J173" s="8"/>
      <c r="K173" s="8" t="n">
        <v>1</v>
      </c>
      <c r="L173" s="12" t="n">
        <v>9</v>
      </c>
      <c r="M173" s="11" t="e">
        <f aca="false">IF(AND(ISNUMBER(L173),L173&gt;0),(3*J173+K173)*#REF!/L173,"-")</f>
        <v>#REF!</v>
      </c>
      <c r="N173" s="11" t="e">
        <f aca="false">IF(AND(#REF!,ISNUMBER(L173),L173&gt;0),((3*J173+K173)*#REF!-I173)/L173,"-")</f>
        <v>#REF!</v>
      </c>
      <c r="O173" s="8"/>
      <c r="P173" s="8"/>
    </row>
    <row r="174" customFormat="false" ht="15.75" hidden="false" customHeight="true" outlineLevel="0" collapsed="false">
      <c r="A174" s="7" t="s">
        <v>399</v>
      </c>
      <c r="B174" s="8" t="s">
        <v>400</v>
      </c>
      <c r="C174" s="8" t="n">
        <v>1961</v>
      </c>
      <c r="D174" s="9" t="s">
        <v>401</v>
      </c>
      <c r="E174" s="7" t="s">
        <v>327</v>
      </c>
      <c r="F174" s="10" t="n">
        <f aca="false">IF(ISBLANK($G174),,VLOOKUP($G174, Rarities!$A$1:$B869, 2, FALSE()))</f>
        <v>2</v>
      </c>
      <c r="G174" s="8" t="s">
        <v>36</v>
      </c>
      <c r="H174" s="8" t="str">
        <f aca="false">VLOOKUP(B174,Manufacturers!A$1:B869,2)</f>
        <v>US</v>
      </c>
      <c r="I174" s="11" t="n">
        <v>200000</v>
      </c>
      <c r="J174" s="8"/>
      <c r="K174" s="8"/>
      <c r="L174" s="12"/>
      <c r="M174" s="11"/>
      <c r="N174" s="11"/>
      <c r="O174" s="8"/>
      <c r="P174" s="8"/>
    </row>
    <row r="175" customFormat="false" ht="15.75" hidden="false" customHeight="true" outlineLevel="0" collapsed="false">
      <c r="A175" s="7" t="s">
        <v>402</v>
      </c>
      <c r="B175" s="8" t="s">
        <v>400</v>
      </c>
      <c r="C175" s="8" t="n">
        <v>2013</v>
      </c>
      <c r="D175" s="9" t="s">
        <v>403</v>
      </c>
      <c r="E175" s="7" t="s">
        <v>72</v>
      </c>
      <c r="F175" s="10" t="n">
        <f aca="false">IF(ISBLANK($G175),,VLOOKUP($G175, Rarities!$A$1:$B869, 2, FALSE()))</f>
        <v>3</v>
      </c>
      <c r="G175" s="8" t="s">
        <v>53</v>
      </c>
      <c r="H175" s="8" t="str">
        <f aca="false">VLOOKUP(B175,Manufacturers!A$1:B869,2)</f>
        <v>US</v>
      </c>
      <c r="I175" s="11" t="n">
        <v>200000</v>
      </c>
      <c r="J175" s="8" t="n">
        <v>1</v>
      </c>
      <c r="K175" s="8"/>
      <c r="L175" s="12" t="n">
        <v>20</v>
      </c>
      <c r="M175" s="11" t="e">
        <f aca="false">IF(AND(ISNUMBER(L175),L175&gt;0),(3*J175+K175)*#REF!/L175,"-")</f>
        <v>#REF!</v>
      </c>
      <c r="N175" s="11" t="e">
        <f aca="false">IF(AND(#REF!,ISNUMBER(L175),L175&gt;0),((3*J175+K175)*#REF!-I175)/L175,"-")</f>
        <v>#REF!</v>
      </c>
      <c r="O175" s="8"/>
      <c r="P175" s="8"/>
    </row>
    <row r="176" customFormat="false" ht="15.75" hidden="false" customHeight="true" outlineLevel="0" collapsed="false">
      <c r="A176" s="7" t="s">
        <v>404</v>
      </c>
      <c r="B176" s="8" t="s">
        <v>400</v>
      </c>
      <c r="C176" s="8" t="n">
        <v>2018</v>
      </c>
      <c r="D176" s="9" t="s">
        <v>405</v>
      </c>
      <c r="E176" s="7" t="s">
        <v>406</v>
      </c>
      <c r="F176" s="10" t="n">
        <f aca="false">IF(ISBLANK($G176),,VLOOKUP($G176, Rarities!$A$1:$B869, 2, FALSE()))</f>
        <v>3</v>
      </c>
      <c r="G176" s="8" t="s">
        <v>53</v>
      </c>
      <c r="H176" s="8" t="str">
        <f aca="false">VLOOKUP(B176,Manufacturers!A$1:B869,2)</f>
        <v>US</v>
      </c>
      <c r="I176" s="11" t="n">
        <v>300000</v>
      </c>
      <c r="J176" s="8"/>
      <c r="K176" s="8" t="n">
        <v>1</v>
      </c>
      <c r="L176" s="12" t="n">
        <v>9</v>
      </c>
      <c r="M176" s="11" t="e">
        <f aca="false">IF(AND(ISNUMBER(L176),L176&gt;0),(3*J176+K176)*#REF!/L176,"-")</f>
        <v>#REF!</v>
      </c>
      <c r="N176" s="11" t="e">
        <f aca="false">IF(AND(#REF!,ISNUMBER(L176),L176&gt;0),((3*J176+K176)*#REF!-I176)/L176,"-")</f>
        <v>#REF!</v>
      </c>
      <c r="O176" s="8"/>
      <c r="P176" s="8"/>
    </row>
    <row r="177" customFormat="false" ht="15.75" hidden="false" customHeight="true" outlineLevel="0" collapsed="false">
      <c r="A177" s="7" t="s">
        <v>407</v>
      </c>
      <c r="B177" s="8" t="s">
        <v>400</v>
      </c>
      <c r="C177" s="8" t="n">
        <v>2018</v>
      </c>
      <c r="D177" s="9" t="s">
        <v>408</v>
      </c>
      <c r="E177" s="7" t="s">
        <v>72</v>
      </c>
      <c r="F177" s="10" t="n">
        <f aca="false">IF(ISBLANK($G177),,VLOOKUP($G177, Rarities!$A$1:$B869, 2, FALSE()))</f>
        <v>3</v>
      </c>
      <c r="G177" s="8" t="s">
        <v>53</v>
      </c>
      <c r="H177" s="8" t="str">
        <f aca="false">VLOOKUP(B177,Manufacturers!A$1:B869,2)</f>
        <v>US</v>
      </c>
      <c r="I177" s="11" t="n">
        <v>250000</v>
      </c>
      <c r="J177" s="8" t="n">
        <v>1</v>
      </c>
      <c r="K177" s="8"/>
      <c r="L177" s="12" t="n">
        <v>20</v>
      </c>
      <c r="M177" s="11" t="e">
        <f aca="false">IF(AND(ISNUMBER(L177),L177&gt;0),(3*J177+K177)*#REF!/L177,"-")</f>
        <v>#REF!</v>
      </c>
      <c r="N177" s="11" t="e">
        <f aca="false">IF(AND(#REF!,ISNUMBER(L177),L177&gt;0),((3*J177+K177)*#REF!-I177)/L177,"-")</f>
        <v>#REF!</v>
      </c>
      <c r="O177" s="8"/>
      <c r="P177" s="8"/>
    </row>
    <row r="178" customFormat="false" ht="15.75" hidden="false" customHeight="true" outlineLevel="0" collapsed="false">
      <c r="A178" s="7" t="s">
        <v>409</v>
      </c>
      <c r="B178" s="8" t="s">
        <v>400</v>
      </c>
      <c r="C178" s="8" t="n">
        <v>2018</v>
      </c>
      <c r="D178" s="9" t="s">
        <v>410</v>
      </c>
      <c r="E178" s="7" t="s">
        <v>303</v>
      </c>
      <c r="F178" s="10" t="n">
        <f aca="false">IF(ISBLANK($G178),,VLOOKUP($G178, Rarities!$A$1:$B869, 2, FALSE()))</f>
        <v>3</v>
      </c>
      <c r="G178" s="8" t="s">
        <v>53</v>
      </c>
      <c r="H178" s="8" t="str">
        <f aca="false">VLOOKUP(B178,Manufacturers!A$1:B869,2)</f>
        <v>US</v>
      </c>
      <c r="I178" s="11" t="n">
        <v>500000</v>
      </c>
      <c r="J178" s="8"/>
      <c r="K178" s="8"/>
      <c r="L178" s="12"/>
      <c r="M178" s="11"/>
      <c r="N178" s="11"/>
      <c r="O178" s="8"/>
      <c r="P178" s="8"/>
    </row>
    <row r="179" customFormat="false" ht="15.75" hidden="false" customHeight="true" outlineLevel="0" collapsed="false">
      <c r="A179" s="7" t="s">
        <v>411</v>
      </c>
      <c r="B179" s="8" t="s">
        <v>400</v>
      </c>
      <c r="C179" s="8" t="n">
        <v>2019</v>
      </c>
      <c r="D179" s="9" t="s">
        <v>412</v>
      </c>
      <c r="E179" s="7" t="s">
        <v>72</v>
      </c>
      <c r="F179" s="10" t="n">
        <f aca="false">IF(ISBLANK($G179),,VLOOKUP($G179, Rarities!$A$1:$B869, 2, FALSE()))</f>
        <v>3</v>
      </c>
      <c r="G179" s="8" t="s">
        <v>53</v>
      </c>
      <c r="H179" s="8" t="str">
        <f aca="false">VLOOKUP(B179,Manufacturers!A$1:B869,2)</f>
        <v>US</v>
      </c>
      <c r="I179" s="11" t="n">
        <v>250000</v>
      </c>
      <c r="J179" s="8"/>
      <c r="K179" s="8"/>
      <c r="L179" s="12"/>
      <c r="M179" s="11"/>
      <c r="N179" s="11"/>
      <c r="O179" s="8"/>
      <c r="P179" s="8"/>
    </row>
    <row r="180" customFormat="false" ht="15.75" hidden="false" customHeight="true" outlineLevel="0" collapsed="false">
      <c r="A180" s="7" t="s">
        <v>413</v>
      </c>
      <c r="B180" s="8" t="s">
        <v>400</v>
      </c>
      <c r="C180" s="8" t="n">
        <v>2019</v>
      </c>
      <c r="D180" s="9" t="s">
        <v>414</v>
      </c>
      <c r="E180" s="7" t="s">
        <v>406</v>
      </c>
      <c r="F180" s="10" t="n">
        <f aca="false">IF(ISBLANK($G180),,VLOOKUP($G180, Rarities!$A$1:$B869, 2, FALSE()))</f>
        <v>1</v>
      </c>
      <c r="G180" s="8" t="s">
        <v>17</v>
      </c>
      <c r="H180" s="8" t="str">
        <f aca="false">VLOOKUP(B180,Manufacturers!A$1:B869,2)</f>
        <v>US</v>
      </c>
      <c r="I180" s="11" t="n">
        <v>500000</v>
      </c>
      <c r="J180" s="8"/>
      <c r="K180" s="8" t="n">
        <v>1</v>
      </c>
      <c r="L180" s="12" t="n">
        <v>9</v>
      </c>
      <c r="M180" s="11" t="e">
        <f aca="false">IF(AND(ISNUMBER(L180),L180&gt;0),(3*J180+K180)*#REF!/L180,"-")</f>
        <v>#REF!</v>
      </c>
      <c r="N180" s="11" t="e">
        <f aca="false">IF(AND(#REF!,ISNUMBER(L180),L180&gt;0),((3*J180+K180)*#REF!-I180)/L180,"-")</f>
        <v>#REF!</v>
      </c>
      <c r="O180" s="8"/>
      <c r="P180" s="8"/>
    </row>
    <row r="181" customFormat="false" ht="15.75" hidden="false" customHeight="true" outlineLevel="0" collapsed="false">
      <c r="A181" s="7" t="s">
        <v>415</v>
      </c>
      <c r="B181" s="8" t="s">
        <v>416</v>
      </c>
      <c r="C181" s="8" t="n">
        <v>1982</v>
      </c>
      <c r="D181" s="9" t="s">
        <v>417</v>
      </c>
      <c r="E181" s="7" t="s">
        <v>222</v>
      </c>
      <c r="F181" s="10" t="n">
        <f aca="false">IF(ISBLANK($G181),,VLOOKUP($G181, Rarities!$A$1:$B869, 2, FALSE()))</f>
        <v>4</v>
      </c>
      <c r="G181" s="8" t="s">
        <v>41</v>
      </c>
      <c r="H181" s="8" t="str">
        <f aca="false">VLOOKUP(B181,Manufacturers!A$1:B869,2)</f>
        <v>US</v>
      </c>
      <c r="I181" s="11" t="n">
        <v>15000</v>
      </c>
      <c r="J181" s="8" t="n">
        <v>1</v>
      </c>
      <c r="K181" s="8"/>
      <c r="L181" s="12" t="n">
        <v>14</v>
      </c>
      <c r="M181" s="11" t="e">
        <f aca="false">IF(AND(ISNUMBER(L181),L181&gt;0),(3*J181+K181)*#REF!/L181,"-")</f>
        <v>#REF!</v>
      </c>
      <c r="N181" s="11" t="e">
        <f aca="false">IF(AND(#REF!,ISNUMBER(L181),L181&gt;0),((3*J181+K181)*#REF!-I181)/L181,"-")</f>
        <v>#REF!</v>
      </c>
      <c r="O181" s="8"/>
      <c r="P181" s="8"/>
    </row>
    <row r="182" customFormat="false" ht="15.75" hidden="false" customHeight="true" outlineLevel="0" collapsed="false">
      <c r="A182" s="7" t="s">
        <v>418</v>
      </c>
      <c r="B182" s="8" t="s">
        <v>419</v>
      </c>
      <c r="C182" s="8" t="n">
        <v>1968</v>
      </c>
      <c r="D182" s="9" t="s">
        <v>420</v>
      </c>
      <c r="E182" s="7" t="s">
        <v>76</v>
      </c>
      <c r="F182" s="10" t="n">
        <f aca="false">IF(ISBLANK($G182),,VLOOKUP($G182, Rarities!$A$1:$B869, 2, FALSE()))</f>
        <v>4</v>
      </c>
      <c r="G182" s="8" t="s">
        <v>41</v>
      </c>
      <c r="H182" s="8" t="str">
        <f aca="false">VLOOKUP(B182,Manufacturers!A$1:B869,2)</f>
        <v>US</v>
      </c>
      <c r="I182" s="11" t="n">
        <v>300000</v>
      </c>
      <c r="J182" s="8"/>
      <c r="K182" s="8" t="n">
        <v>1</v>
      </c>
      <c r="L182" s="12" t="n">
        <v>9</v>
      </c>
      <c r="M182" s="11" t="e">
        <f aca="false">IF(AND(ISNUMBER(L182),L182&gt;0),(3*J182+K182)*#REF!/L182,"-")</f>
        <v>#REF!</v>
      </c>
      <c r="N182" s="11" t="e">
        <f aca="false">IF(AND(#REF!,ISNUMBER(L182),L182&gt;0),((3*J182+K182)*#REF!-I182)/L182,"-")</f>
        <v>#REF!</v>
      </c>
      <c r="O182" s="8"/>
      <c r="P182" s="8"/>
    </row>
    <row r="183" customFormat="false" ht="15.75" hidden="false" customHeight="true" outlineLevel="0" collapsed="false">
      <c r="A183" s="7" t="s">
        <v>421</v>
      </c>
      <c r="B183" s="8" t="s">
        <v>419</v>
      </c>
      <c r="C183" s="8" t="n">
        <v>1969</v>
      </c>
      <c r="D183" s="9" t="s">
        <v>422</v>
      </c>
      <c r="E183" s="7" t="s">
        <v>111</v>
      </c>
      <c r="F183" s="10" t="n">
        <f aca="false">IF(ISBLANK($G183),,VLOOKUP($G183, Rarities!$A$1:$B869, 2, FALSE()))</f>
        <v>5</v>
      </c>
      <c r="G183" s="8" t="s">
        <v>239</v>
      </c>
      <c r="H183" s="8" t="str">
        <f aca="false">VLOOKUP(B183,Manufacturers!A$1:B869,2)</f>
        <v>US</v>
      </c>
      <c r="I183" s="11" t="n">
        <v>70000</v>
      </c>
      <c r="J183" s="8" t="n">
        <v>1</v>
      </c>
      <c r="K183" s="8"/>
      <c r="L183" s="12" t="n">
        <v>11</v>
      </c>
      <c r="M183" s="11" t="e">
        <f aca="false">IF(AND(ISNUMBER(L183),L183&gt;0),(3*J183+K183)*#REF!/L183,"-")</f>
        <v>#REF!</v>
      </c>
      <c r="N183" s="11" t="e">
        <f aca="false">IF(AND(#REF!,ISNUMBER(L183),L183&gt;0),((3*J183+K183)*#REF!-I183)/L183,"-")</f>
        <v>#REF!</v>
      </c>
      <c r="O183" s="8"/>
      <c r="P183" s="8"/>
    </row>
    <row r="184" customFormat="false" ht="15.75" hidden="false" customHeight="true" outlineLevel="0" collapsed="false">
      <c r="A184" s="7" t="s">
        <v>423</v>
      </c>
      <c r="B184" s="8" t="s">
        <v>419</v>
      </c>
      <c r="C184" s="8" t="n">
        <v>1969</v>
      </c>
      <c r="D184" s="8" t="s">
        <v>424</v>
      </c>
      <c r="E184" s="7" t="s">
        <v>76</v>
      </c>
      <c r="F184" s="10" t="n">
        <f aca="false">IF(ISBLANK($G184),,VLOOKUP($G184, Rarities!$A$1:$B869, 2, FALSE()))</f>
        <v>3</v>
      </c>
      <c r="G184" s="8" t="s">
        <v>53</v>
      </c>
      <c r="H184" s="8" t="str">
        <f aca="false">VLOOKUP(B184,Manufacturers!A$1:B869,2)</f>
        <v>US</v>
      </c>
      <c r="I184" s="11" t="n">
        <v>900000</v>
      </c>
      <c r="J184" s="8"/>
      <c r="K184" s="8" t="n">
        <v>2</v>
      </c>
      <c r="L184" s="12" t="n">
        <v>14</v>
      </c>
      <c r="M184" s="11" t="e">
        <f aca="false">IF(AND(ISNUMBER(L184),L184&gt;0),(3*J184+K184)*#REF!/L184,"-")</f>
        <v>#REF!</v>
      </c>
      <c r="N184" s="11" t="e">
        <f aca="false">IF(AND(#REF!,ISNUMBER(L184),L184&gt;0),((3*J184+K184)*#REF!-I184)/L184,"-")</f>
        <v>#REF!</v>
      </c>
      <c r="O184" s="8"/>
      <c r="P184" s="8"/>
    </row>
    <row r="185" customFormat="false" ht="15.75" hidden="false" customHeight="true" outlineLevel="0" collapsed="false">
      <c r="A185" s="7" t="s">
        <v>425</v>
      </c>
      <c r="B185" s="8" t="s">
        <v>419</v>
      </c>
      <c r="C185" s="8" t="n">
        <v>1969</v>
      </c>
      <c r="D185" s="9" t="s">
        <v>426</v>
      </c>
      <c r="E185" s="7" t="s">
        <v>76</v>
      </c>
      <c r="F185" s="10" t="n">
        <f aca="false">IF(ISBLANK($G185),,VLOOKUP($G185, Rarities!$A$1:$B869, 2, FALSE()))</f>
        <v>2</v>
      </c>
      <c r="G185" s="8" t="s">
        <v>36</v>
      </c>
      <c r="H185" s="8" t="str">
        <f aca="false">VLOOKUP(B185,Manufacturers!A$1:B869,2)</f>
        <v>US</v>
      </c>
      <c r="I185" s="11" t="n">
        <v>103000</v>
      </c>
      <c r="J185" s="8"/>
      <c r="K185" s="8" t="n">
        <v>2</v>
      </c>
      <c r="L185" s="12" t="n">
        <v>14</v>
      </c>
      <c r="M185" s="11" t="e">
        <f aca="false">IF(AND(ISNUMBER(L185),L185&gt;0),(3*J185+K185)*#REF!/L185,"-")</f>
        <v>#REF!</v>
      </c>
      <c r="N185" s="11" t="e">
        <f aca="false">IF(AND(#REF!,ISNUMBER(L185),L185&gt;0),((3*J185+K185)*#REF!-I185)/L185,"-")</f>
        <v>#REF!</v>
      </c>
      <c r="O185" s="8"/>
      <c r="P185" s="8"/>
    </row>
    <row r="186" customFormat="false" ht="15.75" hidden="false" customHeight="true" outlineLevel="0" collapsed="false">
      <c r="A186" s="7" t="s">
        <v>427</v>
      </c>
      <c r="B186" s="8" t="s">
        <v>419</v>
      </c>
      <c r="C186" s="8" t="n">
        <v>1970</v>
      </c>
      <c r="D186" s="9" t="s">
        <v>428</v>
      </c>
      <c r="E186" s="7" t="s">
        <v>76</v>
      </c>
      <c r="F186" s="10" t="n">
        <f aca="false">IF(ISBLANK($G186),,VLOOKUP($G186, Rarities!$A$1:$B869, 2, FALSE()))</f>
        <v>3</v>
      </c>
      <c r="G186" s="8" t="s">
        <v>53</v>
      </c>
      <c r="H186" s="8" t="str">
        <f aca="false">VLOOKUP(B186,Manufacturers!A$1:B869,2)</f>
        <v>US</v>
      </c>
      <c r="I186" s="11" t="n">
        <v>210000</v>
      </c>
      <c r="J186" s="8"/>
      <c r="K186" s="8" t="n">
        <v>2</v>
      </c>
      <c r="L186" s="12" t="n">
        <v>14</v>
      </c>
      <c r="M186" s="11" t="e">
        <f aca="false">IF(AND(ISNUMBER(L186),L186&gt;0),(3*J186+K186)*#REF!/L186,"-")</f>
        <v>#REF!</v>
      </c>
      <c r="N186" s="11" t="e">
        <f aca="false">IF(AND(#REF!,ISNUMBER(L186),L186&gt;0),((3*J186+K186)*#REF!-I186)/L186,"-")</f>
        <v>#REF!</v>
      </c>
      <c r="O186" s="8"/>
      <c r="P186" s="8"/>
    </row>
    <row r="187" customFormat="false" ht="15.75" hidden="false" customHeight="true" outlineLevel="0" collapsed="false">
      <c r="A187" s="7" t="s">
        <v>429</v>
      </c>
      <c r="B187" s="8" t="s">
        <v>419</v>
      </c>
      <c r="C187" s="8" t="n">
        <v>1970</v>
      </c>
      <c r="D187" s="9" t="s">
        <v>430</v>
      </c>
      <c r="E187" s="7" t="s">
        <v>76</v>
      </c>
      <c r="F187" s="10" t="n">
        <f aca="false">IF(ISBLANK($G187),,VLOOKUP($G187, Rarities!$A$1:$B869, 2, FALSE()))</f>
        <v>2</v>
      </c>
      <c r="G187" s="8" t="s">
        <v>36</v>
      </c>
      <c r="H187" s="8" t="str">
        <f aca="false">VLOOKUP(B187,Manufacturers!A$1:B869,2)</f>
        <v>US</v>
      </c>
      <c r="I187" s="11" t="n">
        <v>250000</v>
      </c>
      <c r="J187" s="8"/>
      <c r="K187" s="8"/>
      <c r="L187" s="12"/>
      <c r="M187" s="11"/>
      <c r="N187" s="11"/>
      <c r="O187" s="8"/>
      <c r="P187" s="8"/>
    </row>
    <row r="188" customFormat="false" ht="15.75" hidden="false" customHeight="true" outlineLevel="0" collapsed="false">
      <c r="A188" s="7" t="s">
        <v>431</v>
      </c>
      <c r="B188" s="8" t="s">
        <v>419</v>
      </c>
      <c r="C188" s="8" t="n">
        <v>1999</v>
      </c>
      <c r="D188" s="9" t="s">
        <v>432</v>
      </c>
      <c r="E188" s="7" t="s">
        <v>295</v>
      </c>
      <c r="F188" s="10" t="n">
        <f aca="false">IF(ISBLANK($G188),,VLOOKUP($G188, Rarities!$A$1:$B869, 2, FALSE()))</f>
        <v>4</v>
      </c>
      <c r="G188" s="8" t="s">
        <v>41</v>
      </c>
      <c r="H188" s="8" t="str">
        <f aca="false">VLOOKUP(B188,Manufacturers!A$1:B869,2)</f>
        <v>US</v>
      </c>
      <c r="I188" s="11" t="n">
        <v>75000</v>
      </c>
      <c r="J188" s="8" t="n">
        <v>1</v>
      </c>
      <c r="K188" s="8"/>
      <c r="L188" s="12" t="n">
        <v>18</v>
      </c>
      <c r="M188" s="11" t="e">
        <f aca="false">IF(AND(ISNUMBER(L188),L188&gt;0),(3*J188+K188)*#REF!/L188,"-")</f>
        <v>#REF!</v>
      </c>
      <c r="N188" s="11" t="e">
        <f aca="false">IF(AND(#REF!,ISNUMBER(L188),L188&gt;0),((3*J188+K188)*#REF!-I188)/L188,"-")</f>
        <v>#REF!</v>
      </c>
      <c r="O188" s="8"/>
      <c r="P188" s="8"/>
    </row>
    <row r="189" customFormat="false" ht="15.75" hidden="false" customHeight="true" outlineLevel="0" collapsed="false">
      <c r="A189" s="7" t="s">
        <v>433</v>
      </c>
      <c r="B189" s="8" t="s">
        <v>419</v>
      </c>
      <c r="C189" s="8" t="n">
        <v>2008</v>
      </c>
      <c r="D189" s="9" t="s">
        <v>434</v>
      </c>
      <c r="E189" s="7" t="s">
        <v>303</v>
      </c>
      <c r="F189" s="10" t="n">
        <f aca="false">IF(ISBLANK($G189),,VLOOKUP($G189, Rarities!$A$1:$B869, 2, FALSE()))</f>
        <v>2</v>
      </c>
      <c r="G189" s="8" t="s">
        <v>36</v>
      </c>
      <c r="H189" s="8" t="str">
        <f aca="false">VLOOKUP(B189,Manufacturers!A$1:B869,2)</f>
        <v>US</v>
      </c>
      <c r="I189" s="11" t="n">
        <v>35000</v>
      </c>
      <c r="J189" s="8"/>
      <c r="K189" s="8"/>
      <c r="L189" s="12"/>
      <c r="M189" s="11"/>
      <c r="N189" s="11"/>
      <c r="O189" s="8"/>
      <c r="P189" s="8"/>
    </row>
    <row r="190" customFormat="false" ht="15.75" hidden="false" customHeight="true" outlineLevel="0" collapsed="false">
      <c r="A190" s="7" t="s">
        <v>435</v>
      </c>
      <c r="B190" s="8" t="s">
        <v>419</v>
      </c>
      <c r="C190" s="8" t="n">
        <v>2008</v>
      </c>
      <c r="D190" s="9" t="s">
        <v>436</v>
      </c>
      <c r="E190" s="7" t="s">
        <v>111</v>
      </c>
      <c r="F190" s="10" t="n">
        <f aca="false">IF(ISBLANK($G190),,VLOOKUP($G190, Rarities!$A$1:$B869, 2, FALSE()))</f>
        <v>2</v>
      </c>
      <c r="G190" s="8" t="s">
        <v>36</v>
      </c>
      <c r="H190" s="8" t="str">
        <f aca="false">VLOOKUP(B190,Manufacturers!A$1:B869,2)</f>
        <v>US</v>
      </c>
      <c r="I190" s="11" t="n">
        <v>90000</v>
      </c>
      <c r="J190" s="8" t="n">
        <v>1</v>
      </c>
      <c r="K190" s="8"/>
      <c r="L190" s="12" t="n">
        <v>14</v>
      </c>
      <c r="M190" s="11" t="e">
        <f aca="false">IF(AND(ISNUMBER(L190),L190&gt;0),(3*J190+K190)*#REF!/L190,"-")</f>
        <v>#REF!</v>
      </c>
      <c r="N190" s="11" t="e">
        <f aca="false">IF(AND(#REF!,ISNUMBER(L190),L190&gt;0),((3*J190+K190)*#REF!-I190)/L190,"-")</f>
        <v>#REF!</v>
      </c>
      <c r="O190" s="8"/>
      <c r="P190" s="8"/>
    </row>
    <row r="191" customFormat="false" ht="15.75" hidden="false" customHeight="true" outlineLevel="0" collapsed="false">
      <c r="A191" s="7" t="s">
        <v>437</v>
      </c>
      <c r="B191" s="8" t="s">
        <v>419</v>
      </c>
      <c r="C191" s="8" t="n">
        <v>2013</v>
      </c>
      <c r="D191" s="9" t="s">
        <v>438</v>
      </c>
      <c r="E191" s="7" t="s">
        <v>303</v>
      </c>
      <c r="F191" s="10" t="n">
        <f aca="false">IF(ISBLANK($G191),,VLOOKUP($G191, Rarities!$A$1:$B869, 2, FALSE()))</f>
        <v>6</v>
      </c>
      <c r="G191" s="8" t="s">
        <v>439</v>
      </c>
      <c r="H191" s="8" t="str">
        <f aca="false">VLOOKUP(B191,Manufacturers!A$1:B869,2)</f>
        <v>US</v>
      </c>
      <c r="I191" s="11" t="n">
        <v>250000</v>
      </c>
      <c r="J191" s="8"/>
      <c r="K191" s="8"/>
      <c r="L191" s="12"/>
      <c r="M191" s="11"/>
      <c r="N191" s="11"/>
      <c r="O191" s="8"/>
      <c r="P191" s="8"/>
    </row>
    <row r="192" customFormat="false" ht="15.75" hidden="false" customHeight="true" outlineLevel="0" collapsed="false">
      <c r="A192" s="7" t="s">
        <v>440</v>
      </c>
      <c r="B192" s="8" t="s">
        <v>419</v>
      </c>
      <c r="C192" s="8" t="n">
        <v>2013</v>
      </c>
      <c r="D192" s="9" t="s">
        <v>441</v>
      </c>
      <c r="E192" s="7" t="s">
        <v>303</v>
      </c>
      <c r="F192" s="10" t="n">
        <f aca="false">IF(ISBLANK($G192),,VLOOKUP($G192, Rarities!$A$1:$B869, 2, FALSE()))</f>
        <v>2</v>
      </c>
      <c r="G192" s="8" t="s">
        <v>36</v>
      </c>
      <c r="H192" s="8" t="str">
        <f aca="false">VLOOKUP(B192,Manufacturers!A$1:B869,2)</f>
        <v>US</v>
      </c>
      <c r="I192" s="11" t="n">
        <v>95000</v>
      </c>
      <c r="J192" s="8"/>
      <c r="K192" s="8" t="n">
        <v>2</v>
      </c>
      <c r="L192" s="12" t="n">
        <v>14</v>
      </c>
      <c r="M192" s="11" t="e">
        <f aca="false">IF(AND(ISNUMBER(L192),L192&gt;0),(3*J192+K192)*#REF!/L192,"-")</f>
        <v>#REF!</v>
      </c>
      <c r="N192" s="11" t="e">
        <f aca="false">IF(AND(#REF!,ISNUMBER(L192),L192&gt;0),((3*J192+K192)*#REF!-I192)/L192,"-")</f>
        <v>#REF!</v>
      </c>
      <c r="O192" s="8"/>
      <c r="P192" s="8"/>
    </row>
    <row r="193" customFormat="false" ht="15.75" hidden="false" customHeight="true" outlineLevel="0" collapsed="false">
      <c r="A193" s="7" t="s">
        <v>442</v>
      </c>
      <c r="B193" s="8" t="s">
        <v>419</v>
      </c>
      <c r="C193" s="8" t="n">
        <v>2015</v>
      </c>
      <c r="D193" s="9" t="s">
        <v>443</v>
      </c>
      <c r="E193" s="7" t="s">
        <v>303</v>
      </c>
      <c r="F193" s="10" t="n">
        <f aca="false">IF(ISBLANK($G193),,VLOOKUP($G193, Rarities!$A$1:$B869, 2, FALSE()))</f>
        <v>2</v>
      </c>
      <c r="G193" s="8" t="s">
        <v>36</v>
      </c>
      <c r="H193" s="8" t="str">
        <f aca="false">VLOOKUP(B193,Manufacturers!A$1:B869,2)</f>
        <v>US</v>
      </c>
      <c r="I193" s="11" t="n">
        <v>75000</v>
      </c>
      <c r="J193" s="8"/>
      <c r="K193" s="8" t="n">
        <v>1</v>
      </c>
      <c r="L193" s="12" t="n">
        <v>9</v>
      </c>
      <c r="M193" s="11" t="e">
        <f aca="false">IF(AND(ISNUMBER(L193),L193&gt;0),(3*J193+K193)*#REF!/L193,"-")</f>
        <v>#REF!</v>
      </c>
      <c r="N193" s="11" t="e">
        <f aca="false">IF(AND(#REF!,ISNUMBER(L193),L193&gt;0),((3*J193+K193)*#REF!-I193)/L193,"-")</f>
        <v>#REF!</v>
      </c>
      <c r="O193" s="8"/>
      <c r="P193" s="8"/>
    </row>
    <row r="194" customFormat="false" ht="15.75" hidden="false" customHeight="true" outlineLevel="0" collapsed="false">
      <c r="A194" s="7" t="s">
        <v>444</v>
      </c>
      <c r="B194" s="8" t="s">
        <v>419</v>
      </c>
      <c r="C194" s="8" t="n">
        <v>2015</v>
      </c>
      <c r="D194" s="9" t="s">
        <v>445</v>
      </c>
      <c r="E194" s="7" t="s">
        <v>303</v>
      </c>
      <c r="F194" s="10" t="n">
        <f aca="false">IF(ISBLANK($G194),,VLOOKUP($G194, Rarities!$A$1:$B869, 2, FALSE()))</f>
        <v>2</v>
      </c>
      <c r="G194" s="8" t="s">
        <v>36</v>
      </c>
      <c r="H194" s="8" t="str">
        <f aca="false">VLOOKUP(B194,Manufacturers!A$1:B869,2)</f>
        <v>US</v>
      </c>
      <c r="I194" s="11" t="n">
        <v>80000</v>
      </c>
      <c r="J194" s="8"/>
      <c r="K194" s="8" t="n">
        <v>2</v>
      </c>
      <c r="L194" s="12" t="n">
        <v>14</v>
      </c>
      <c r="M194" s="11" t="e">
        <f aca="false">IF(AND(ISNUMBER(L194),L194&gt;0),(3*J194+K194)*#REF!/L194,"-")</f>
        <v>#REF!</v>
      </c>
      <c r="N194" s="11" t="e">
        <f aca="false">IF(AND(#REF!,ISNUMBER(L194),L194&gt;0),((3*J194+K194)*#REF!-I194)/L194,"-")</f>
        <v>#REF!</v>
      </c>
      <c r="O194" s="8"/>
      <c r="P194" s="8"/>
    </row>
    <row r="195" customFormat="false" ht="15.75" hidden="false" customHeight="true" outlineLevel="0" collapsed="false">
      <c r="A195" s="7" t="s">
        <v>446</v>
      </c>
      <c r="B195" s="8" t="s">
        <v>419</v>
      </c>
      <c r="C195" s="8" t="n">
        <v>2016</v>
      </c>
      <c r="D195" s="9" t="s">
        <v>447</v>
      </c>
      <c r="E195" s="7" t="s">
        <v>111</v>
      </c>
      <c r="F195" s="10" t="n">
        <f aca="false">IF(ISBLANK($G195),,VLOOKUP($G195, Rarities!$A$1:$B869, 2, FALSE()))</f>
        <v>3</v>
      </c>
      <c r="G195" s="8" t="s">
        <v>53</v>
      </c>
      <c r="H195" s="8" t="str">
        <f aca="false">VLOOKUP(B195,Manufacturers!A$1:B869,2)</f>
        <v>US</v>
      </c>
      <c r="I195" s="11" t="n">
        <v>150000</v>
      </c>
      <c r="J195" s="8"/>
      <c r="K195" s="8" t="n">
        <v>2</v>
      </c>
      <c r="L195" s="12" t="n">
        <v>14</v>
      </c>
      <c r="M195" s="11" t="e">
        <f aca="false">IF(AND(ISNUMBER(L195),L195&gt;0),(3*J195+K195)*#REF!/L195,"-")</f>
        <v>#REF!</v>
      </c>
      <c r="N195" s="11" t="e">
        <f aca="false">IF(AND(#REF!,ISNUMBER(L195),L195&gt;0),((3*J195+K195)*#REF!-I195)/L195,"-")</f>
        <v>#REF!</v>
      </c>
      <c r="O195" s="8"/>
      <c r="P195" s="8"/>
    </row>
    <row r="196" customFormat="false" ht="15.75" hidden="false" customHeight="true" outlineLevel="0" collapsed="false">
      <c r="A196" s="7" t="s">
        <v>448</v>
      </c>
      <c r="B196" s="8" t="s">
        <v>419</v>
      </c>
      <c r="C196" s="8" t="n">
        <v>2018</v>
      </c>
      <c r="D196" s="9" t="s">
        <v>449</v>
      </c>
      <c r="E196" s="7" t="s">
        <v>303</v>
      </c>
      <c r="F196" s="10" t="n">
        <f aca="false">IF(ISBLANK($G196),,VLOOKUP($G196, Rarities!$A$1:$B869, 2, FALSE()))</f>
        <v>2</v>
      </c>
      <c r="G196" s="8" t="s">
        <v>36</v>
      </c>
      <c r="H196" s="8" t="str">
        <f aca="false">VLOOKUP(B196,Manufacturers!A$1:B869,2)</f>
        <v>US</v>
      </c>
      <c r="I196" s="11" t="n">
        <v>150000</v>
      </c>
      <c r="J196" s="8"/>
      <c r="K196" s="8" t="n">
        <v>2</v>
      </c>
      <c r="L196" s="12" t="n">
        <v>14</v>
      </c>
      <c r="M196" s="11" t="e">
        <f aca="false">IF(AND(ISNUMBER(L196),L196&gt;0),(3*J196+K196)*#REF!/L196,"-")</f>
        <v>#REF!</v>
      </c>
      <c r="N196" s="11" t="e">
        <f aca="false">IF(AND(#REF!,ISNUMBER(L196),L196&gt;0),((3*J196+K196)*#REF!-I196)/L196,"-")</f>
        <v>#REF!</v>
      </c>
      <c r="O196" s="8"/>
      <c r="P196" s="8"/>
    </row>
    <row r="197" customFormat="false" ht="15.75" hidden="false" customHeight="true" outlineLevel="0" collapsed="false">
      <c r="A197" s="7" t="s">
        <v>450</v>
      </c>
      <c r="B197" s="8" t="s">
        <v>419</v>
      </c>
      <c r="C197" s="8" t="n">
        <v>2018</v>
      </c>
      <c r="D197" s="9" t="s">
        <v>451</v>
      </c>
      <c r="E197" s="7" t="s">
        <v>125</v>
      </c>
      <c r="F197" s="10" t="n">
        <f aca="false">IF(ISBLANK($G197),,VLOOKUP($G197, Rarities!$A$1:$B869, 2, FALSE()))</f>
        <v>1</v>
      </c>
      <c r="G197" s="8" t="s">
        <v>17</v>
      </c>
      <c r="H197" s="8" t="str">
        <f aca="false">VLOOKUP(B197,Manufacturers!A$1:B869,2)</f>
        <v>US</v>
      </c>
      <c r="I197" s="11" t="n">
        <v>70000</v>
      </c>
      <c r="J197" s="8"/>
      <c r="K197" s="8" t="n">
        <v>1</v>
      </c>
      <c r="L197" s="12" t="n">
        <v>9</v>
      </c>
      <c r="M197" s="11" t="e">
        <f aca="false">IF(AND(ISNUMBER(L197),L197&gt;0),(3*J197+K197)*#REF!/L197,"-")</f>
        <v>#REF!</v>
      </c>
      <c r="N197" s="11" t="e">
        <f aca="false">IF(AND(#REF!,ISNUMBER(L197),L197&gt;0),((3*J197+K197)*#REF!-I197)/L197,"-")</f>
        <v>#REF!</v>
      </c>
      <c r="O197" s="8"/>
      <c r="P197" s="8"/>
    </row>
    <row r="198" customFormat="false" ht="15.75" hidden="false" customHeight="true" outlineLevel="0" collapsed="false">
      <c r="A198" s="7" t="s">
        <v>452</v>
      </c>
      <c r="B198" s="8" t="s">
        <v>453</v>
      </c>
      <c r="C198" s="8" t="n">
        <v>2013</v>
      </c>
      <c r="D198" s="9" t="s">
        <v>454</v>
      </c>
      <c r="E198" s="7" t="s">
        <v>111</v>
      </c>
      <c r="F198" s="10" t="n">
        <f aca="false">IF(ISBLANK($G198),,VLOOKUP($G198, Rarities!$A$1:$B869, 2, FALSE()))</f>
        <v>3</v>
      </c>
      <c r="G198" s="8" t="s">
        <v>53</v>
      </c>
      <c r="H198" s="8" t="str">
        <f aca="false">VLOOKUP(B198,Manufacturers!A$1:B869,2)</f>
        <v>NL</v>
      </c>
      <c r="I198" s="11" t="n">
        <v>250000</v>
      </c>
      <c r="J198" s="8"/>
      <c r="K198" s="8" t="n">
        <v>1</v>
      </c>
      <c r="L198" s="12" t="n">
        <v>9</v>
      </c>
      <c r="M198" s="11" t="e">
        <f aca="false">IF(AND(ISNUMBER(L198),L198&gt;0),(3*J198+K198)*#REF!/L198,"-")</f>
        <v>#REF!</v>
      </c>
      <c r="N198" s="11" t="e">
        <f aca="false">IF(AND(#REF!,ISNUMBER(L198),L198&gt;0),((3*J198+K198)*#REF!-I198)/L198,"-")</f>
        <v>#REF!</v>
      </c>
      <c r="O198" s="8"/>
      <c r="P198" s="8"/>
    </row>
    <row r="199" customFormat="false" ht="15.75" hidden="false" customHeight="true" outlineLevel="0" collapsed="false">
      <c r="A199" s="7" t="s">
        <v>455</v>
      </c>
      <c r="B199" s="8" t="s">
        <v>456</v>
      </c>
      <c r="C199" s="8" t="n">
        <v>1975</v>
      </c>
      <c r="D199" s="9" t="s">
        <v>457</v>
      </c>
      <c r="E199" s="7" t="s">
        <v>16</v>
      </c>
      <c r="F199" s="10" t="n">
        <f aca="false">IF(ISBLANK($G199),,VLOOKUP($G199, Rarities!$A$1:$B869, 2, FALSE()))</f>
        <v>1</v>
      </c>
      <c r="G199" s="8" t="s">
        <v>17</v>
      </c>
      <c r="H199" s="8" t="str">
        <f aca="false">VLOOKUP(B199,Manufacturers!A$1:B869,2)</f>
        <v>FR</v>
      </c>
      <c r="I199" s="11" t="n">
        <v>250000</v>
      </c>
      <c r="J199" s="8"/>
      <c r="K199" s="8"/>
      <c r="L199" s="12"/>
      <c r="M199" s="11"/>
      <c r="N199" s="11"/>
      <c r="O199" s="8"/>
      <c r="P199" s="8"/>
    </row>
    <row r="200" customFormat="false" ht="15.75" hidden="false" customHeight="true" outlineLevel="0" collapsed="false">
      <c r="A200" s="7" t="s">
        <v>458</v>
      </c>
      <c r="B200" s="8" t="s">
        <v>459</v>
      </c>
      <c r="C200" s="8" t="n">
        <v>2012</v>
      </c>
      <c r="D200" s="9" t="s">
        <v>460</v>
      </c>
      <c r="E200" s="7" t="s">
        <v>26</v>
      </c>
      <c r="F200" s="10" t="n">
        <f aca="false">IF(ISBLANK($G200),,VLOOKUP($G200, Rarities!$A$1:$B869, 2, FALSE()))</f>
        <v>4</v>
      </c>
      <c r="G200" s="8" t="s">
        <v>41</v>
      </c>
      <c r="H200" s="8" t="str">
        <f aca="false">VLOOKUP(B200,Manufacturers!A$1:B869,2)</f>
        <v>GB</v>
      </c>
      <c r="I200" s="11" t="n">
        <v>550000</v>
      </c>
      <c r="J200" s="8"/>
      <c r="K200" s="8"/>
      <c r="L200" s="12"/>
      <c r="M200" s="11"/>
      <c r="N200" s="11"/>
      <c r="O200" s="8"/>
      <c r="P200" s="8"/>
    </row>
    <row r="201" customFormat="false" ht="15.75" hidden="false" customHeight="true" outlineLevel="0" collapsed="false">
      <c r="A201" s="7" t="s">
        <v>461</v>
      </c>
      <c r="B201" s="8" t="s">
        <v>462</v>
      </c>
      <c r="C201" s="8" t="n">
        <v>2019</v>
      </c>
      <c r="D201" s="9" t="s">
        <v>463</v>
      </c>
      <c r="E201" s="7" t="s">
        <v>111</v>
      </c>
      <c r="F201" s="10" t="n">
        <f aca="false">IF(ISBLANK($G201),,VLOOKUP($G201, Rarities!$A$1:$B869, 2, FALSE()))</f>
        <v>2</v>
      </c>
      <c r="G201" s="8" t="s">
        <v>36</v>
      </c>
      <c r="H201" s="8" t="str">
        <f aca="false">VLOOKUP(B201,Manufacturers!A$1:B869,2)</f>
        <v>GB</v>
      </c>
      <c r="I201" s="11" t="n">
        <v>150000</v>
      </c>
      <c r="J201" s="8"/>
      <c r="K201" s="8"/>
      <c r="L201" s="12"/>
      <c r="M201" s="11"/>
      <c r="N201" s="11"/>
      <c r="O201" s="8"/>
      <c r="P201" s="8"/>
    </row>
    <row r="202" customFormat="false" ht="15.75" hidden="false" customHeight="true" outlineLevel="0" collapsed="false">
      <c r="A202" s="7" t="s">
        <v>464</v>
      </c>
      <c r="B202" s="8" t="s">
        <v>465</v>
      </c>
      <c r="C202" s="8" t="n">
        <v>2018</v>
      </c>
      <c r="D202" s="9" t="s">
        <v>466</v>
      </c>
      <c r="E202" s="7" t="s">
        <v>139</v>
      </c>
      <c r="F202" s="10" t="n">
        <f aca="false">IF(ISBLANK($G202),,VLOOKUP($G202, Rarities!$A$1:$B869, 2, FALSE()))</f>
        <v>5</v>
      </c>
      <c r="G202" s="8" t="s">
        <v>239</v>
      </c>
      <c r="H202" s="8" t="str">
        <f aca="false">VLOOKUP(B202,Manufacturers!A$1:B869,2)</f>
        <v>US</v>
      </c>
      <c r="I202" s="11" t="n">
        <v>500000</v>
      </c>
      <c r="J202" s="8"/>
      <c r="K202" s="8" t="n">
        <v>2</v>
      </c>
      <c r="L202" s="12" t="n">
        <v>16</v>
      </c>
      <c r="M202" s="11" t="e">
        <f aca="false">IF(AND(ISNUMBER(L202),L202&gt;0),(3*J202+K202)*#REF!/L202,"-")</f>
        <v>#REF!</v>
      </c>
      <c r="N202" s="11" t="e">
        <f aca="false">IF(AND(#REF!,ISNUMBER(L202),L202&gt;0),((3*J202+K202)*#REF!-I202)/L202,"-")</f>
        <v>#REF!</v>
      </c>
      <c r="O202" s="8"/>
      <c r="P202" s="8"/>
    </row>
    <row r="203" customFormat="false" ht="15.75" hidden="false" customHeight="true" outlineLevel="0" collapsed="false">
      <c r="A203" s="7" t="s">
        <v>467</v>
      </c>
      <c r="B203" s="8" t="s">
        <v>465</v>
      </c>
      <c r="C203" s="8" t="n">
        <v>2018</v>
      </c>
      <c r="D203" s="9" t="s">
        <v>467</v>
      </c>
      <c r="E203" s="7" t="s">
        <v>67</v>
      </c>
      <c r="F203" s="10" t="n">
        <f aca="false">IF(ISBLANK($G203),,VLOOKUP($G203, Rarities!$A$1:$B869, 2, FALSE()))</f>
        <v>2</v>
      </c>
      <c r="G203" s="8" t="s">
        <v>36</v>
      </c>
      <c r="H203" s="8" t="str">
        <f aca="false">VLOOKUP(B203,Manufacturers!A$1:B869,2)</f>
        <v>US</v>
      </c>
      <c r="I203" s="11" t="n">
        <v>50000</v>
      </c>
      <c r="J203" s="8"/>
      <c r="K203" s="8" t="n">
        <v>1</v>
      </c>
      <c r="L203" s="12" t="n">
        <v>14</v>
      </c>
      <c r="M203" s="11" t="e">
        <f aca="false">IF(AND(ISNUMBER(L203),L203&gt;0),(3*J203+K203)*#REF!/L203,"-")</f>
        <v>#REF!</v>
      </c>
      <c r="N203" s="11" t="e">
        <f aca="false">IF(AND(#REF!,ISNUMBER(L203),L203&gt;0),((3*J203+K203)*#REF!-I203)/L203,"-")</f>
        <v>#REF!</v>
      </c>
      <c r="O203" s="8"/>
      <c r="P203" s="8"/>
    </row>
    <row r="204" customFormat="false" ht="15.75" hidden="false" customHeight="true" outlineLevel="0" collapsed="false">
      <c r="A204" s="7" t="s">
        <v>468</v>
      </c>
      <c r="B204" s="8" t="s">
        <v>469</v>
      </c>
      <c r="C204" s="8" t="n">
        <v>2022</v>
      </c>
      <c r="D204" s="9" t="s">
        <v>470</v>
      </c>
      <c r="E204" s="7" t="s">
        <v>72</v>
      </c>
      <c r="F204" s="10" t="n">
        <f aca="false">IF(ISBLANK($G204),,VLOOKUP($G204, Rarities!$A$1:$B869, 2, FALSE()))</f>
        <v>2</v>
      </c>
      <c r="G204" s="8" t="s">
        <v>36</v>
      </c>
      <c r="H204" s="8" t="str">
        <f aca="false">VLOOKUP(B204,Manufacturers!A$1:B869,2)</f>
        <v>FR</v>
      </c>
      <c r="I204" s="11" t="n">
        <v>700000</v>
      </c>
      <c r="J204" s="8"/>
      <c r="K204" s="8"/>
      <c r="L204" s="12"/>
      <c r="M204" s="11"/>
      <c r="N204" s="11"/>
      <c r="O204" s="8"/>
      <c r="P204" s="8"/>
    </row>
    <row r="205" customFormat="false" ht="15.75" hidden="false" customHeight="true" outlineLevel="0" collapsed="false">
      <c r="A205" s="7" t="s">
        <v>471</v>
      </c>
      <c r="B205" s="8" t="s">
        <v>469</v>
      </c>
      <c r="C205" s="8" t="n">
        <v>2022</v>
      </c>
      <c r="D205" s="9" t="s">
        <v>472</v>
      </c>
      <c r="E205" s="7" t="s">
        <v>72</v>
      </c>
      <c r="F205" s="10" t="n">
        <f aca="false">IF(ISBLANK($G205),,VLOOKUP($G205, Rarities!$A$1:$B869, 2, FALSE()))</f>
        <v>2</v>
      </c>
      <c r="G205" s="8" t="s">
        <v>36</v>
      </c>
      <c r="H205" s="8" t="str">
        <f aca="false">VLOOKUP(B205,Manufacturers!A$1:B869,2)</f>
        <v>FR</v>
      </c>
      <c r="I205" s="11" t="n">
        <v>700000</v>
      </c>
      <c r="J205" s="8"/>
      <c r="K205" s="8"/>
      <c r="L205" s="12"/>
      <c r="M205" s="11"/>
      <c r="N205" s="11"/>
      <c r="O205" s="8"/>
      <c r="P205" s="8"/>
    </row>
    <row r="206" customFormat="false" ht="15.75" hidden="false" customHeight="true" outlineLevel="0" collapsed="false">
      <c r="A206" s="7" t="s">
        <v>473</v>
      </c>
      <c r="B206" s="8" t="s">
        <v>469</v>
      </c>
      <c r="C206" s="8" t="n">
        <v>2022</v>
      </c>
      <c r="D206" s="9" t="s">
        <v>474</v>
      </c>
      <c r="E206" s="7" t="s">
        <v>72</v>
      </c>
      <c r="F206" s="10" t="n">
        <f aca="false">IF(ISBLANK($G206),,VLOOKUP($G206, Rarities!$A$1:$B869, 2, FALSE()))</f>
        <v>2</v>
      </c>
      <c r="G206" s="8" t="s">
        <v>36</v>
      </c>
      <c r="H206" s="8" t="str">
        <f aca="false">VLOOKUP(B206,Manufacturers!A$1:B869,2)</f>
        <v>FR</v>
      </c>
      <c r="I206" s="11" t="n">
        <v>700000</v>
      </c>
      <c r="J206" s="8"/>
      <c r="K206" s="8"/>
      <c r="L206" s="12"/>
      <c r="M206" s="11"/>
      <c r="N206" s="11"/>
      <c r="O206" s="8"/>
      <c r="P206" s="8"/>
    </row>
    <row r="207" customFormat="false" ht="15.75" hidden="false" customHeight="true" outlineLevel="0" collapsed="false">
      <c r="A207" s="7" t="s">
        <v>475</v>
      </c>
      <c r="B207" s="8" t="s">
        <v>469</v>
      </c>
      <c r="C207" s="8" t="n">
        <v>2022</v>
      </c>
      <c r="D207" s="9" t="s">
        <v>476</v>
      </c>
      <c r="E207" s="7" t="s">
        <v>72</v>
      </c>
      <c r="F207" s="10" t="n">
        <f aca="false">IF(ISBLANK($G207),,VLOOKUP($G207, Rarities!$A$1:$B869, 2, FALSE()))</f>
        <v>2</v>
      </c>
      <c r="G207" s="8" t="s">
        <v>36</v>
      </c>
      <c r="H207" s="8" t="str">
        <f aca="false">VLOOKUP(B207,Manufacturers!A$1:B869,2)</f>
        <v>FR</v>
      </c>
      <c r="I207" s="11" t="n">
        <v>700000</v>
      </c>
      <c r="J207" s="8"/>
      <c r="K207" s="8"/>
      <c r="L207" s="12"/>
      <c r="M207" s="11"/>
      <c r="N207" s="11"/>
      <c r="O207" s="8"/>
      <c r="P207" s="8"/>
    </row>
    <row r="208" customFormat="false" ht="15.75" hidden="false" customHeight="true" outlineLevel="0" collapsed="false">
      <c r="A208" s="7" t="s">
        <v>477</v>
      </c>
      <c r="B208" s="8" t="s">
        <v>469</v>
      </c>
      <c r="C208" s="8" t="n">
        <v>2022</v>
      </c>
      <c r="D208" s="9" t="s">
        <v>478</v>
      </c>
      <c r="E208" s="7" t="s">
        <v>72</v>
      </c>
      <c r="F208" s="10" t="n">
        <f aca="false">IF(ISBLANK($G208),,VLOOKUP($G208, Rarities!$A$1:$B869, 2, FALSE()))</f>
        <v>2</v>
      </c>
      <c r="G208" s="8" t="s">
        <v>36</v>
      </c>
      <c r="H208" s="8" t="str">
        <f aca="false">VLOOKUP(B208,Manufacturers!A$1:B869,2)</f>
        <v>FR</v>
      </c>
      <c r="I208" s="11" t="n">
        <v>700000</v>
      </c>
      <c r="J208" s="8"/>
      <c r="K208" s="8"/>
      <c r="L208" s="12"/>
      <c r="M208" s="11"/>
      <c r="N208" s="11"/>
      <c r="O208" s="8"/>
      <c r="P208" s="8"/>
    </row>
    <row r="209" customFormat="false" ht="15.75" hidden="false" customHeight="true" outlineLevel="0" collapsed="false">
      <c r="A209" s="7" t="s">
        <v>479</v>
      </c>
      <c r="B209" s="8" t="s">
        <v>469</v>
      </c>
      <c r="C209" s="8" t="n">
        <v>2022</v>
      </c>
      <c r="D209" s="9" t="s">
        <v>480</v>
      </c>
      <c r="E209" s="7" t="s">
        <v>72</v>
      </c>
      <c r="F209" s="10" t="n">
        <f aca="false">IF(ISBLANK($G209),,VLOOKUP($G209, Rarities!$A$1:$B869, 2, FALSE()))</f>
        <v>2</v>
      </c>
      <c r="G209" s="8" t="s">
        <v>36</v>
      </c>
      <c r="H209" s="8" t="str">
        <f aca="false">VLOOKUP(B209,Manufacturers!A$1:B869,2)</f>
        <v>FR</v>
      </c>
      <c r="I209" s="11" t="n">
        <v>700000</v>
      </c>
      <c r="J209" s="8"/>
      <c r="K209" s="8"/>
      <c r="L209" s="12"/>
      <c r="M209" s="11"/>
      <c r="N209" s="11"/>
      <c r="O209" s="8"/>
      <c r="P209" s="8"/>
    </row>
    <row r="210" customFormat="false" ht="15.75" hidden="false" customHeight="true" outlineLevel="0" collapsed="false">
      <c r="A210" s="7" t="s">
        <v>481</v>
      </c>
      <c r="B210" s="8" t="s">
        <v>469</v>
      </c>
      <c r="C210" s="8" t="n">
        <v>2022</v>
      </c>
      <c r="D210" s="9" t="s">
        <v>482</v>
      </c>
      <c r="E210" s="7" t="s">
        <v>72</v>
      </c>
      <c r="F210" s="10" t="n">
        <f aca="false">IF(ISBLANK($G210),,VLOOKUP($G210, Rarities!$A$1:$B869, 2, FALSE()))</f>
        <v>2</v>
      </c>
      <c r="G210" s="8" t="s">
        <v>36</v>
      </c>
      <c r="H210" s="8" t="str">
        <f aca="false">VLOOKUP(B210,Manufacturers!A$1:B869,2)</f>
        <v>FR</v>
      </c>
      <c r="I210" s="11" t="n">
        <v>700000</v>
      </c>
      <c r="J210" s="8"/>
      <c r="K210" s="8"/>
      <c r="L210" s="12"/>
      <c r="M210" s="11"/>
      <c r="N210" s="11"/>
      <c r="O210" s="8"/>
      <c r="P210" s="8"/>
    </row>
    <row r="211" customFormat="false" ht="15.75" hidden="false" customHeight="true" outlineLevel="0" collapsed="false">
      <c r="A211" s="7" t="s">
        <v>483</v>
      </c>
      <c r="B211" s="8" t="s">
        <v>469</v>
      </c>
      <c r="C211" s="8" t="n">
        <v>2022</v>
      </c>
      <c r="D211" s="9" t="s">
        <v>484</v>
      </c>
      <c r="E211" s="7" t="s">
        <v>72</v>
      </c>
      <c r="F211" s="10" t="n">
        <f aca="false">IF(ISBLANK($G211),,VLOOKUP($G211, Rarities!$A$1:$B869, 2, FALSE()))</f>
        <v>2</v>
      </c>
      <c r="G211" s="8" t="s">
        <v>36</v>
      </c>
      <c r="H211" s="8" t="str">
        <f aca="false">VLOOKUP(B211,Manufacturers!A$1:B869,2)</f>
        <v>FR</v>
      </c>
      <c r="I211" s="11" t="n">
        <v>700000</v>
      </c>
      <c r="J211" s="8"/>
      <c r="K211" s="8"/>
      <c r="L211" s="12"/>
      <c r="M211" s="11"/>
      <c r="N211" s="11"/>
      <c r="O211" s="8"/>
      <c r="P211" s="8"/>
    </row>
    <row r="212" customFormat="false" ht="15.75" hidden="false" customHeight="true" outlineLevel="0" collapsed="false">
      <c r="A212" s="7" t="s">
        <v>485</v>
      </c>
      <c r="B212" s="8" t="s">
        <v>469</v>
      </c>
      <c r="C212" s="8" t="n">
        <v>2022</v>
      </c>
      <c r="D212" s="9" t="s">
        <v>486</v>
      </c>
      <c r="E212" s="7" t="s">
        <v>72</v>
      </c>
      <c r="F212" s="10" t="n">
        <f aca="false">IF(ISBLANK($G212),,VLOOKUP($G212, Rarities!$A$1:$B869, 2, FALSE()))</f>
        <v>2</v>
      </c>
      <c r="G212" s="8" t="s">
        <v>36</v>
      </c>
      <c r="H212" s="8" t="str">
        <f aca="false">VLOOKUP(B212,Manufacturers!A$1:B869,2)</f>
        <v>FR</v>
      </c>
      <c r="I212" s="11" t="n">
        <v>700000</v>
      </c>
      <c r="J212" s="8"/>
      <c r="K212" s="8"/>
      <c r="L212" s="12"/>
      <c r="M212" s="11"/>
      <c r="N212" s="11"/>
      <c r="O212" s="8"/>
      <c r="P212" s="8"/>
    </row>
    <row r="213" customFormat="false" ht="15.75" hidden="false" customHeight="true" outlineLevel="0" collapsed="false">
      <c r="A213" s="7" t="s">
        <v>487</v>
      </c>
      <c r="B213" s="8" t="s">
        <v>469</v>
      </c>
      <c r="C213" s="8" t="n">
        <v>2022</v>
      </c>
      <c r="D213" s="9" t="s">
        <v>488</v>
      </c>
      <c r="E213" s="7" t="s">
        <v>72</v>
      </c>
      <c r="F213" s="10" t="n">
        <f aca="false">IF(ISBLANK($G213),,VLOOKUP($G213, Rarities!$A$1:$B869, 2, FALSE()))</f>
        <v>2</v>
      </c>
      <c r="G213" s="8" t="s">
        <v>36</v>
      </c>
      <c r="H213" s="8" t="str">
        <f aca="false">VLOOKUP(B213,Manufacturers!A$1:B869,2)</f>
        <v>FR</v>
      </c>
      <c r="I213" s="11" t="n">
        <v>700000</v>
      </c>
      <c r="J213" s="8"/>
      <c r="K213" s="8"/>
      <c r="L213" s="12"/>
      <c r="M213" s="11"/>
      <c r="N213" s="11"/>
      <c r="O213" s="8"/>
      <c r="P213" s="8"/>
    </row>
    <row r="214" customFormat="false" ht="15.75" hidden="false" customHeight="true" outlineLevel="0" collapsed="false">
      <c r="A214" s="7" t="s">
        <v>489</v>
      </c>
      <c r="B214" s="8" t="s">
        <v>490</v>
      </c>
      <c r="C214" s="8" t="n">
        <v>1966</v>
      </c>
      <c r="D214" s="9" t="s">
        <v>491</v>
      </c>
      <c r="E214" s="7" t="s">
        <v>111</v>
      </c>
      <c r="F214" s="10" t="n">
        <f aca="false">IF(ISBLANK($G214),,VLOOKUP($G214, Rarities!$A$1:$B869, 2, FALSE()))</f>
        <v>4</v>
      </c>
      <c r="G214" s="8" t="s">
        <v>41</v>
      </c>
      <c r="H214" s="8" t="str">
        <f aca="false">VLOOKUP(B214,Manufacturers!A$1:B869,2)</f>
        <v>US</v>
      </c>
      <c r="I214" s="11" t="n">
        <v>300000</v>
      </c>
      <c r="J214" s="8"/>
      <c r="K214" s="8"/>
      <c r="L214" s="12"/>
      <c r="M214" s="11"/>
      <c r="N214" s="11"/>
      <c r="O214" s="8"/>
      <c r="P214" s="8"/>
    </row>
    <row r="215" customFormat="false" ht="15.75" hidden="false" customHeight="true" outlineLevel="0" collapsed="false">
      <c r="A215" s="7" t="s">
        <v>492</v>
      </c>
      <c r="B215" s="8" t="s">
        <v>490</v>
      </c>
      <c r="C215" s="8" t="n">
        <v>1970</v>
      </c>
      <c r="D215" s="9" t="s">
        <v>493</v>
      </c>
      <c r="E215" s="7" t="s">
        <v>76</v>
      </c>
      <c r="F215" s="10" t="n">
        <f aca="false">IF(ISBLANK($G215),,VLOOKUP($G215, Rarities!$A$1:$B869, 2, FALSE()))</f>
        <v>4</v>
      </c>
      <c r="G215" s="8" t="s">
        <v>41</v>
      </c>
      <c r="H215" s="8" t="str">
        <f aca="false">VLOOKUP(B215,Manufacturers!A$1:B869,2)</f>
        <v>US</v>
      </c>
      <c r="I215" s="11" t="n">
        <v>300000</v>
      </c>
      <c r="J215" s="8"/>
      <c r="K215" s="8"/>
      <c r="L215" s="12"/>
      <c r="M215" s="11"/>
      <c r="N215" s="11"/>
      <c r="O215" s="8"/>
      <c r="P215" s="8"/>
    </row>
    <row r="216" customFormat="false" ht="15.75" hidden="false" customHeight="true" outlineLevel="0" collapsed="false">
      <c r="A216" s="7" t="s">
        <v>494</v>
      </c>
      <c r="B216" s="8" t="s">
        <v>490</v>
      </c>
      <c r="C216" s="8" t="n">
        <v>1973</v>
      </c>
      <c r="D216" s="9" t="s">
        <v>495</v>
      </c>
      <c r="E216" s="7" t="s">
        <v>184</v>
      </c>
      <c r="F216" s="10" t="n">
        <f aca="false">IF(ISBLANK($G216),,VLOOKUP($G216, Rarities!$A$1:$B869, 2, FALSE()))</f>
        <v>4</v>
      </c>
      <c r="G216" s="8" t="s">
        <v>41</v>
      </c>
      <c r="H216" s="8" t="str">
        <f aca="false">VLOOKUP(B216,Manufacturers!A$1:B869,2)</f>
        <v>US</v>
      </c>
      <c r="I216" s="11" t="n">
        <v>300000</v>
      </c>
      <c r="J216" s="8"/>
      <c r="K216" s="8"/>
      <c r="L216" s="12"/>
      <c r="M216" s="11"/>
      <c r="N216" s="11"/>
      <c r="O216" s="8"/>
      <c r="P216" s="8"/>
    </row>
    <row r="217" customFormat="false" ht="15.75" hidden="false" customHeight="true" outlineLevel="0" collapsed="false">
      <c r="A217" s="7" t="s">
        <v>496</v>
      </c>
      <c r="B217" s="8" t="s">
        <v>490</v>
      </c>
      <c r="C217" s="8" t="n">
        <v>2022</v>
      </c>
      <c r="D217" s="9" t="s">
        <v>497</v>
      </c>
      <c r="E217" s="7" t="s">
        <v>303</v>
      </c>
      <c r="F217" s="10" t="n">
        <f aca="false">IF(ISBLANK($G217),,VLOOKUP($G217, Rarities!$A$1:$B869, 2, FALSE()))</f>
        <v>4</v>
      </c>
      <c r="G217" s="8" t="s">
        <v>41</v>
      </c>
      <c r="H217" s="8" t="str">
        <f aca="false">VLOOKUP(B217,Manufacturers!A$1:B869,2)</f>
        <v>US</v>
      </c>
      <c r="I217" s="11" t="n">
        <v>120000</v>
      </c>
      <c r="J217" s="8"/>
      <c r="K217" s="8"/>
      <c r="L217" s="12"/>
      <c r="M217" s="11"/>
      <c r="N217" s="11"/>
      <c r="O217" s="8"/>
      <c r="P217" s="8"/>
    </row>
    <row r="218" customFormat="false" ht="15.75" hidden="false" customHeight="true" outlineLevel="0" collapsed="false">
      <c r="A218" s="7" t="s">
        <v>498</v>
      </c>
      <c r="B218" s="8" t="s">
        <v>490</v>
      </c>
      <c r="C218" s="8" t="n">
        <v>2022</v>
      </c>
      <c r="D218" s="9" t="s">
        <v>499</v>
      </c>
      <c r="E218" s="7" t="s">
        <v>111</v>
      </c>
      <c r="F218" s="10" t="n">
        <f aca="false">IF(ISBLANK($G218),,VLOOKUP($G218, Rarities!$A$1:$B869, 2, FALSE()))</f>
        <v>4</v>
      </c>
      <c r="G218" s="8" t="s">
        <v>41</v>
      </c>
      <c r="H218" s="8" t="str">
        <f aca="false">VLOOKUP(B218,Manufacturers!A$1:B869,2)</f>
        <v>US</v>
      </c>
      <c r="I218" s="11" t="n">
        <v>300000</v>
      </c>
      <c r="J218" s="8"/>
      <c r="K218" s="8"/>
      <c r="L218" s="12"/>
      <c r="M218" s="11"/>
      <c r="N218" s="11"/>
      <c r="O218" s="8"/>
      <c r="P218" s="8"/>
    </row>
    <row r="219" customFormat="false" ht="15.75" hidden="false" customHeight="true" outlineLevel="0" collapsed="false">
      <c r="A219" s="7" t="s">
        <v>500</v>
      </c>
      <c r="B219" s="8" t="s">
        <v>501</v>
      </c>
      <c r="C219" s="8" t="n">
        <v>1957</v>
      </c>
      <c r="D219" s="9" t="s">
        <v>502</v>
      </c>
      <c r="E219" s="7" t="s">
        <v>44</v>
      </c>
      <c r="F219" s="10" t="n">
        <f aca="false">IF(ISBLANK($G219),,VLOOKUP($G219, Rarities!$A$1:$B869, 2, FALSE()))</f>
        <v>4</v>
      </c>
      <c r="G219" s="8" t="s">
        <v>41</v>
      </c>
      <c r="H219" s="8" t="str">
        <f aca="false">VLOOKUP(B219,Manufacturers!A$1:B869,2)</f>
        <v>IT</v>
      </c>
      <c r="I219" s="11" t="n">
        <v>18500000</v>
      </c>
      <c r="J219" s="8"/>
      <c r="K219" s="8" t="n">
        <v>3</v>
      </c>
      <c r="L219" s="12" t="n">
        <v>28</v>
      </c>
      <c r="M219" s="11" t="e">
        <f aca="false">IF(AND(ISNUMBER(L219),L219&gt;0),(3*J219+K219)*#REF!/L219,"-")</f>
        <v>#REF!</v>
      </c>
      <c r="N219" s="11" t="e">
        <f aca="false">IF(AND(#REF!,ISNUMBER(L219),L219&gt;0),((3*J219+K219)*#REF!-I219)/L219,"-")</f>
        <v>#REF!</v>
      </c>
      <c r="O219" s="8"/>
      <c r="P219" s="8"/>
    </row>
    <row r="220" customFormat="false" ht="15.75" hidden="false" customHeight="true" outlineLevel="0" collapsed="false">
      <c r="A220" s="7" t="s">
        <v>503</v>
      </c>
      <c r="B220" s="8" t="s">
        <v>501</v>
      </c>
      <c r="C220" s="8" t="n">
        <v>1957</v>
      </c>
      <c r="D220" s="9" t="s">
        <v>504</v>
      </c>
      <c r="E220" s="7" t="s">
        <v>40</v>
      </c>
      <c r="F220" s="10" t="n">
        <f aca="false">IF(ISBLANK($G220),,VLOOKUP($G220, Rarities!$A$1:$B869, 2, FALSE()))</f>
        <v>4</v>
      </c>
      <c r="G220" s="8" t="s">
        <v>41</v>
      </c>
      <c r="H220" s="8" t="str">
        <f aca="false">VLOOKUP(B220,Manufacturers!A$1:B869,2)</f>
        <v>IT</v>
      </c>
      <c r="I220" s="11" t="n">
        <v>16400000</v>
      </c>
      <c r="J220" s="8" t="n">
        <v>1</v>
      </c>
      <c r="K220" s="8"/>
      <c r="L220" s="12" t="n">
        <v>10</v>
      </c>
      <c r="M220" s="11" t="e">
        <f aca="false">IF(AND(ISNUMBER(L220),L220&gt;0),(3*J220+K220)*#REF!/L220,"-")</f>
        <v>#REF!</v>
      </c>
      <c r="N220" s="11" t="e">
        <f aca="false">IF(AND(#REF!,ISNUMBER(L220),L220&gt;0),((3*J220+K220)*#REF!-I220)/L220,"-")</f>
        <v>#REF!</v>
      </c>
      <c r="O220" s="8"/>
      <c r="P220" s="8"/>
    </row>
    <row r="221" customFormat="false" ht="15.75" hidden="false" customHeight="true" outlineLevel="0" collapsed="false">
      <c r="A221" s="7" t="s">
        <v>505</v>
      </c>
      <c r="B221" s="8" t="s">
        <v>501</v>
      </c>
      <c r="C221" s="8" t="n">
        <v>1962</v>
      </c>
      <c r="D221" s="9" t="s">
        <v>506</v>
      </c>
      <c r="E221" s="7" t="s">
        <v>44</v>
      </c>
      <c r="F221" s="10" t="n">
        <f aca="false">IF(ISBLANK($G221),,VLOOKUP($G221, Rarities!$A$1:$B869, 2, FALSE()))</f>
        <v>4</v>
      </c>
      <c r="G221" s="8" t="s">
        <v>41</v>
      </c>
      <c r="H221" s="8" t="str">
        <f aca="false">VLOOKUP(B221,Manufacturers!A$1:B869,2)</f>
        <v>IT</v>
      </c>
      <c r="I221" s="11" t="n">
        <v>2600000</v>
      </c>
      <c r="J221" s="8"/>
      <c r="K221" s="8"/>
      <c r="L221" s="12"/>
      <c r="M221" s="11"/>
      <c r="N221" s="11"/>
      <c r="O221" s="8"/>
      <c r="P221" s="8"/>
    </row>
    <row r="222" customFormat="false" ht="15.75" hidden="false" customHeight="true" outlineLevel="0" collapsed="false">
      <c r="A222" s="7" t="s">
        <v>507</v>
      </c>
      <c r="B222" s="8" t="s">
        <v>501</v>
      </c>
      <c r="C222" s="8" t="n">
        <v>1962</v>
      </c>
      <c r="D222" s="9" t="s">
        <v>508</v>
      </c>
      <c r="E222" s="7" t="s">
        <v>40</v>
      </c>
      <c r="F222" s="10" t="n">
        <f aca="false">IF(ISBLANK($G222),,VLOOKUP($G222, Rarities!$A$1:$B869, 2, FALSE()))</f>
        <v>4</v>
      </c>
      <c r="G222" s="8" t="s">
        <v>41</v>
      </c>
      <c r="H222" s="8" t="str">
        <f aca="false">VLOOKUP(B222,Manufacturers!A$1:B869,2)</f>
        <v>IT</v>
      </c>
      <c r="I222" s="11" t="n">
        <v>50000000</v>
      </c>
      <c r="J222" s="8" t="n">
        <v>2</v>
      </c>
      <c r="K222" s="8" t="n">
        <v>1</v>
      </c>
      <c r="L222" s="12" t="n">
        <v>23</v>
      </c>
      <c r="M222" s="11" t="e">
        <f aca="false">IF(AND(ISNUMBER(L222),L222&gt;0),(3*J222+K222)*#REF!/L222,"-")</f>
        <v>#REF!</v>
      </c>
      <c r="N222" s="11" t="e">
        <f aca="false">IF(AND(#REF!,ISNUMBER(L222),L222&gt;0),((3*J222+K222)*#REF!-I222)/L222,"-")</f>
        <v>#REF!</v>
      </c>
      <c r="O222" s="8"/>
      <c r="P222" s="8"/>
    </row>
    <row r="223" customFormat="false" ht="15.75" hidden="false" customHeight="true" outlineLevel="0" collapsed="false">
      <c r="A223" s="7" t="s">
        <v>509</v>
      </c>
      <c r="B223" s="8" t="s">
        <v>501</v>
      </c>
      <c r="C223" s="8" t="n">
        <v>1967</v>
      </c>
      <c r="D223" s="9" t="s">
        <v>510</v>
      </c>
      <c r="E223" s="7" t="s">
        <v>40</v>
      </c>
      <c r="F223" s="10" t="n">
        <f aca="false">IF(ISBLANK($G223),,VLOOKUP($G223, Rarities!$A$1:$B869, 2, FALSE()))</f>
        <v>4</v>
      </c>
      <c r="G223" s="8" t="s">
        <v>41</v>
      </c>
      <c r="H223" s="8" t="str">
        <f aca="false">VLOOKUP(B223,Manufacturers!A$1:B869,2)</f>
        <v>IT</v>
      </c>
      <c r="I223" s="11" t="n">
        <v>9000000</v>
      </c>
      <c r="J223" s="8" t="n">
        <v>1</v>
      </c>
      <c r="K223" s="8"/>
      <c r="L223" s="12" t="n">
        <v>10</v>
      </c>
      <c r="M223" s="11" t="e">
        <f aca="false">IF(AND(ISNUMBER(L223),L223&gt;0),(3*J223+K223)*#REF!/L223,"-")</f>
        <v>#REF!</v>
      </c>
      <c r="N223" s="11" t="e">
        <f aca="false">IF(AND(#REF!,ISNUMBER(L223),L223&gt;0),((3*J223+K223)*#REF!-I223)/L223,"-")</f>
        <v>#REF!</v>
      </c>
      <c r="O223" s="8"/>
      <c r="P223" s="8"/>
    </row>
    <row r="224" customFormat="false" ht="15.75" hidden="false" customHeight="true" outlineLevel="0" collapsed="false">
      <c r="A224" s="7" t="s">
        <v>511</v>
      </c>
      <c r="B224" s="8" t="s">
        <v>501</v>
      </c>
      <c r="C224" s="8" t="n">
        <v>1968</v>
      </c>
      <c r="D224" s="9" t="s">
        <v>512</v>
      </c>
      <c r="E224" s="7" t="s">
        <v>44</v>
      </c>
      <c r="F224" s="10" t="n">
        <f aca="false">IF(ISBLANK($G224),,VLOOKUP($G224, Rarities!$A$1:$B869, 2, FALSE()))</f>
        <v>3</v>
      </c>
      <c r="G224" s="8" t="s">
        <v>53</v>
      </c>
      <c r="H224" s="8" t="str">
        <f aca="false">VLOOKUP(B224,Manufacturers!A$1:B869,2)</f>
        <v>IT</v>
      </c>
      <c r="I224" s="11" t="n">
        <v>600000</v>
      </c>
      <c r="J224" s="8"/>
      <c r="K224" s="8" t="n">
        <v>3</v>
      </c>
      <c r="L224" s="12" t="n">
        <v>28</v>
      </c>
      <c r="M224" s="11" t="e">
        <f aca="false">IF(AND(ISNUMBER(L224),L224&gt;0),(3*J224+K224)*#REF!/L224,"-")</f>
        <v>#REF!</v>
      </c>
      <c r="N224" s="11" t="e">
        <f aca="false">IF(AND(#REF!,ISNUMBER(L224),L224&gt;0),((3*J224+K224)*#REF!-I224)/L224,"-")</f>
        <v>#REF!</v>
      </c>
      <c r="O224" s="8"/>
      <c r="P224" s="8"/>
    </row>
    <row r="225" customFormat="false" ht="15.75" hidden="false" customHeight="true" outlineLevel="0" collapsed="false">
      <c r="A225" s="7" t="s">
        <v>513</v>
      </c>
      <c r="B225" s="8" t="s">
        <v>501</v>
      </c>
      <c r="C225" s="8" t="n">
        <v>1969</v>
      </c>
      <c r="D225" s="9" t="s">
        <v>514</v>
      </c>
      <c r="E225" s="7" t="s">
        <v>44</v>
      </c>
      <c r="F225" s="10" t="n">
        <f aca="false">IF(ISBLANK($G225),,VLOOKUP($G225, Rarities!$A$1:$B869, 2, FALSE()))</f>
        <v>3</v>
      </c>
      <c r="G225" s="8" t="s">
        <v>53</v>
      </c>
      <c r="H225" s="8" t="str">
        <f aca="false">VLOOKUP(B225,Manufacturers!A$1:B869,2)</f>
        <v>IT</v>
      </c>
      <c r="I225" s="11" t="n">
        <v>425000</v>
      </c>
      <c r="J225" s="8"/>
      <c r="K225" s="8" t="n">
        <v>3</v>
      </c>
      <c r="L225" s="12" t="n">
        <v>28</v>
      </c>
      <c r="M225" s="11" t="e">
        <f aca="false">IF(AND(ISNUMBER(L225),L225&gt;0),(3*J225+K225)*#REF!/L225,"-")</f>
        <v>#REF!</v>
      </c>
      <c r="N225" s="11" t="e">
        <f aca="false">IF(AND(#REF!,ISNUMBER(L225),L225&gt;0),((3*J225+K225)*#REF!-I225)/L225,"-")</f>
        <v>#REF!</v>
      </c>
      <c r="O225" s="8"/>
      <c r="P225" s="8"/>
    </row>
    <row r="226" customFormat="false" ht="15.75" hidden="false" customHeight="true" outlineLevel="0" collapsed="false">
      <c r="A226" s="7" t="s">
        <v>515</v>
      </c>
      <c r="B226" s="8" t="s">
        <v>501</v>
      </c>
      <c r="C226" s="8" t="n">
        <v>1970</v>
      </c>
      <c r="D226" s="9" t="s">
        <v>516</v>
      </c>
      <c r="E226" s="7" t="s">
        <v>40</v>
      </c>
      <c r="F226" s="10" t="n">
        <f aca="false">IF(ISBLANK($G226),,VLOOKUP($G226, Rarities!$A$1:$B869, 2, FALSE()))</f>
        <v>4</v>
      </c>
      <c r="G226" s="8" t="s">
        <v>41</v>
      </c>
      <c r="H226" s="8" t="str">
        <f aca="false">VLOOKUP(B226,Manufacturers!A$1:B869,2)</f>
        <v>IT</v>
      </c>
      <c r="I226" s="11" t="n">
        <v>3500000</v>
      </c>
      <c r="J226" s="8"/>
      <c r="K226" s="8"/>
      <c r="L226" s="12"/>
      <c r="M226" s="11"/>
      <c r="N226" s="11"/>
      <c r="O226" s="8"/>
      <c r="P226" s="8"/>
    </row>
    <row r="227" customFormat="false" ht="15.75" hidden="false" customHeight="true" outlineLevel="0" collapsed="false">
      <c r="A227" s="7" t="s">
        <v>517</v>
      </c>
      <c r="B227" s="8" t="s">
        <v>501</v>
      </c>
      <c r="C227" s="8" t="n">
        <v>1984</v>
      </c>
      <c r="D227" s="9" t="s">
        <v>518</v>
      </c>
      <c r="E227" s="7" t="s">
        <v>215</v>
      </c>
      <c r="F227" s="10" t="n">
        <f aca="false">IF(ISBLANK($G227),,VLOOKUP($G227, Rarities!$A$1:$B869, 2, FALSE()))</f>
        <v>4</v>
      </c>
      <c r="G227" s="8" t="s">
        <v>41</v>
      </c>
      <c r="H227" s="8" t="str">
        <f aca="false">VLOOKUP(B227,Manufacturers!A$1:B869,2)</f>
        <v>IT</v>
      </c>
      <c r="I227" s="11" t="n">
        <v>3500000</v>
      </c>
      <c r="J227" s="8"/>
      <c r="K227" s="8" t="n">
        <v>1</v>
      </c>
      <c r="L227" s="12" t="n">
        <v>9</v>
      </c>
      <c r="M227" s="11" t="e">
        <f aca="false">IF(AND(ISNUMBER(L227),L227&gt;0),(3*J227+K227)*#REF!/L227,"-")</f>
        <v>#REF!</v>
      </c>
      <c r="N227" s="11" t="e">
        <f aca="false">IF(AND(#REF!,ISNUMBER(L227),L227&gt;0),((3*J227+K227)*#REF!-I227)/L227,"-")</f>
        <v>#REF!</v>
      </c>
      <c r="O227" s="8"/>
      <c r="P227" s="8"/>
    </row>
    <row r="228" customFormat="false" ht="15.75" hidden="false" customHeight="true" outlineLevel="0" collapsed="false">
      <c r="A228" s="7" t="s">
        <v>519</v>
      </c>
      <c r="B228" s="8" t="s">
        <v>501</v>
      </c>
      <c r="C228" s="8" t="n">
        <v>1987</v>
      </c>
      <c r="D228" s="9" t="s">
        <v>520</v>
      </c>
      <c r="E228" s="7" t="s">
        <v>215</v>
      </c>
      <c r="F228" s="10" t="n">
        <f aca="false">IF(ISBLANK($G228),,VLOOKUP($G228, Rarities!$A$1:$B869, 2, FALSE()))</f>
        <v>4</v>
      </c>
      <c r="G228" s="8" t="s">
        <v>41</v>
      </c>
      <c r="H228" s="8" t="str">
        <f aca="false">VLOOKUP(B228,Manufacturers!A$1:B869,2)</f>
        <v>IT</v>
      </c>
      <c r="I228" s="11" t="n">
        <v>1200000</v>
      </c>
      <c r="J228" s="8"/>
      <c r="K228" s="8" t="n">
        <v>3</v>
      </c>
      <c r="L228" s="12" t="n">
        <v>13</v>
      </c>
      <c r="M228" s="11" t="e">
        <f aca="false">IF(AND(ISNUMBER(L228),L228&gt;0),(3*J228+K228)*#REF!/L228,"-")</f>
        <v>#REF!</v>
      </c>
      <c r="N228" s="11" t="e">
        <f aca="false">IF(AND(#REF!,ISNUMBER(L228),L228&gt;0),((3*J228+K228)*#REF!-I228)/L228,"-")</f>
        <v>#REF!</v>
      </c>
      <c r="O228" s="8"/>
      <c r="P228" s="8"/>
    </row>
    <row r="229" customFormat="false" ht="15.75" hidden="false" customHeight="true" outlineLevel="0" collapsed="false">
      <c r="A229" s="7" t="s">
        <v>521</v>
      </c>
      <c r="B229" s="8" t="s">
        <v>501</v>
      </c>
      <c r="C229" s="8" t="n">
        <v>1989</v>
      </c>
      <c r="D229" s="9" t="s">
        <v>522</v>
      </c>
      <c r="E229" s="7" t="s">
        <v>86</v>
      </c>
      <c r="F229" s="10" t="n">
        <f aca="false">IF(ISBLANK($G229),,VLOOKUP($G229, Rarities!$A$1:$B869, 2, FALSE()))</f>
        <v>4</v>
      </c>
      <c r="G229" s="8" t="s">
        <v>41</v>
      </c>
      <c r="H229" s="8" t="str">
        <f aca="false">VLOOKUP(B229,Manufacturers!A$1:B869,2)</f>
        <v>IT</v>
      </c>
      <c r="I229" s="11" t="n">
        <v>2000000</v>
      </c>
      <c r="J229" s="8"/>
      <c r="K229" s="8" t="n">
        <v>2</v>
      </c>
      <c r="L229" s="12" t="n">
        <v>11</v>
      </c>
      <c r="M229" s="11" t="e">
        <f aca="false">IF(AND(ISNUMBER(L229),L229&gt;0),(3*J229+K229)*#REF!/L229,"-")</f>
        <v>#REF!</v>
      </c>
      <c r="N229" s="11" t="e">
        <f aca="false">IF(AND(#REF!,ISNUMBER(L229),L229&gt;0),((3*J229+K229)*#REF!-I229)/L229,"-")</f>
        <v>#REF!</v>
      </c>
      <c r="O229" s="8"/>
      <c r="P229" s="8"/>
    </row>
    <row r="230" customFormat="false" ht="15.75" hidden="false" customHeight="true" outlineLevel="0" collapsed="false">
      <c r="A230" s="7" t="s">
        <v>523</v>
      </c>
      <c r="B230" s="8" t="s">
        <v>501</v>
      </c>
      <c r="C230" s="8" t="n">
        <v>1992</v>
      </c>
      <c r="D230" s="9" t="s">
        <v>524</v>
      </c>
      <c r="E230" s="7" t="s">
        <v>215</v>
      </c>
      <c r="F230" s="10" t="n">
        <f aca="false">IF(ISBLANK($G230),,VLOOKUP($G230, Rarities!$A$1:$B869, 2, FALSE()))</f>
        <v>3</v>
      </c>
      <c r="G230" s="8" t="s">
        <v>53</v>
      </c>
      <c r="H230" s="8" t="str">
        <f aca="false">VLOOKUP(B230,Manufacturers!A$1:B869,2)</f>
        <v>IT</v>
      </c>
      <c r="I230" s="11" t="n">
        <v>270000</v>
      </c>
      <c r="J230" s="8"/>
      <c r="K230" s="8"/>
      <c r="L230" s="12"/>
      <c r="M230" s="11"/>
      <c r="N230" s="11"/>
      <c r="O230" s="8"/>
      <c r="P230" s="8"/>
    </row>
    <row r="231" customFormat="false" ht="15.75" hidden="false" customHeight="true" outlineLevel="0" collapsed="false">
      <c r="A231" s="7" t="s">
        <v>525</v>
      </c>
      <c r="B231" s="8" t="s">
        <v>501</v>
      </c>
      <c r="C231" s="8" t="n">
        <v>1994</v>
      </c>
      <c r="D231" s="9" t="s">
        <v>526</v>
      </c>
      <c r="E231" s="7" t="s">
        <v>215</v>
      </c>
      <c r="F231" s="10" t="n">
        <f aca="false">IF(ISBLANK($G231),,VLOOKUP($G231, Rarities!$A$1:$B869, 2, FALSE()))</f>
        <v>3</v>
      </c>
      <c r="G231" s="8" t="s">
        <v>53</v>
      </c>
      <c r="H231" s="8" t="str">
        <f aca="false">VLOOKUP(B231,Manufacturers!A$1:B869,2)</f>
        <v>IT</v>
      </c>
      <c r="I231" s="11" t="n">
        <v>190000</v>
      </c>
      <c r="J231" s="8"/>
      <c r="K231" s="8" t="n">
        <v>1</v>
      </c>
      <c r="L231" s="12" t="n">
        <v>9</v>
      </c>
      <c r="M231" s="11" t="e">
        <f aca="false">IF(AND(ISNUMBER(L231),L231&gt;0),(3*J231+K231)*#REF!/L231,"-")</f>
        <v>#REF!</v>
      </c>
      <c r="N231" s="11" t="e">
        <f aca="false">IF(AND(#REF!,ISNUMBER(L231),L231&gt;0),((3*J231+K231)*#REF!-I231)/L231,"-")</f>
        <v>#REF!</v>
      </c>
      <c r="O231" s="8"/>
      <c r="P231" s="8"/>
    </row>
    <row r="232" customFormat="false" ht="15.75" hidden="false" customHeight="true" outlineLevel="0" collapsed="false">
      <c r="A232" s="7" t="s">
        <v>527</v>
      </c>
      <c r="B232" s="8" t="s">
        <v>501</v>
      </c>
      <c r="C232" s="8" t="n">
        <v>1995</v>
      </c>
      <c r="D232" s="9" t="s">
        <v>528</v>
      </c>
      <c r="E232" s="7" t="s">
        <v>215</v>
      </c>
      <c r="F232" s="10" t="n">
        <f aca="false">IF(ISBLANK($G232),,VLOOKUP($G232, Rarities!$A$1:$B869, 2, FALSE()))</f>
        <v>4</v>
      </c>
      <c r="G232" s="8" t="s">
        <v>41</v>
      </c>
      <c r="H232" s="8" t="str">
        <f aca="false">VLOOKUP(B232,Manufacturers!A$1:B869,2)</f>
        <v>IT</v>
      </c>
      <c r="I232" s="11" t="n">
        <v>2000000</v>
      </c>
      <c r="J232" s="8"/>
      <c r="K232" s="8" t="n">
        <v>3</v>
      </c>
      <c r="L232" s="12" t="n">
        <v>13</v>
      </c>
      <c r="M232" s="11" t="e">
        <f aca="false">IF(AND(ISNUMBER(L232),L232&gt;0),(3*J232+K232)*#REF!/L232,"-")</f>
        <v>#REF!</v>
      </c>
      <c r="N232" s="11" t="e">
        <f aca="false">IF(AND(#REF!,ISNUMBER(L232),L232&gt;0),((3*J232+K232)*#REF!-I232)/L232,"-")</f>
        <v>#REF!</v>
      </c>
      <c r="O232" s="8"/>
      <c r="P232" s="8"/>
    </row>
    <row r="233" customFormat="false" ht="15.75" hidden="false" customHeight="true" outlineLevel="0" collapsed="false">
      <c r="A233" s="7" t="s">
        <v>529</v>
      </c>
      <c r="B233" s="8" t="s">
        <v>501</v>
      </c>
      <c r="C233" s="8" t="n">
        <v>1996</v>
      </c>
      <c r="D233" s="9" t="s">
        <v>530</v>
      </c>
      <c r="E233" s="7" t="s">
        <v>86</v>
      </c>
      <c r="F233" s="10" t="n">
        <f aca="false">IF(ISBLANK($G233),,VLOOKUP($G233, Rarities!$A$1:$B869, 2, FALSE()))</f>
        <v>4</v>
      </c>
      <c r="G233" s="8" t="s">
        <v>41</v>
      </c>
      <c r="H233" s="8" t="str">
        <f aca="false">VLOOKUP(B233,Manufacturers!A$1:B869,2)</f>
        <v>IT</v>
      </c>
      <c r="I233" s="11" t="n">
        <v>2000000</v>
      </c>
      <c r="J233" s="8"/>
      <c r="K233" s="8" t="n">
        <v>2</v>
      </c>
      <c r="L233" s="12" t="n">
        <v>11</v>
      </c>
      <c r="M233" s="11" t="e">
        <f aca="false">IF(AND(ISNUMBER(L233),L233&gt;0),(3*J233+K233)*#REF!/L233,"-")</f>
        <v>#REF!</v>
      </c>
      <c r="N233" s="11" t="e">
        <f aca="false">IF(AND(#REF!,ISNUMBER(L233),L233&gt;0),((3*J233+K233)*#REF!-I233)/L233,"-")</f>
        <v>#REF!</v>
      </c>
      <c r="O233" s="8"/>
      <c r="P233" s="8"/>
    </row>
    <row r="234" customFormat="false" ht="15.75" hidden="false" customHeight="true" outlineLevel="0" collapsed="false">
      <c r="A234" s="7" t="s">
        <v>531</v>
      </c>
      <c r="B234" s="8" t="s">
        <v>501</v>
      </c>
      <c r="C234" s="8" t="n">
        <v>2002</v>
      </c>
      <c r="D234" s="9" t="s">
        <v>532</v>
      </c>
      <c r="E234" s="7" t="s">
        <v>215</v>
      </c>
      <c r="F234" s="10" t="n">
        <f aca="false">IF(ISBLANK($G234),,VLOOKUP($G234, Rarities!$A$1:$B869, 2, FALSE()))</f>
        <v>4</v>
      </c>
      <c r="G234" s="8" t="s">
        <v>41</v>
      </c>
      <c r="H234" s="8" t="str">
        <f aca="false">VLOOKUP(B234,Manufacturers!A$1:B869,2)</f>
        <v>IT</v>
      </c>
      <c r="I234" s="11" t="n">
        <v>2800000</v>
      </c>
      <c r="J234" s="8"/>
      <c r="K234" s="8" t="n">
        <v>1</v>
      </c>
      <c r="L234" s="12" t="n">
        <v>9</v>
      </c>
      <c r="M234" s="11" t="e">
        <f aca="false">IF(AND(ISNUMBER(L234),L234&gt;0),(3*J234+K234)*#REF!/L234,"-")</f>
        <v>#REF!</v>
      </c>
      <c r="N234" s="11" t="e">
        <f aca="false">IF(AND(#REF!,ISNUMBER(L234),L234&gt;0),((3*J234+K234)*#REF!-I234)/L234,"-")</f>
        <v>#REF!</v>
      </c>
      <c r="O234" s="8"/>
      <c r="P234" s="8"/>
    </row>
    <row r="235" customFormat="false" ht="15.75" hidden="false" customHeight="true" outlineLevel="0" collapsed="false">
      <c r="A235" s="7" t="s">
        <v>533</v>
      </c>
      <c r="B235" s="8" t="s">
        <v>501</v>
      </c>
      <c r="C235" s="8" t="n">
        <v>2002</v>
      </c>
      <c r="D235" s="9" t="s">
        <v>534</v>
      </c>
      <c r="E235" s="7" t="s">
        <v>215</v>
      </c>
      <c r="F235" s="10" t="n">
        <f aca="false">IF(ISBLANK($G235),,VLOOKUP($G235, Rarities!$A$1:$B869, 2, FALSE()))</f>
        <v>3</v>
      </c>
      <c r="G235" s="8" t="s">
        <v>53</v>
      </c>
      <c r="H235" s="8" t="str">
        <f aca="false">VLOOKUP(B235,Manufacturers!A$1:B869,2)</f>
        <v>IT</v>
      </c>
      <c r="I235" s="11" t="n">
        <v>250000</v>
      </c>
      <c r="J235" s="8"/>
      <c r="K235" s="8" t="n">
        <v>1</v>
      </c>
      <c r="L235" s="12" t="n">
        <v>9</v>
      </c>
      <c r="M235" s="11" t="e">
        <f aca="false">IF(AND(ISNUMBER(L235),L235&gt;0),(3*J235+K235)*#REF!/L235,"-")</f>
        <v>#REF!</v>
      </c>
      <c r="N235" s="11" t="e">
        <f aca="false">IF(AND(#REF!,ISNUMBER(L235),L235&gt;0),((3*J235+K235)*#REF!-I235)/L235,"-")</f>
        <v>#REF!</v>
      </c>
      <c r="O235" s="8"/>
      <c r="P235" s="8"/>
    </row>
    <row r="236" customFormat="false" ht="15.75" hidden="false" customHeight="true" outlineLevel="0" collapsed="false">
      <c r="A236" s="7" t="s">
        <v>535</v>
      </c>
      <c r="B236" s="8" t="s">
        <v>501</v>
      </c>
      <c r="C236" s="8" t="n">
        <v>2003</v>
      </c>
      <c r="D236" s="9" t="s">
        <v>536</v>
      </c>
      <c r="E236" s="7" t="s">
        <v>215</v>
      </c>
      <c r="F236" s="10" t="n">
        <f aca="false">IF(ISBLANK($G236),,VLOOKUP($G236, Rarities!$A$1:$B869, 2, FALSE()))</f>
        <v>3</v>
      </c>
      <c r="G236" s="8" t="s">
        <v>53</v>
      </c>
      <c r="H236" s="8" t="str">
        <f aca="false">VLOOKUP(B236,Manufacturers!A$1:B869,2)</f>
        <v>IT</v>
      </c>
      <c r="I236" s="11" t="n">
        <v>200000</v>
      </c>
      <c r="J236" s="8"/>
      <c r="K236" s="8" t="n">
        <v>3</v>
      </c>
      <c r="L236" s="12" t="n">
        <v>13</v>
      </c>
      <c r="M236" s="11" t="e">
        <f aca="false">IF(AND(ISNUMBER(L236),L236&gt;0),(3*J236+K236)*#REF!/L236,"-")</f>
        <v>#REF!</v>
      </c>
      <c r="N236" s="11" t="e">
        <f aca="false">IF(AND(#REF!,ISNUMBER(L236),L236&gt;0),((3*J236+K236)*#REF!-I236)/L236,"-")</f>
        <v>#REF!</v>
      </c>
      <c r="O236" s="8"/>
      <c r="P236" s="8"/>
    </row>
    <row r="237" customFormat="false" ht="15.75" hidden="false" customHeight="true" outlineLevel="0" collapsed="false">
      <c r="A237" s="7" t="s">
        <v>537</v>
      </c>
      <c r="B237" s="8" t="s">
        <v>501</v>
      </c>
      <c r="C237" s="8" t="n">
        <v>2005</v>
      </c>
      <c r="D237" s="9" t="s">
        <v>538</v>
      </c>
      <c r="E237" s="7" t="s">
        <v>86</v>
      </c>
      <c r="F237" s="10" t="n">
        <f aca="false">IF(ISBLANK($G237),,VLOOKUP($G237, Rarities!$A$1:$B869, 2, FALSE()))</f>
        <v>4</v>
      </c>
      <c r="G237" s="8" t="s">
        <v>41</v>
      </c>
      <c r="H237" s="8" t="str">
        <f aca="false">VLOOKUP(B237,Manufacturers!A$1:B869,2)</f>
        <v>IT</v>
      </c>
      <c r="I237" s="11" t="n">
        <v>2500000</v>
      </c>
      <c r="J237" s="8"/>
      <c r="K237" s="8" t="n">
        <v>2</v>
      </c>
      <c r="L237" s="12" t="n">
        <v>11</v>
      </c>
      <c r="M237" s="11" t="e">
        <f aca="false">IF(AND(ISNUMBER(L237),L237&gt;0),(3*J237+K237)*#REF!/L237,"-")</f>
        <v>#REF!</v>
      </c>
      <c r="N237" s="11" t="e">
        <f aca="false">IF(AND(#REF!,ISNUMBER(L237),L237&gt;0),((3*J237+K237)*#REF!-I237)/L237,"-")</f>
        <v>#REF!</v>
      </c>
      <c r="O237" s="8"/>
      <c r="P237" s="8"/>
    </row>
    <row r="238" customFormat="false" ht="15.75" hidden="false" customHeight="true" outlineLevel="0" collapsed="false">
      <c r="A238" s="7" t="s">
        <v>539</v>
      </c>
      <c r="B238" s="8" t="s">
        <v>501</v>
      </c>
      <c r="C238" s="8" t="n">
        <v>2007</v>
      </c>
      <c r="D238" s="9" t="s">
        <v>540</v>
      </c>
      <c r="E238" s="7" t="s">
        <v>35</v>
      </c>
      <c r="F238" s="10" t="n">
        <f aca="false">IF(ISBLANK($G238),,VLOOKUP($G238, Rarities!$A$1:$B869, 2, FALSE()))</f>
        <v>3</v>
      </c>
      <c r="G238" s="8" t="s">
        <v>53</v>
      </c>
      <c r="H238" s="8" t="str">
        <f aca="false">VLOOKUP(B238,Manufacturers!A$1:B869,2)</f>
        <v>IT</v>
      </c>
      <c r="I238" s="11" t="n">
        <v>300000</v>
      </c>
      <c r="J238" s="8" t="n">
        <v>1</v>
      </c>
      <c r="K238" s="8"/>
      <c r="L238" s="12" t="n">
        <v>10</v>
      </c>
      <c r="M238" s="11" t="e">
        <f aca="false">IF(AND(ISNUMBER(L238),L238&gt;0),(3*J238+K238)*#REF!/L238,"-")</f>
        <v>#REF!</v>
      </c>
      <c r="N238" s="11" t="e">
        <f aca="false">IF(AND(#REF!,ISNUMBER(L238),L238&gt;0),((3*J238+K238)*#REF!-I238)/L238,"-")</f>
        <v>#REF!</v>
      </c>
      <c r="O238" s="8"/>
      <c r="P238" s="8"/>
    </row>
    <row r="239" customFormat="false" ht="15.75" hidden="false" customHeight="true" outlineLevel="0" collapsed="false">
      <c r="A239" s="7" t="s">
        <v>541</v>
      </c>
      <c r="B239" s="8" t="s">
        <v>501</v>
      </c>
      <c r="C239" s="8" t="n">
        <v>2009</v>
      </c>
      <c r="D239" s="9" t="s">
        <v>542</v>
      </c>
      <c r="E239" s="7" t="s">
        <v>35</v>
      </c>
      <c r="F239" s="10" t="n">
        <f aca="false">IF(ISBLANK($G239),,VLOOKUP($G239, Rarities!$A$1:$B869, 2, FALSE()))</f>
        <v>3</v>
      </c>
      <c r="G239" s="8" t="s">
        <v>53</v>
      </c>
      <c r="H239" s="8" t="str">
        <f aca="false">VLOOKUP(B239,Manufacturers!A$1:B869,2)</f>
        <v>IT</v>
      </c>
      <c r="I239" s="11" t="n">
        <v>225000</v>
      </c>
      <c r="J239" s="8" t="n">
        <v>1</v>
      </c>
      <c r="K239" s="8"/>
      <c r="L239" s="12" t="n">
        <v>10</v>
      </c>
      <c r="M239" s="11" t="e">
        <f aca="false">IF(AND(ISNUMBER(L239),L239&gt;0),(3*J239+K239)*#REF!/L239,"-")</f>
        <v>#REF!</v>
      </c>
      <c r="N239" s="11" t="e">
        <f aca="false">IF(AND(#REF!,ISNUMBER(L239),L239&gt;0),((3*J239+K239)*#REF!-I239)/L239,"-")</f>
        <v>#REF!</v>
      </c>
      <c r="O239" s="8"/>
      <c r="P239" s="8"/>
    </row>
    <row r="240" customFormat="false" ht="15.75" hidden="false" customHeight="true" outlineLevel="0" collapsed="false">
      <c r="A240" s="7" t="s">
        <v>543</v>
      </c>
      <c r="B240" s="8" t="s">
        <v>501</v>
      </c>
      <c r="C240" s="8" t="n">
        <v>2010</v>
      </c>
      <c r="D240" s="9" t="s">
        <v>544</v>
      </c>
      <c r="E240" s="7" t="s">
        <v>86</v>
      </c>
      <c r="F240" s="10" t="n">
        <f aca="false">IF(ISBLANK($G240),,VLOOKUP($G240, Rarities!$A$1:$B869, 2, FALSE()))</f>
        <v>4</v>
      </c>
      <c r="G240" s="8" t="s">
        <v>41</v>
      </c>
      <c r="H240" s="8" t="str">
        <f aca="false">VLOOKUP(B240,Manufacturers!A$1:B869,2)</f>
        <v>IT</v>
      </c>
      <c r="I240" s="11" t="n">
        <v>2000000</v>
      </c>
      <c r="J240" s="8"/>
      <c r="K240" s="8"/>
      <c r="L240" s="12"/>
      <c r="M240" s="11"/>
      <c r="N240" s="11"/>
      <c r="O240" s="8"/>
      <c r="P240" s="8"/>
    </row>
    <row r="241" customFormat="false" ht="15.75" hidden="false" customHeight="true" outlineLevel="0" collapsed="false">
      <c r="A241" s="7" t="s">
        <v>545</v>
      </c>
      <c r="B241" s="8" t="s">
        <v>501</v>
      </c>
      <c r="C241" s="8" t="n">
        <v>2010</v>
      </c>
      <c r="D241" s="9" t="s">
        <v>546</v>
      </c>
      <c r="E241" s="7" t="s">
        <v>106</v>
      </c>
      <c r="F241" s="10" t="n">
        <f aca="false">IF(ISBLANK($G241),,VLOOKUP($G241, Rarities!$A$1:$B869, 2, FALSE()))</f>
        <v>3</v>
      </c>
      <c r="G241" s="8" t="s">
        <v>53</v>
      </c>
      <c r="H241" s="8" t="str">
        <f aca="false">VLOOKUP(B241,Manufacturers!A$1:B869,2)</f>
        <v>IT</v>
      </c>
      <c r="I241" s="11" t="n">
        <v>350000</v>
      </c>
      <c r="J241" s="8"/>
      <c r="K241" s="8" t="n">
        <v>1</v>
      </c>
      <c r="L241" s="12" t="n">
        <v>14</v>
      </c>
      <c r="M241" s="11" t="e">
        <f aca="false">IF(AND(ISNUMBER(L241),L241&gt;0),(3*J241+K241)*#REF!/L241,"-")</f>
        <v>#REF!</v>
      </c>
      <c r="N241" s="11" t="e">
        <f aca="false">IF(AND(#REF!,ISNUMBER(L241),L241&gt;0),((3*J241+K241)*#REF!-I241)/L241,"-")</f>
        <v>#REF!</v>
      </c>
      <c r="O241" s="8"/>
      <c r="P241" s="8"/>
    </row>
    <row r="242" customFormat="false" ht="15.75" hidden="false" customHeight="true" outlineLevel="0" collapsed="false">
      <c r="A242" s="7" t="s">
        <v>547</v>
      </c>
      <c r="B242" s="8" t="s">
        <v>501</v>
      </c>
      <c r="C242" s="8" t="n">
        <v>2012</v>
      </c>
      <c r="D242" s="9" t="s">
        <v>548</v>
      </c>
      <c r="E242" s="7" t="s">
        <v>86</v>
      </c>
      <c r="F242" s="10" t="n">
        <f aca="false">IF(ISBLANK($G242),,VLOOKUP($G242, Rarities!$A$1:$B869, 2, FALSE()))</f>
        <v>4</v>
      </c>
      <c r="G242" s="8" t="s">
        <v>41</v>
      </c>
      <c r="H242" s="8" t="str">
        <f aca="false">VLOOKUP(B242,Manufacturers!A$1:B869,2)</f>
        <v>IT</v>
      </c>
      <c r="I242" s="11" t="n">
        <v>2600000</v>
      </c>
      <c r="J242" s="8" t="n">
        <v>2</v>
      </c>
      <c r="K242" s="8"/>
      <c r="L242" s="12" t="n">
        <v>13</v>
      </c>
      <c r="M242" s="11" t="e">
        <f aca="false">IF(AND(ISNUMBER(L242),L242&gt;0),(3*J242+K242)*#REF!/L242,"-")</f>
        <v>#REF!</v>
      </c>
      <c r="N242" s="11" t="e">
        <f aca="false">IF(AND(#REF!,ISNUMBER(L242),L242&gt;0),((3*J242+K242)*#REF!-I242)/L242,"-")</f>
        <v>#REF!</v>
      </c>
      <c r="O242" s="8"/>
      <c r="P242" s="8"/>
    </row>
    <row r="243" customFormat="false" ht="15.75" hidden="false" customHeight="true" outlineLevel="0" collapsed="false">
      <c r="A243" s="7" t="s">
        <v>549</v>
      </c>
      <c r="B243" s="8" t="s">
        <v>501</v>
      </c>
      <c r="C243" s="8" t="n">
        <v>2013</v>
      </c>
      <c r="D243" s="9" t="s">
        <v>549</v>
      </c>
      <c r="E243" s="7" t="s">
        <v>118</v>
      </c>
      <c r="F243" s="10" t="n">
        <f aca="false">IF(ISBLANK($G243),,VLOOKUP($G243, Rarities!$A$1:$B869, 2, FALSE()))</f>
        <v>4</v>
      </c>
      <c r="G243" s="8" t="s">
        <v>41</v>
      </c>
      <c r="H243" s="8" t="str">
        <f aca="false">VLOOKUP(B243,Manufacturers!A$1:B869,2)</f>
        <v>IT</v>
      </c>
      <c r="I243" s="11" t="n">
        <v>1500000</v>
      </c>
      <c r="J243" s="8" t="n">
        <v>2</v>
      </c>
      <c r="K243" s="8" t="n">
        <v>1</v>
      </c>
      <c r="L243" s="12" t="n">
        <v>21</v>
      </c>
      <c r="M243" s="11" t="e">
        <f aca="false">IF(AND(ISNUMBER(L243),L243&gt;0),(3*J243+K243)*#REF!/L243,"-")</f>
        <v>#REF!</v>
      </c>
      <c r="N243" s="11" t="e">
        <f aca="false">IF(AND(#REF!,ISNUMBER(L243),L243&gt;0),((3*J243+K243)*#REF!-I243)/L243,"-")</f>
        <v>#REF!</v>
      </c>
      <c r="O243" s="8"/>
      <c r="P243" s="8"/>
    </row>
    <row r="244" customFormat="false" ht="15.75" hidden="false" customHeight="true" outlineLevel="0" collapsed="false">
      <c r="A244" s="7" t="s">
        <v>550</v>
      </c>
      <c r="B244" s="8" t="s">
        <v>501</v>
      </c>
      <c r="C244" s="8" t="n">
        <v>2013</v>
      </c>
      <c r="D244" s="9" t="s">
        <v>551</v>
      </c>
      <c r="E244" s="7" t="s">
        <v>111</v>
      </c>
      <c r="F244" s="10" t="n">
        <f aca="false">IF(ISBLANK($G244),,VLOOKUP($G244, Rarities!$A$1:$B869, 2, FALSE()))</f>
        <v>3</v>
      </c>
      <c r="G244" s="8" t="s">
        <v>53</v>
      </c>
      <c r="H244" s="8" t="str">
        <f aca="false">VLOOKUP(B244,Manufacturers!A$1:B869,2)</f>
        <v>IT</v>
      </c>
      <c r="I244" s="11" t="n">
        <v>340000</v>
      </c>
      <c r="J244" s="8" t="n">
        <v>1</v>
      </c>
      <c r="K244" s="8"/>
      <c r="L244" s="12" t="n">
        <v>10</v>
      </c>
      <c r="M244" s="11" t="e">
        <f aca="false">IF(AND(ISNUMBER(L244),L244&gt;0),(3*J244+K244)*#REF!/L244,"-")</f>
        <v>#REF!</v>
      </c>
      <c r="N244" s="11" t="e">
        <f aca="false">IF(AND(#REF!,ISNUMBER(L244),L244&gt;0),((3*J244+K244)*#REF!-I244)/L244,"-")</f>
        <v>#REF!</v>
      </c>
      <c r="O244" s="8"/>
      <c r="P244" s="8"/>
    </row>
    <row r="245" customFormat="false" ht="15.75" hidden="false" customHeight="true" outlineLevel="0" collapsed="false">
      <c r="A245" s="7" t="s">
        <v>552</v>
      </c>
      <c r="B245" s="8" t="s">
        <v>501</v>
      </c>
      <c r="C245" s="8" t="n">
        <v>2014</v>
      </c>
      <c r="D245" s="9" t="s">
        <v>553</v>
      </c>
      <c r="E245" s="7" t="s">
        <v>86</v>
      </c>
      <c r="F245" s="10" t="n">
        <f aca="false">IF(ISBLANK($G245),,VLOOKUP($G245, Rarities!$A$1:$B869, 2, FALSE()))</f>
        <v>4</v>
      </c>
      <c r="G245" s="8" t="s">
        <v>41</v>
      </c>
      <c r="H245" s="8" t="str">
        <f aca="false">VLOOKUP(B245,Manufacturers!A$1:B869,2)</f>
        <v>IT</v>
      </c>
      <c r="I245" s="11" t="n">
        <v>2700000</v>
      </c>
      <c r="J245" s="8"/>
      <c r="K245" s="8" t="n">
        <v>2</v>
      </c>
      <c r="L245" s="12" t="n">
        <v>11</v>
      </c>
      <c r="M245" s="11" t="e">
        <f aca="false">IF(AND(ISNUMBER(L245),L245&gt;0),(3*J245+K245)*#REF!/L245,"-")</f>
        <v>#REF!</v>
      </c>
      <c r="N245" s="11" t="e">
        <f aca="false">IF(AND(#REF!,ISNUMBER(L245),L245&gt;0),((3*J245+K245)*#REF!-I245)/L245,"-")</f>
        <v>#REF!</v>
      </c>
      <c r="O245" s="8"/>
      <c r="P245" s="8"/>
    </row>
    <row r="246" customFormat="false" ht="15.75" hidden="false" customHeight="true" outlineLevel="0" collapsed="false">
      <c r="A246" s="7" t="s">
        <v>554</v>
      </c>
      <c r="B246" s="8" t="s">
        <v>501</v>
      </c>
      <c r="C246" s="8" t="n">
        <v>2014</v>
      </c>
      <c r="D246" s="9" t="s">
        <v>555</v>
      </c>
      <c r="E246" s="7" t="s">
        <v>106</v>
      </c>
      <c r="F246" s="10" t="n">
        <f aca="false">IF(ISBLANK($G246),,VLOOKUP($G246, Rarities!$A$1:$B869, 2, FALSE()))</f>
        <v>3</v>
      </c>
      <c r="G246" s="8" t="s">
        <v>53</v>
      </c>
      <c r="H246" s="8" t="str">
        <f aca="false">VLOOKUP(B246,Manufacturers!A$1:B869,2)</f>
        <v>IT</v>
      </c>
      <c r="I246" s="11" t="n">
        <v>250000</v>
      </c>
      <c r="J246" s="8"/>
      <c r="K246" s="8"/>
      <c r="L246" s="12"/>
      <c r="M246" s="11"/>
      <c r="N246" s="11"/>
      <c r="O246" s="8"/>
      <c r="P246" s="8"/>
    </row>
    <row r="247" customFormat="false" ht="15.75" hidden="false" customHeight="true" outlineLevel="0" collapsed="false">
      <c r="A247" s="7" t="s">
        <v>556</v>
      </c>
      <c r="B247" s="8" t="s">
        <v>501</v>
      </c>
      <c r="C247" s="8" t="n">
        <v>2015</v>
      </c>
      <c r="D247" s="9" t="s">
        <v>557</v>
      </c>
      <c r="E247" s="7" t="s">
        <v>35</v>
      </c>
      <c r="F247" s="10" t="n">
        <f aca="false">IF(ISBLANK($G247),,VLOOKUP($G247, Rarities!$A$1:$B869, 2, FALSE()))</f>
        <v>3</v>
      </c>
      <c r="G247" s="8" t="s">
        <v>53</v>
      </c>
      <c r="H247" s="8" t="str">
        <f aca="false">VLOOKUP(B247,Manufacturers!A$1:B869,2)</f>
        <v>IT</v>
      </c>
      <c r="I247" s="11" t="n">
        <v>290000</v>
      </c>
      <c r="J247" s="8"/>
      <c r="K247" s="8" t="n">
        <v>1</v>
      </c>
      <c r="L247" s="12" t="n">
        <v>9</v>
      </c>
      <c r="M247" s="11" t="e">
        <f aca="false">IF(AND(ISNUMBER(L247),L247&gt;0),(3*J247+K247)*#REF!/L247,"-")</f>
        <v>#REF!</v>
      </c>
      <c r="N247" s="11" t="e">
        <f aca="false">IF(AND(#REF!,ISNUMBER(L247),L247&gt;0),((3*J247+K247)*#REF!-I247)/L247,"-")</f>
        <v>#REF!</v>
      </c>
      <c r="O247" s="8"/>
      <c r="P247" s="8"/>
    </row>
    <row r="248" customFormat="false" ht="15.75" hidden="false" customHeight="true" outlineLevel="0" collapsed="false">
      <c r="A248" s="7" t="s">
        <v>558</v>
      </c>
      <c r="B248" s="8" t="s">
        <v>501</v>
      </c>
      <c r="C248" s="8" t="n">
        <v>2015</v>
      </c>
      <c r="D248" s="9" t="s">
        <v>559</v>
      </c>
      <c r="E248" s="7" t="s">
        <v>106</v>
      </c>
      <c r="F248" s="10" t="n">
        <f aca="false">IF(ISBLANK($G248),,VLOOKUP($G248, Rarities!$A$1:$B869, 2, FALSE()))</f>
        <v>3</v>
      </c>
      <c r="G248" s="8" t="s">
        <v>53</v>
      </c>
      <c r="H248" s="8" t="str">
        <f aca="false">VLOOKUP(B248,Manufacturers!A$1:B869,2)</f>
        <v>IT</v>
      </c>
      <c r="I248" s="11" t="n">
        <v>500000</v>
      </c>
      <c r="J248" s="8" t="n">
        <v>2</v>
      </c>
      <c r="K248" s="8" t="n">
        <v>1</v>
      </c>
      <c r="L248" s="12" t="n">
        <v>24</v>
      </c>
      <c r="M248" s="11" t="e">
        <f aca="false">IF(AND(ISNUMBER(L248),L248&gt;0),(3*J248+K248)*#REF!/L248,"-")</f>
        <v>#REF!</v>
      </c>
      <c r="N248" s="11" t="e">
        <f aca="false">IF(AND(#REF!,ISNUMBER(L248),L248&gt;0),((3*J248+K248)*#REF!-I248)/L248,"-")</f>
        <v>#REF!</v>
      </c>
      <c r="O248" s="8"/>
      <c r="P248" s="8"/>
    </row>
    <row r="249" customFormat="false" ht="15.75" hidden="false" customHeight="true" outlineLevel="0" collapsed="false">
      <c r="A249" s="7" t="s">
        <v>560</v>
      </c>
      <c r="B249" s="8" t="s">
        <v>501</v>
      </c>
      <c r="C249" s="8" t="n">
        <v>2017</v>
      </c>
      <c r="D249" s="9" t="s">
        <v>561</v>
      </c>
      <c r="E249" s="7" t="s">
        <v>106</v>
      </c>
      <c r="F249" s="10" t="n">
        <f aca="false">IF(ISBLANK($G249),,VLOOKUP($G249, Rarities!$A$1:$B869, 2, FALSE()))</f>
        <v>4</v>
      </c>
      <c r="G249" s="8" t="s">
        <v>41</v>
      </c>
      <c r="H249" s="8" t="str">
        <f aca="false">VLOOKUP(B249,Manufacturers!A$1:B869,2)</f>
        <v>IT</v>
      </c>
      <c r="I249" s="11" t="n">
        <v>350000</v>
      </c>
      <c r="J249" s="8" t="n">
        <v>2</v>
      </c>
      <c r="K249" s="8"/>
      <c r="L249" s="12" t="n">
        <v>24</v>
      </c>
      <c r="M249" s="11" t="e">
        <f aca="false">IF(AND(ISNUMBER(L249),L249&gt;0),(3*J249+K249)*#REF!/L249,"-")</f>
        <v>#REF!</v>
      </c>
      <c r="N249" s="11" t="e">
        <f aca="false">IF(AND(#REF!,ISNUMBER(L249),L249&gt;0),((3*J249+K249)*#REF!-I249)/L249,"-")</f>
        <v>#REF!</v>
      </c>
      <c r="O249" s="8"/>
      <c r="P249" s="8"/>
    </row>
    <row r="250" customFormat="false" ht="15.75" hidden="false" customHeight="true" outlineLevel="0" collapsed="false">
      <c r="A250" s="7" t="s">
        <v>562</v>
      </c>
      <c r="B250" s="8" t="s">
        <v>501</v>
      </c>
      <c r="C250" s="8" t="n">
        <v>2017</v>
      </c>
      <c r="D250" s="9" t="s">
        <v>563</v>
      </c>
      <c r="E250" s="7" t="s">
        <v>111</v>
      </c>
      <c r="F250" s="10" t="n">
        <f aca="false">IF(ISBLANK($G250),,VLOOKUP($G250, Rarities!$A$1:$B869, 2, FALSE()))</f>
        <v>3</v>
      </c>
      <c r="G250" s="8" t="s">
        <v>53</v>
      </c>
      <c r="H250" s="8" t="str">
        <f aca="false">VLOOKUP(B250,Manufacturers!A$1:B869,2)</f>
        <v>IT</v>
      </c>
      <c r="I250" s="11" t="n">
        <v>400000</v>
      </c>
      <c r="J250" s="8"/>
      <c r="K250" s="8"/>
      <c r="L250" s="12"/>
      <c r="M250" s="11"/>
      <c r="N250" s="11"/>
      <c r="O250" s="8"/>
      <c r="P250" s="8"/>
    </row>
    <row r="251" customFormat="false" ht="15.75" hidden="false" customHeight="true" outlineLevel="0" collapsed="false">
      <c r="A251" s="7" t="s">
        <v>564</v>
      </c>
      <c r="B251" s="8" t="s">
        <v>501</v>
      </c>
      <c r="C251" s="8" t="n">
        <v>2017</v>
      </c>
      <c r="D251" s="9" t="s">
        <v>565</v>
      </c>
      <c r="E251" s="7" t="s">
        <v>106</v>
      </c>
      <c r="F251" s="10" t="n">
        <f aca="false">IF(ISBLANK($G251),,VLOOKUP($G251, Rarities!$A$1:$B869, 2, FALSE()))</f>
        <v>3</v>
      </c>
      <c r="G251" s="8" t="s">
        <v>53</v>
      </c>
      <c r="H251" s="8" t="str">
        <f aca="false">VLOOKUP(B251,Manufacturers!A$1:B869,2)</f>
        <v>IT</v>
      </c>
      <c r="I251" s="11" t="n">
        <v>300000</v>
      </c>
      <c r="J251" s="8" t="n">
        <v>2</v>
      </c>
      <c r="K251" s="8"/>
      <c r="L251" s="12" t="n">
        <v>34</v>
      </c>
      <c r="M251" s="11" t="e">
        <f aca="false">IF(AND(ISNUMBER(L251),L251&gt;0),(3*J251+K251)*#REF!/L251,"-")</f>
        <v>#REF!</v>
      </c>
      <c r="N251" s="11" t="e">
        <f aca="false">IF(AND(#REF!,ISNUMBER(L251),L251&gt;0),((3*J251+K251)*#REF!-I251)/L251,"-")</f>
        <v>#REF!</v>
      </c>
      <c r="O251" s="8"/>
      <c r="P251" s="8"/>
    </row>
    <row r="252" customFormat="false" ht="15.75" hidden="false" customHeight="true" outlineLevel="0" collapsed="false">
      <c r="A252" s="7" t="s">
        <v>566</v>
      </c>
      <c r="B252" s="8" t="s">
        <v>501</v>
      </c>
      <c r="C252" s="8" t="n">
        <v>2017</v>
      </c>
      <c r="D252" s="9" t="s">
        <v>567</v>
      </c>
      <c r="E252" s="7" t="s">
        <v>35</v>
      </c>
      <c r="F252" s="10" t="n">
        <f aca="false">IF(ISBLANK($G252),,VLOOKUP($G252, Rarities!$A$1:$B869, 2, FALSE()))</f>
        <v>2</v>
      </c>
      <c r="G252" s="8" t="s">
        <v>36</v>
      </c>
      <c r="H252" s="8" t="str">
        <f aca="false">VLOOKUP(B252,Manufacturers!A$1:B869,2)</f>
        <v>IT</v>
      </c>
      <c r="I252" s="11" t="n">
        <v>2500000</v>
      </c>
      <c r="J252" s="8"/>
      <c r="K252" s="8" t="n">
        <v>1</v>
      </c>
      <c r="L252" s="12" t="n">
        <v>9</v>
      </c>
      <c r="M252" s="11" t="e">
        <f aca="false">IF(AND(ISNUMBER(L252),L252&gt;0),(3*J252+K252)*#REF!/L252,"-")</f>
        <v>#REF!</v>
      </c>
      <c r="N252" s="11" t="e">
        <f aca="false">IF(AND(#REF!,ISNUMBER(L252),L252&gt;0),((3*J252+K252)*#REF!-I252)/L252,"-")</f>
        <v>#REF!</v>
      </c>
      <c r="O252" s="8"/>
      <c r="P252" s="8"/>
    </row>
    <row r="253" customFormat="false" ht="15.75" hidden="false" customHeight="true" outlineLevel="0" collapsed="false">
      <c r="A253" s="7" t="s">
        <v>568</v>
      </c>
      <c r="B253" s="8" t="s">
        <v>501</v>
      </c>
      <c r="C253" s="8" t="n">
        <v>2018</v>
      </c>
      <c r="D253" s="9" t="s">
        <v>569</v>
      </c>
      <c r="E253" s="7" t="s">
        <v>86</v>
      </c>
      <c r="F253" s="10" t="n">
        <f aca="false">IF(ISBLANK($G253),,VLOOKUP($G253, Rarities!$A$1:$B869, 2, FALSE()))</f>
        <v>4</v>
      </c>
      <c r="G253" s="8" t="s">
        <v>41</v>
      </c>
      <c r="H253" s="8" t="str">
        <f aca="false">VLOOKUP(B253,Manufacturers!A$1:B869,2)</f>
        <v>IT</v>
      </c>
      <c r="I253" s="11" t="n">
        <v>3000000</v>
      </c>
      <c r="J253" s="8"/>
      <c r="K253" s="8" t="n">
        <v>2</v>
      </c>
      <c r="L253" s="12" t="n">
        <v>11</v>
      </c>
      <c r="M253" s="11" t="e">
        <f aca="false">IF(AND(ISNUMBER(L253),L253&gt;0),(3*J253+K253)*#REF!/L253,"-")</f>
        <v>#REF!</v>
      </c>
      <c r="N253" s="11" t="e">
        <f aca="false">IF(AND(#REF!,ISNUMBER(L253),L253&gt;0),((3*J253+K253)*#REF!-I253)/L253,"-")</f>
        <v>#REF!</v>
      </c>
      <c r="O253" s="8"/>
      <c r="P253" s="8"/>
    </row>
    <row r="254" customFormat="false" ht="15.75" hidden="false" customHeight="true" outlineLevel="0" collapsed="false">
      <c r="A254" s="7" t="s">
        <v>570</v>
      </c>
      <c r="B254" s="8" t="s">
        <v>501</v>
      </c>
      <c r="C254" s="8" t="n">
        <v>2018</v>
      </c>
      <c r="D254" s="9" t="s">
        <v>571</v>
      </c>
      <c r="E254" s="7" t="s">
        <v>106</v>
      </c>
      <c r="F254" s="10" t="n">
        <f aca="false">IF(ISBLANK($G254),,VLOOKUP($G254, Rarities!$A$1:$B869, 2, FALSE()))</f>
        <v>3</v>
      </c>
      <c r="G254" s="8" t="s">
        <v>53</v>
      </c>
      <c r="H254" s="8" t="str">
        <f aca="false">VLOOKUP(B254,Manufacturers!A$1:B869,2)</f>
        <v>IT</v>
      </c>
      <c r="I254" s="11" t="n">
        <v>215000</v>
      </c>
      <c r="J254" s="8" t="n">
        <v>2</v>
      </c>
      <c r="K254" s="8"/>
      <c r="L254" s="12" t="n">
        <v>34</v>
      </c>
      <c r="M254" s="11" t="e">
        <f aca="false">IF(AND(ISNUMBER(L254),L254&gt;0),(3*J254+K254)*#REF!/L254,"-")</f>
        <v>#REF!</v>
      </c>
      <c r="N254" s="11" t="e">
        <f aca="false">IF(AND(#REF!,ISNUMBER(L254),L254&gt;0),((3*J254+K254)*#REF!-I254)/L254,"-")</f>
        <v>#REF!</v>
      </c>
      <c r="O254" s="8"/>
      <c r="P254" s="8"/>
    </row>
    <row r="255" customFormat="false" ht="15.75" hidden="false" customHeight="true" outlineLevel="0" collapsed="false">
      <c r="A255" s="7" t="s">
        <v>572</v>
      </c>
      <c r="B255" s="8" t="s">
        <v>501</v>
      </c>
      <c r="C255" s="8" t="n">
        <v>2019</v>
      </c>
      <c r="D255" s="9" t="s">
        <v>573</v>
      </c>
      <c r="E255" s="7" t="s">
        <v>106</v>
      </c>
      <c r="F255" s="10" t="n">
        <f aca="false">IF(ISBLANK($G255),,VLOOKUP($G255, Rarities!$A$1:$B869, 2, FALSE()))</f>
        <v>4</v>
      </c>
      <c r="G255" s="8" t="s">
        <v>41</v>
      </c>
      <c r="H255" s="8" t="str">
        <f aca="false">VLOOKUP(B255,Manufacturers!A$1:B869,2)</f>
        <v>IT</v>
      </c>
      <c r="I255" s="11" t="n">
        <v>2000000</v>
      </c>
      <c r="J255" s="8"/>
      <c r="K255" s="8" t="n">
        <v>1</v>
      </c>
      <c r="L255" s="12" t="n">
        <v>11</v>
      </c>
      <c r="M255" s="11" t="e">
        <f aca="false">IF(AND(ISNUMBER(L255),L255&gt;0),(3*J255+K255)*#REF!/L255,"-")</f>
        <v>#REF!</v>
      </c>
      <c r="N255" s="11" t="e">
        <f aca="false">IF(AND(#REF!,ISNUMBER(L255),L255&gt;0),((3*J255+K255)*#REF!-I255)/L255,"-")</f>
        <v>#REF!</v>
      </c>
      <c r="O255" s="8"/>
      <c r="P255" s="8"/>
    </row>
    <row r="256" customFormat="false" ht="15.75" hidden="false" customHeight="true" outlineLevel="0" collapsed="false">
      <c r="A256" s="7" t="s">
        <v>574</v>
      </c>
      <c r="B256" s="8" t="s">
        <v>501</v>
      </c>
      <c r="C256" s="8" t="n">
        <v>2019</v>
      </c>
      <c r="D256" s="9" t="s">
        <v>575</v>
      </c>
      <c r="E256" s="7" t="s">
        <v>111</v>
      </c>
      <c r="F256" s="10" t="n">
        <f aca="false">IF(ISBLANK($G256),,VLOOKUP($G256, Rarities!$A$1:$B869, 2, FALSE()))</f>
        <v>3</v>
      </c>
      <c r="G256" s="8" t="s">
        <v>53</v>
      </c>
      <c r="H256" s="8" t="str">
        <f aca="false">VLOOKUP(B256,Manufacturers!A$1:B869,2)</f>
        <v>IT</v>
      </c>
      <c r="I256" s="11" t="n">
        <v>320000</v>
      </c>
      <c r="J256" s="8" t="n">
        <v>1</v>
      </c>
      <c r="K256" s="8"/>
      <c r="L256" s="12" t="n">
        <v>10</v>
      </c>
      <c r="M256" s="11" t="e">
        <f aca="false">IF(AND(ISNUMBER(L256),L256&gt;0),(3*J256+K256)*#REF!/L256,"-")</f>
        <v>#REF!</v>
      </c>
      <c r="N256" s="11" t="e">
        <f aca="false">IF(AND(#REF!,ISNUMBER(L256),L256&gt;0),((3*J256+K256)*#REF!-I256)/L256,"-")</f>
        <v>#REF!</v>
      </c>
      <c r="O256" s="8"/>
      <c r="P256" s="8"/>
    </row>
    <row r="257" customFormat="false" ht="15.75" hidden="false" customHeight="true" outlineLevel="0" collapsed="false">
      <c r="A257" s="7" t="s">
        <v>576</v>
      </c>
      <c r="B257" s="8" t="s">
        <v>501</v>
      </c>
      <c r="C257" s="8" t="n">
        <v>2019</v>
      </c>
      <c r="D257" s="9" t="s">
        <v>577</v>
      </c>
      <c r="E257" s="7" t="s">
        <v>86</v>
      </c>
      <c r="F257" s="10" t="n">
        <f aca="false">IF(ISBLANK($G257),,VLOOKUP($G257, Rarities!$A$1:$B869, 2, FALSE()))</f>
        <v>2</v>
      </c>
      <c r="G257" s="8" t="s">
        <v>36</v>
      </c>
      <c r="H257" s="8" t="str">
        <f aca="false">VLOOKUP(B257,Manufacturers!A$1:B869,2)</f>
        <v>IT</v>
      </c>
      <c r="I257" s="11" t="n">
        <v>313000</v>
      </c>
      <c r="J257" s="8"/>
      <c r="K257" s="8"/>
      <c r="L257" s="12"/>
      <c r="M257" s="11"/>
      <c r="N257" s="11"/>
      <c r="O257" s="8"/>
      <c r="P257" s="8"/>
    </row>
    <row r="258" customFormat="false" ht="15.75" hidden="false" customHeight="true" outlineLevel="0" collapsed="false">
      <c r="A258" s="7" t="s">
        <v>578</v>
      </c>
      <c r="B258" s="8" t="s">
        <v>501</v>
      </c>
      <c r="C258" s="8" t="n">
        <v>2020</v>
      </c>
      <c r="D258" s="9" t="s">
        <v>579</v>
      </c>
      <c r="E258" s="7" t="s">
        <v>35</v>
      </c>
      <c r="F258" s="10" t="n">
        <f aca="false">IF(ISBLANK($G258),,VLOOKUP($G258, Rarities!$A$1:$B869, 2, FALSE()))</f>
        <v>4</v>
      </c>
      <c r="G258" s="8" t="s">
        <v>41</v>
      </c>
      <c r="H258" s="8" t="str">
        <f aca="false">VLOOKUP(B258,Manufacturers!A$1:B869,2)</f>
        <v>IT</v>
      </c>
      <c r="I258" s="11" t="n">
        <v>300000</v>
      </c>
      <c r="J258" s="8"/>
      <c r="K258" s="8"/>
      <c r="L258" s="12"/>
      <c r="M258" s="11"/>
      <c r="N258" s="11"/>
      <c r="O258" s="8"/>
      <c r="P258" s="8"/>
    </row>
    <row r="259" customFormat="false" ht="15.75" hidden="false" customHeight="true" outlineLevel="0" collapsed="false">
      <c r="A259" s="7" t="s">
        <v>580</v>
      </c>
      <c r="B259" s="8" t="s">
        <v>501</v>
      </c>
      <c r="C259" s="8" t="n">
        <v>2020</v>
      </c>
      <c r="D259" s="9" t="s">
        <v>580</v>
      </c>
      <c r="E259" s="7" t="s">
        <v>118</v>
      </c>
      <c r="F259" s="10" t="n">
        <f aca="false">IF(ISBLANK($G259),,VLOOKUP($G259, Rarities!$A$1:$B869, 2, FALSE()))</f>
        <v>4</v>
      </c>
      <c r="G259" s="8" t="s">
        <v>41</v>
      </c>
      <c r="H259" s="8" t="str">
        <f aca="false">VLOOKUP(B259,Manufacturers!A$1:B869,2)</f>
        <v>IT</v>
      </c>
      <c r="I259" s="11" t="n">
        <v>750000</v>
      </c>
      <c r="J259" s="8"/>
      <c r="K259" s="8"/>
      <c r="L259" s="12"/>
      <c r="M259" s="11"/>
      <c r="N259" s="11"/>
      <c r="O259" s="8"/>
      <c r="P259" s="8"/>
    </row>
    <row r="260" customFormat="false" ht="15.75" hidden="false" customHeight="true" outlineLevel="0" collapsed="false">
      <c r="A260" s="7" t="s">
        <v>581</v>
      </c>
      <c r="B260" s="8" t="s">
        <v>501</v>
      </c>
      <c r="C260" s="8" t="n">
        <v>2020</v>
      </c>
      <c r="D260" s="9" t="s">
        <v>582</v>
      </c>
      <c r="E260" s="7" t="s">
        <v>106</v>
      </c>
      <c r="F260" s="10" t="n">
        <f aca="false">IF(ISBLANK($G260),,VLOOKUP($G260, Rarities!$A$1:$B869, 2, FALSE()))</f>
        <v>3</v>
      </c>
      <c r="G260" s="8" t="s">
        <v>53</v>
      </c>
      <c r="H260" s="8" t="str">
        <f aca="false">VLOOKUP(B260,Manufacturers!A$1:B869,2)</f>
        <v>IT</v>
      </c>
      <c r="I260" s="11" t="n">
        <v>300000</v>
      </c>
      <c r="J260" s="8"/>
      <c r="K260" s="8"/>
      <c r="L260" s="12"/>
      <c r="M260" s="11"/>
      <c r="N260" s="11"/>
      <c r="O260" s="8"/>
      <c r="P260" s="8"/>
    </row>
    <row r="261" customFormat="false" ht="15.75" hidden="false" customHeight="true" outlineLevel="0" collapsed="false">
      <c r="A261" s="7" t="s">
        <v>583</v>
      </c>
      <c r="B261" s="8" t="s">
        <v>501</v>
      </c>
      <c r="C261" s="8" t="n">
        <v>2022</v>
      </c>
      <c r="D261" s="9" t="s">
        <v>584</v>
      </c>
      <c r="E261" s="7" t="s">
        <v>35</v>
      </c>
      <c r="F261" s="10" t="n">
        <f aca="false">IF(ISBLANK($G261),,VLOOKUP($G261, Rarities!$A$1:$B869, 2, FALSE()))</f>
        <v>3</v>
      </c>
      <c r="G261" s="8" t="s">
        <v>53</v>
      </c>
      <c r="H261" s="8" t="str">
        <f aca="false">VLOOKUP(B261,Manufacturers!A$1:B869,2)</f>
        <v>IT</v>
      </c>
      <c r="I261" s="11" t="n">
        <v>300000</v>
      </c>
      <c r="J261" s="8"/>
      <c r="K261" s="8"/>
      <c r="L261" s="12"/>
      <c r="M261" s="11"/>
      <c r="N261" s="11"/>
      <c r="O261" s="8"/>
      <c r="P261" s="8"/>
    </row>
    <row r="262" customFormat="false" ht="15.75" hidden="false" customHeight="true" outlineLevel="0" collapsed="false">
      <c r="A262" s="7" t="s">
        <v>585</v>
      </c>
      <c r="B262" s="8" t="s">
        <v>586</v>
      </c>
      <c r="C262" s="8" t="n">
        <v>1969</v>
      </c>
      <c r="D262" s="9" t="s">
        <v>587</v>
      </c>
      <c r="E262" s="7" t="s">
        <v>184</v>
      </c>
      <c r="F262" s="10" t="n">
        <f aca="false">IF(ISBLANK($G262),,VLOOKUP($G262, Rarities!$A$1:$B869, 2, FALSE()))</f>
        <v>2</v>
      </c>
      <c r="G262" s="8" t="s">
        <v>36</v>
      </c>
      <c r="H262" s="8" t="str">
        <f aca="false">VLOOKUP(B262,Manufacturers!A$1:B869,2)</f>
        <v>IT</v>
      </c>
      <c r="I262" s="11" t="n">
        <v>250000</v>
      </c>
      <c r="J262" s="8"/>
      <c r="K262" s="8"/>
      <c r="L262" s="12"/>
      <c r="M262" s="11"/>
      <c r="N262" s="11"/>
      <c r="O262" s="8"/>
      <c r="P262" s="8"/>
    </row>
    <row r="263" customFormat="false" ht="15.75" hidden="false" customHeight="true" outlineLevel="0" collapsed="false">
      <c r="A263" s="7" t="s">
        <v>588</v>
      </c>
      <c r="B263" s="8" t="s">
        <v>586</v>
      </c>
      <c r="C263" s="8" t="n">
        <v>1980</v>
      </c>
      <c r="D263" s="9" t="s">
        <v>589</v>
      </c>
      <c r="E263" s="7" t="s">
        <v>184</v>
      </c>
      <c r="F263" s="10" t="n">
        <f aca="false">IF(ISBLANK($G263),,VLOOKUP($G263, Rarities!$A$1:$B869, 2, FALSE()))</f>
        <v>1</v>
      </c>
      <c r="G263" s="8" t="s">
        <v>17</v>
      </c>
      <c r="H263" s="8" t="str">
        <f aca="false">VLOOKUP(B263,Manufacturers!A$1:B869,2)</f>
        <v>IT</v>
      </c>
      <c r="I263" s="11" t="n">
        <v>25000</v>
      </c>
      <c r="J263" s="8"/>
      <c r="K263" s="8"/>
      <c r="L263" s="12"/>
      <c r="M263" s="11"/>
      <c r="N263" s="11"/>
      <c r="O263" s="8"/>
      <c r="P263" s="8"/>
    </row>
    <row r="264" customFormat="false" ht="15.75" hidden="false" customHeight="true" outlineLevel="0" collapsed="false">
      <c r="A264" s="7" t="s">
        <v>590</v>
      </c>
      <c r="B264" s="8" t="s">
        <v>591</v>
      </c>
      <c r="C264" s="8" t="n">
        <v>1932</v>
      </c>
      <c r="D264" s="9" t="s">
        <v>592</v>
      </c>
      <c r="E264" s="7" t="s">
        <v>67</v>
      </c>
      <c r="F264" s="10" t="n">
        <f aca="false">IF(ISBLANK($G264),,VLOOKUP($G264, Rarities!$A$1:$B869, 2, FALSE()))</f>
        <v>5</v>
      </c>
      <c r="G264" s="8" t="s">
        <v>239</v>
      </c>
      <c r="H264" s="8" t="str">
        <f aca="false">VLOOKUP(B264,Manufacturers!A$1:B869,2)</f>
        <v>US</v>
      </c>
      <c r="I264" s="11" t="n">
        <v>294000</v>
      </c>
      <c r="J264" s="8" t="n">
        <v>1</v>
      </c>
      <c r="K264" s="8"/>
      <c r="L264" s="12" t="n">
        <v>21</v>
      </c>
      <c r="M264" s="11" t="e">
        <f aca="false">IF(AND(ISNUMBER(L264),L264&gt;0),(3*J264+K264)*#REF!/L264,"-")</f>
        <v>#REF!</v>
      </c>
      <c r="N264" s="11" t="e">
        <f aca="false">IF(AND(#REF!,ISNUMBER(L264),L264&gt;0),((3*J264+K264)*#REF!-I264)/L264,"-")</f>
        <v>#REF!</v>
      </c>
      <c r="O264" s="8"/>
      <c r="P264" s="8"/>
    </row>
    <row r="265" customFormat="false" ht="15.75" hidden="false" customHeight="true" outlineLevel="0" collapsed="false">
      <c r="A265" s="7" t="s">
        <v>593</v>
      </c>
      <c r="B265" s="8" t="s">
        <v>591</v>
      </c>
      <c r="C265" s="8" t="n">
        <v>1932</v>
      </c>
      <c r="D265" s="9" t="s">
        <v>594</v>
      </c>
      <c r="E265" s="7" t="s">
        <v>327</v>
      </c>
      <c r="F265" s="10" t="n">
        <f aca="false">IF(ISBLANK($G265),,VLOOKUP($G265, Rarities!$A$1:$B869, 2, FALSE()))</f>
        <v>1</v>
      </c>
      <c r="G265" s="8" t="s">
        <v>17</v>
      </c>
      <c r="H265" s="8" t="str">
        <f aca="false">VLOOKUP(B265,Manufacturers!A$1:B869,2)</f>
        <v>US</v>
      </c>
      <c r="I265" s="11" t="n">
        <v>35000</v>
      </c>
      <c r="J265" s="8"/>
      <c r="K265" s="8" t="n">
        <v>1</v>
      </c>
      <c r="L265" s="12" t="n">
        <v>31</v>
      </c>
      <c r="M265" s="11" t="e">
        <f aca="false">IF(AND(ISNUMBER(L265),L265&gt;0),(3*J265+K265)*#REF!/L265,"-")</f>
        <v>#REF!</v>
      </c>
      <c r="N265" s="11" t="e">
        <f aca="false">IF(AND(#REF!,ISNUMBER(L265),L265&gt;0),((3*J265+K265)*#REF!-I265)/L265,"-")</f>
        <v>#REF!</v>
      </c>
      <c r="O265" s="8"/>
      <c r="P265" s="8"/>
    </row>
    <row r="266" customFormat="false" ht="15.75" hidden="false" customHeight="true" outlineLevel="0" collapsed="false">
      <c r="A266" s="7" t="s">
        <v>595</v>
      </c>
      <c r="B266" s="8" t="s">
        <v>591</v>
      </c>
      <c r="C266" s="8" t="n">
        <v>1940</v>
      </c>
      <c r="D266" s="9" t="s">
        <v>596</v>
      </c>
      <c r="E266" s="7" t="s">
        <v>327</v>
      </c>
      <c r="F266" s="10" t="n">
        <f aca="false">IF(ISBLANK($G266),,VLOOKUP($G266, Rarities!$A$1:$B869, 2, FALSE()))</f>
        <v>1</v>
      </c>
      <c r="G266" s="8" t="s">
        <v>17</v>
      </c>
      <c r="H266" s="8" t="str">
        <f aca="false">VLOOKUP(B266,Manufacturers!A$1:B869,2)</f>
        <v>US</v>
      </c>
      <c r="I266" s="11" t="n">
        <v>44000</v>
      </c>
      <c r="J266" s="8"/>
      <c r="K266" s="8" t="n">
        <v>1</v>
      </c>
      <c r="L266" s="12" t="n">
        <v>31</v>
      </c>
      <c r="M266" s="11" t="e">
        <f aca="false">IF(AND(ISNUMBER(L266),L266&gt;0),(3*J266+K266)*#REF!/L266,"-")</f>
        <v>#REF!</v>
      </c>
      <c r="N266" s="11" t="e">
        <f aca="false">IF(AND(#REF!,ISNUMBER(L266),L266&gt;0),((3*J266+K266)*#REF!-I266)/L266,"-")</f>
        <v>#REF!</v>
      </c>
      <c r="O266" s="8"/>
      <c r="P266" s="8"/>
    </row>
    <row r="267" customFormat="false" ht="15.75" hidden="false" customHeight="true" outlineLevel="0" collapsed="false">
      <c r="A267" s="7" t="s">
        <v>597</v>
      </c>
      <c r="B267" s="8" t="s">
        <v>591</v>
      </c>
      <c r="C267" s="8" t="n">
        <v>1946</v>
      </c>
      <c r="D267" s="9" t="s">
        <v>598</v>
      </c>
      <c r="E267" s="7" t="s">
        <v>327</v>
      </c>
      <c r="F267" s="10" t="n">
        <f aca="false">IF(ISBLANK($G267),,VLOOKUP($G267, Rarities!$A$1:$B869, 2, FALSE()))</f>
        <v>1</v>
      </c>
      <c r="G267" s="8" t="s">
        <v>17</v>
      </c>
      <c r="H267" s="8" t="str">
        <f aca="false">VLOOKUP(B267,Manufacturers!A$1:B869,2)</f>
        <v>US</v>
      </c>
      <c r="I267" s="11" t="n">
        <v>250000</v>
      </c>
      <c r="J267" s="8"/>
      <c r="K267" s="8"/>
      <c r="L267" s="12"/>
      <c r="M267" s="11"/>
      <c r="N267" s="11"/>
      <c r="O267" s="8"/>
      <c r="P267" s="8"/>
    </row>
    <row r="268" customFormat="false" ht="15.75" hidden="false" customHeight="true" outlineLevel="0" collapsed="false">
      <c r="A268" s="7" t="s">
        <v>599</v>
      </c>
      <c r="B268" s="8" t="s">
        <v>591</v>
      </c>
      <c r="C268" s="8" t="n">
        <v>1956</v>
      </c>
      <c r="D268" s="9" t="s">
        <v>600</v>
      </c>
      <c r="E268" s="7" t="s">
        <v>327</v>
      </c>
      <c r="F268" s="10" t="n">
        <f aca="false">IF(ISBLANK($G268),,VLOOKUP($G268, Rarities!$A$1:$B869, 2, FALSE()))</f>
        <v>4</v>
      </c>
      <c r="G268" s="8" t="s">
        <v>41</v>
      </c>
      <c r="H268" s="8" t="str">
        <f aca="false">VLOOKUP(B268,Manufacturers!A$1:B869,2)</f>
        <v>US</v>
      </c>
      <c r="I268" s="11" t="n">
        <v>36000</v>
      </c>
      <c r="J268" s="8"/>
      <c r="K268" s="8" t="n">
        <v>1</v>
      </c>
      <c r="L268" s="12" t="n">
        <v>9</v>
      </c>
      <c r="M268" s="11" t="e">
        <f aca="false">IF(AND(ISNUMBER(L268),L268&gt;0),(3*J268+K268)*#REF!/L268,"-")</f>
        <v>#REF!</v>
      </c>
      <c r="N268" s="11" t="e">
        <f aca="false">IF(AND(#REF!,ISNUMBER(L268),L268&gt;0),((3*J268+K268)*#REF!-I268)/L268,"-")</f>
        <v>#REF!</v>
      </c>
      <c r="O268" s="8"/>
      <c r="P268" s="8"/>
    </row>
    <row r="269" customFormat="false" ht="15.75" hidden="false" customHeight="true" outlineLevel="0" collapsed="false">
      <c r="A269" s="7" t="s">
        <v>601</v>
      </c>
      <c r="B269" s="8" t="s">
        <v>591</v>
      </c>
      <c r="C269" s="8" t="n">
        <v>1959</v>
      </c>
      <c r="D269" s="9" t="s">
        <v>602</v>
      </c>
      <c r="E269" s="7" t="s">
        <v>16</v>
      </c>
      <c r="F269" s="10" t="n">
        <f aca="false">IF(ISBLANK($G269),,VLOOKUP($G269, Rarities!$A$1:$B869, 2, FALSE()))</f>
        <v>1</v>
      </c>
      <c r="G269" s="8" t="s">
        <v>17</v>
      </c>
      <c r="H269" s="8" t="str">
        <f aca="false">VLOOKUP(B269,Manufacturers!A$1:B869,2)</f>
        <v>US</v>
      </c>
      <c r="I269" s="11" t="n">
        <v>20000</v>
      </c>
      <c r="J269" s="8"/>
      <c r="K269" s="8" t="n">
        <v>1</v>
      </c>
      <c r="L269" s="12" t="n">
        <v>9</v>
      </c>
      <c r="M269" s="11" t="e">
        <f aca="false">IF(AND(ISNUMBER(L269),L269&gt;0),(3*J269+K269)*#REF!/L269,"-")</f>
        <v>#REF!</v>
      </c>
      <c r="N269" s="11" t="e">
        <f aca="false">IF(AND(#REF!,ISNUMBER(L269),L269&gt;0),((3*J269+K269)*#REF!-I269)/L269,"-")</f>
        <v>#REF!</v>
      </c>
      <c r="O269" s="8"/>
      <c r="P269" s="8"/>
    </row>
    <row r="270" customFormat="false" ht="15.75" hidden="false" customHeight="true" outlineLevel="0" collapsed="false">
      <c r="A270" s="7" t="s">
        <v>603</v>
      </c>
      <c r="B270" s="8" t="s">
        <v>591</v>
      </c>
      <c r="C270" s="8" t="n">
        <v>1964</v>
      </c>
      <c r="D270" s="9" t="s">
        <v>604</v>
      </c>
      <c r="E270" s="7" t="s">
        <v>40</v>
      </c>
      <c r="F270" s="10" t="n">
        <f aca="false">IF(ISBLANK($G270),,VLOOKUP($G270, Rarities!$A$1:$B869, 2, FALSE()))</f>
        <v>4</v>
      </c>
      <c r="G270" s="8" t="s">
        <v>41</v>
      </c>
      <c r="H270" s="8" t="str">
        <f aca="false">VLOOKUP(B270,Manufacturers!A$1:B869,2)</f>
        <v>US</v>
      </c>
      <c r="I270" s="11" t="n">
        <v>11000000</v>
      </c>
      <c r="J270" s="8"/>
      <c r="K270" s="8" t="n">
        <v>3</v>
      </c>
      <c r="L270" s="12" t="n">
        <v>28</v>
      </c>
      <c r="M270" s="11" t="e">
        <f aca="false">IF(AND(ISNUMBER(L270),L270&gt;0),(3*J270+K270)*#REF!/L270,"-")</f>
        <v>#REF!</v>
      </c>
      <c r="N270" s="11" t="e">
        <f aca="false">IF(AND(#REF!,ISNUMBER(L270),L270&gt;0),((3*J270+K270)*#REF!-I270)/L270,"-")</f>
        <v>#REF!</v>
      </c>
      <c r="O270" s="8"/>
      <c r="P270" s="8"/>
    </row>
    <row r="271" customFormat="false" ht="15.75" hidden="false" customHeight="true" outlineLevel="0" collapsed="false">
      <c r="A271" s="7" t="s">
        <v>605</v>
      </c>
      <c r="B271" s="8" t="s">
        <v>591</v>
      </c>
      <c r="C271" s="8" t="n">
        <v>1965</v>
      </c>
      <c r="D271" s="9" t="s">
        <v>606</v>
      </c>
      <c r="E271" s="7" t="s">
        <v>76</v>
      </c>
      <c r="F271" s="10" t="n">
        <f aca="false">IF(ISBLANK($G271),,VLOOKUP($G271, Rarities!$A$1:$B869, 2, FALSE()))</f>
        <v>2</v>
      </c>
      <c r="G271" s="8" t="s">
        <v>36</v>
      </c>
      <c r="H271" s="8" t="str">
        <f aca="false">VLOOKUP(B271,Manufacturers!A$1:B869,2)</f>
        <v>US</v>
      </c>
      <c r="I271" s="11" t="n">
        <v>46000</v>
      </c>
      <c r="J271" s="8"/>
      <c r="K271" s="8" t="n">
        <v>2</v>
      </c>
      <c r="L271" s="12" t="n">
        <v>14</v>
      </c>
      <c r="M271" s="11" t="e">
        <f aca="false">IF(AND(ISNUMBER(L271),L271&gt;0),(3*J271+K271)*#REF!/L271,"-")</f>
        <v>#REF!</v>
      </c>
      <c r="N271" s="11" t="e">
        <f aca="false">IF(AND(#REF!,ISNUMBER(L271),L271&gt;0),((3*J271+K271)*#REF!-I271)/L271,"-")</f>
        <v>#REF!</v>
      </c>
      <c r="O271" s="8"/>
      <c r="P271" s="8"/>
    </row>
    <row r="272" customFormat="false" ht="15.75" hidden="false" customHeight="true" outlineLevel="0" collapsed="false">
      <c r="A272" s="7" t="s">
        <v>607</v>
      </c>
      <c r="B272" s="8" t="s">
        <v>591</v>
      </c>
      <c r="C272" s="8" t="n">
        <v>1965</v>
      </c>
      <c r="D272" s="9" t="s">
        <v>608</v>
      </c>
      <c r="E272" s="7" t="s">
        <v>350</v>
      </c>
      <c r="F272" s="10" t="n">
        <f aca="false">IF(ISBLANK($G272),,VLOOKUP($G272, Rarities!$A$1:$B869, 2, FALSE()))</f>
        <v>1</v>
      </c>
      <c r="G272" s="8" t="s">
        <v>17</v>
      </c>
      <c r="H272" s="8" t="str">
        <f aca="false">VLOOKUP(B272,Manufacturers!A$1:B869,2)</f>
        <v>US</v>
      </c>
      <c r="I272" s="11" t="n">
        <v>25000</v>
      </c>
      <c r="J272" s="8"/>
      <c r="K272" s="8" t="n">
        <v>1</v>
      </c>
      <c r="L272" s="12" t="n">
        <v>9</v>
      </c>
      <c r="M272" s="11" t="e">
        <f aca="false">IF(AND(ISNUMBER(L272),L272&gt;0),(3*J272+K272)*#REF!/L272,"-")</f>
        <v>#REF!</v>
      </c>
      <c r="N272" s="11" t="e">
        <f aca="false">IF(AND(#REF!,ISNUMBER(L272),L272&gt;0),((3*J272+K272)*#REF!-I272)/L272,"-")</f>
        <v>#REF!</v>
      </c>
      <c r="O272" s="8"/>
      <c r="P272" s="8"/>
    </row>
    <row r="273" customFormat="false" ht="15.75" hidden="false" customHeight="true" outlineLevel="0" collapsed="false">
      <c r="A273" s="7" t="s">
        <v>609</v>
      </c>
      <c r="B273" s="8" t="s">
        <v>591</v>
      </c>
      <c r="C273" s="8" t="n">
        <v>1966</v>
      </c>
      <c r="D273" s="9" t="s">
        <v>610</v>
      </c>
      <c r="E273" s="7" t="s">
        <v>40</v>
      </c>
      <c r="F273" s="10" t="n">
        <f aca="false">IF(ISBLANK($G273),,VLOOKUP($G273, Rarities!$A$1:$B869, 2, FALSE()))</f>
        <v>4</v>
      </c>
      <c r="G273" s="8" t="s">
        <v>41</v>
      </c>
      <c r="H273" s="8" t="str">
        <f aca="false">VLOOKUP(B273,Manufacturers!A$1:B869,2)</f>
        <v>US</v>
      </c>
      <c r="I273" s="11" t="n">
        <v>11000000</v>
      </c>
      <c r="J273" s="8" t="n">
        <v>1</v>
      </c>
      <c r="K273" s="8"/>
      <c r="L273" s="12" t="n">
        <v>10</v>
      </c>
      <c r="M273" s="11" t="e">
        <f aca="false">IF(AND(ISNUMBER(L273),L273&gt;0),(3*J273+K273)*#REF!/L273,"-")</f>
        <v>#REF!</v>
      </c>
      <c r="N273" s="11" t="e">
        <f aca="false">IF(AND(#REF!,ISNUMBER(L273),L273&gt;0),((3*J273+K273)*#REF!-I273)/L273,"-")</f>
        <v>#REF!</v>
      </c>
      <c r="O273" s="8"/>
      <c r="P273" s="8"/>
    </row>
    <row r="274" customFormat="false" ht="15.75" hidden="false" customHeight="true" outlineLevel="0" collapsed="false">
      <c r="A274" s="7" t="s">
        <v>611</v>
      </c>
      <c r="B274" s="8" t="s">
        <v>591</v>
      </c>
      <c r="C274" s="8" t="n">
        <v>1966</v>
      </c>
      <c r="D274" s="9" t="s">
        <v>612</v>
      </c>
      <c r="E274" s="7" t="s">
        <v>40</v>
      </c>
      <c r="F274" s="10" t="n">
        <f aca="false">IF(ISBLANK($G274),,VLOOKUP($G274, Rarities!$A$1:$B869, 2, FALSE()))</f>
        <v>1</v>
      </c>
      <c r="G274" s="8" t="s">
        <v>17</v>
      </c>
      <c r="H274" s="8" t="str">
        <f aca="false">VLOOKUP(B274,Manufacturers!A$1:B869,2)</f>
        <v>US</v>
      </c>
      <c r="I274" s="11" t="n">
        <v>50000</v>
      </c>
      <c r="J274" s="8"/>
      <c r="K274" s="8" t="n">
        <v>1</v>
      </c>
      <c r="L274" s="12" t="n">
        <v>9</v>
      </c>
      <c r="M274" s="11" t="e">
        <f aca="false">IF(AND(ISNUMBER(L274),L274&gt;0),(3*J274+K274)*#REF!/L274,"-")</f>
        <v>#REF!</v>
      </c>
      <c r="N274" s="11" t="e">
        <f aca="false">IF(AND(#REF!,ISNUMBER(L274),L274&gt;0),((3*J274+K274)*#REF!-I274)/L274,"-")</f>
        <v>#REF!</v>
      </c>
      <c r="O274" s="8"/>
      <c r="P274" s="8"/>
    </row>
    <row r="275" customFormat="false" ht="15.75" hidden="false" customHeight="true" outlineLevel="0" collapsed="false">
      <c r="A275" s="7" t="s">
        <v>613</v>
      </c>
      <c r="B275" s="8" t="s">
        <v>591</v>
      </c>
      <c r="C275" s="8" t="n">
        <v>1967</v>
      </c>
      <c r="D275" s="9" t="s">
        <v>614</v>
      </c>
      <c r="E275" s="7" t="s">
        <v>20</v>
      </c>
      <c r="F275" s="10" t="n">
        <f aca="false">IF(ISBLANK($G275),,VLOOKUP($G275, Rarities!$A$1:$B869, 2, FALSE()))</f>
        <v>4</v>
      </c>
      <c r="G275" s="8" t="s">
        <v>41</v>
      </c>
      <c r="H275" s="8" t="str">
        <f aca="false">VLOOKUP(B275,Manufacturers!A$1:B869,2)</f>
        <v>US</v>
      </c>
      <c r="I275" s="11" t="n">
        <v>500000</v>
      </c>
      <c r="J275" s="8"/>
      <c r="K275" s="8" t="n">
        <v>1</v>
      </c>
      <c r="L275" s="12" t="n">
        <v>23</v>
      </c>
      <c r="M275" s="11" t="e">
        <f aca="false">IF(AND(ISNUMBER(L275),L275&gt;0),(3*J275+K275)*#REF!/L275,"-")</f>
        <v>#REF!</v>
      </c>
      <c r="N275" s="11" t="e">
        <f aca="false">IF(AND(#REF!,ISNUMBER(L275),L275&gt;0),((3*J275+K275)*#REF!-I275)/L275,"-")</f>
        <v>#REF!</v>
      </c>
      <c r="O275" s="8"/>
      <c r="P275" s="8"/>
    </row>
    <row r="276" customFormat="false" ht="15.75" hidden="false" customHeight="true" outlineLevel="0" collapsed="false">
      <c r="A276" s="7" t="s">
        <v>615</v>
      </c>
      <c r="B276" s="8" t="s">
        <v>591</v>
      </c>
      <c r="C276" s="8" t="n">
        <v>1968</v>
      </c>
      <c r="D276" s="9" t="s">
        <v>616</v>
      </c>
      <c r="E276" s="7" t="s">
        <v>76</v>
      </c>
      <c r="F276" s="10" t="n">
        <f aca="false">IF(ISBLANK($G276),,VLOOKUP($G276, Rarities!$A$1:$B869, 2, FALSE()))</f>
        <v>4</v>
      </c>
      <c r="G276" s="8" t="s">
        <v>41</v>
      </c>
      <c r="H276" s="8" t="str">
        <f aca="false">VLOOKUP(B276,Manufacturers!A$1:B869,2)</f>
        <v>US</v>
      </c>
      <c r="I276" s="11" t="n">
        <v>50000</v>
      </c>
      <c r="J276" s="8"/>
      <c r="K276" s="8" t="n">
        <v>1</v>
      </c>
      <c r="L276" s="12" t="n">
        <v>11</v>
      </c>
      <c r="M276" s="11" t="e">
        <f aca="false">IF(AND(ISNUMBER(L276),L276&gt;0),(3*J276+K276)*#REF!/L276,"-")</f>
        <v>#REF!</v>
      </c>
      <c r="N276" s="11" t="e">
        <f aca="false">IF(AND(#REF!,ISNUMBER(L276),L276&gt;0),((3*J276+K276)*#REF!-I276)/L276,"-")</f>
        <v>#REF!</v>
      </c>
      <c r="O276" s="8"/>
      <c r="P276" s="8"/>
    </row>
    <row r="277" customFormat="false" ht="15.75" hidden="false" customHeight="true" outlineLevel="0" collapsed="false">
      <c r="A277" s="7" t="s">
        <v>617</v>
      </c>
      <c r="B277" s="8" t="s">
        <v>591</v>
      </c>
      <c r="C277" s="8" t="n">
        <v>1969</v>
      </c>
      <c r="D277" s="9" t="s">
        <v>618</v>
      </c>
      <c r="E277" s="7" t="s">
        <v>76</v>
      </c>
      <c r="F277" s="10" t="n">
        <f aca="false">IF(ISBLANK($G277),,VLOOKUP($G277, Rarities!$A$1:$B869, 2, FALSE()))</f>
        <v>2</v>
      </c>
      <c r="G277" s="8" t="s">
        <v>36</v>
      </c>
      <c r="H277" s="8" t="str">
        <f aca="false">VLOOKUP(B277,Manufacturers!A$1:B869,2)</f>
        <v>US</v>
      </c>
      <c r="I277" s="11" t="n">
        <v>230000</v>
      </c>
      <c r="J277" s="8"/>
      <c r="K277" s="8" t="n">
        <v>2</v>
      </c>
      <c r="L277" s="12" t="n">
        <v>14</v>
      </c>
      <c r="M277" s="11" t="e">
        <f aca="false">IF(AND(ISNUMBER(L277),L277&gt;0),(3*J277+K277)*#REF!/L277,"-")</f>
        <v>#REF!</v>
      </c>
      <c r="N277" s="11" t="e">
        <f aca="false">IF(AND(#REF!,ISNUMBER(L277),L277&gt;0),((3*J277+K277)*#REF!-I277)/L277,"-")</f>
        <v>#REF!</v>
      </c>
      <c r="O277" s="8"/>
      <c r="P277" s="8"/>
    </row>
    <row r="278" customFormat="false" ht="15.75" hidden="false" customHeight="true" outlineLevel="0" collapsed="false">
      <c r="A278" s="7" t="s">
        <v>619</v>
      </c>
      <c r="B278" s="8" t="s">
        <v>591</v>
      </c>
      <c r="C278" s="8" t="n">
        <v>1970</v>
      </c>
      <c r="D278" s="9" t="s">
        <v>620</v>
      </c>
      <c r="E278" s="7" t="s">
        <v>20</v>
      </c>
      <c r="F278" s="10" t="n">
        <f aca="false">IF(ISBLANK($G278),,VLOOKUP($G278, Rarities!$A$1:$B869, 2, FALSE()))</f>
        <v>2</v>
      </c>
      <c r="G278" s="8" t="s">
        <v>36</v>
      </c>
      <c r="H278" s="8" t="str">
        <f aca="false">VLOOKUP(B278,Manufacturers!A$1:B869,2)</f>
        <v>US</v>
      </c>
      <c r="I278" s="11" t="n">
        <v>150000</v>
      </c>
      <c r="J278" s="8"/>
      <c r="K278" s="8" t="n">
        <v>1</v>
      </c>
      <c r="L278" s="12" t="n">
        <v>23</v>
      </c>
      <c r="M278" s="11" t="e">
        <f aca="false">IF(AND(ISNUMBER(L278),L278&gt;0),(3*J278+K278)*#REF!/L278,"-")</f>
        <v>#REF!</v>
      </c>
      <c r="N278" s="11" t="e">
        <f aca="false">IF(AND(#REF!,ISNUMBER(L278),L278&gt;0),((3*J278+K278)*#REF!-I278)/L278,"-")</f>
        <v>#REF!</v>
      </c>
      <c r="O278" s="8"/>
      <c r="P278" s="8"/>
    </row>
    <row r="279" customFormat="false" ht="15.75" hidden="false" customHeight="true" outlineLevel="0" collapsed="false">
      <c r="A279" s="7" t="s">
        <v>621</v>
      </c>
      <c r="B279" s="8" t="s">
        <v>591</v>
      </c>
      <c r="C279" s="8" t="n">
        <v>1971</v>
      </c>
      <c r="D279" s="9" t="s">
        <v>622</v>
      </c>
      <c r="E279" s="7" t="s">
        <v>76</v>
      </c>
      <c r="F279" s="10" t="n">
        <f aca="false">IF(ISBLANK($G279),,VLOOKUP($G279, Rarities!$A$1:$B869, 2, FALSE()))</f>
        <v>3</v>
      </c>
      <c r="G279" s="8" t="s">
        <v>53</v>
      </c>
      <c r="H279" s="8" t="str">
        <f aca="false">VLOOKUP(B279,Manufacturers!A$1:B869,2)</f>
        <v>US</v>
      </c>
      <c r="I279" s="11" t="n">
        <v>250000</v>
      </c>
      <c r="J279" s="8" t="n">
        <v>1</v>
      </c>
      <c r="K279" s="8"/>
      <c r="L279" s="12" t="n">
        <v>14</v>
      </c>
      <c r="M279" s="11" t="e">
        <f aca="false">IF(AND(ISNUMBER(L279),L279&gt;0),(3*J279+K279)*#REF!/L279,"-")</f>
        <v>#REF!</v>
      </c>
      <c r="N279" s="11" t="e">
        <f aca="false">IF(AND(#REF!,ISNUMBER(L279),L279&gt;0),((3*J279+K279)*#REF!-I279)/L279,"-")</f>
        <v>#REF!</v>
      </c>
      <c r="O279" s="8"/>
      <c r="P279" s="8"/>
    </row>
    <row r="280" customFormat="false" ht="15.75" hidden="false" customHeight="true" outlineLevel="0" collapsed="false">
      <c r="A280" s="7" t="s">
        <v>623</v>
      </c>
      <c r="B280" s="8" t="s">
        <v>591</v>
      </c>
      <c r="C280" s="8" t="n">
        <v>1972</v>
      </c>
      <c r="D280" s="9" t="s">
        <v>624</v>
      </c>
      <c r="E280" s="7" t="s">
        <v>76</v>
      </c>
      <c r="F280" s="10" t="n">
        <f aca="false">IF(ISBLANK($G280),,VLOOKUP($G280, Rarities!$A$1:$B869, 2, FALSE()))</f>
        <v>2</v>
      </c>
      <c r="G280" s="8" t="s">
        <v>36</v>
      </c>
      <c r="H280" s="8" t="str">
        <f aca="false">VLOOKUP(B280,Manufacturers!A$1:B869,2)</f>
        <v>US</v>
      </c>
      <c r="I280" s="11" t="n">
        <v>80000</v>
      </c>
      <c r="J280" s="8"/>
      <c r="K280" s="8" t="n">
        <v>1</v>
      </c>
      <c r="L280" s="12" t="n">
        <v>9</v>
      </c>
      <c r="M280" s="11" t="e">
        <f aca="false">IF(AND(ISNUMBER(L280),L280&gt;0),(3*J280+K280)*#REF!/L280,"-")</f>
        <v>#REF!</v>
      </c>
      <c r="N280" s="11" t="e">
        <f aca="false">IF(AND(#REF!,ISNUMBER(L280),L280&gt;0),((3*J280+K280)*#REF!-I280)/L280,"-")</f>
        <v>#REF!</v>
      </c>
      <c r="O280" s="8"/>
      <c r="P280" s="8"/>
    </row>
    <row r="281" customFormat="false" ht="15.75" hidden="false" customHeight="true" outlineLevel="0" collapsed="false">
      <c r="A281" s="8" t="s">
        <v>625</v>
      </c>
      <c r="B281" s="8" t="s">
        <v>591</v>
      </c>
      <c r="C281" s="8" t="n">
        <v>1973</v>
      </c>
      <c r="D281" s="9" t="s">
        <v>626</v>
      </c>
      <c r="E281" s="7" t="s">
        <v>184</v>
      </c>
      <c r="F281" s="10" t="n">
        <f aca="false">IF(ISBLANK($G281),,VLOOKUP($G281, Rarities!$A$1:$B869, 2, FALSE()))</f>
        <v>2</v>
      </c>
      <c r="G281" s="8" t="s">
        <v>36</v>
      </c>
      <c r="H281" s="8" t="str">
        <f aca="false">VLOOKUP(B281,Manufacturers!A$1:B869,2)</f>
        <v>US</v>
      </c>
      <c r="I281" s="11" t="n">
        <v>55000</v>
      </c>
      <c r="J281" s="8"/>
      <c r="K281" s="8" t="n">
        <v>1</v>
      </c>
      <c r="L281" s="12" t="n">
        <v>9</v>
      </c>
      <c r="M281" s="11" t="e">
        <f aca="false">IF(AND(ISNUMBER(L281),L281&gt;0),(3*J281+K281)*#REF!/L281,"-")</f>
        <v>#REF!</v>
      </c>
      <c r="N281" s="11" t="e">
        <f aca="false">IF(AND(#REF!,ISNUMBER(L281),L281&gt;0),((3*J281+K281)*#REF!-I281)/L281,"-")</f>
        <v>#REF!</v>
      </c>
      <c r="O281" s="8"/>
      <c r="P281" s="8"/>
    </row>
    <row r="282" customFormat="false" ht="15.75" hidden="false" customHeight="true" outlineLevel="0" collapsed="false">
      <c r="A282" s="7" t="s">
        <v>627</v>
      </c>
      <c r="B282" s="8" t="s">
        <v>591</v>
      </c>
      <c r="C282" s="8" t="n">
        <v>1973</v>
      </c>
      <c r="D282" s="9" t="s">
        <v>628</v>
      </c>
      <c r="E282" s="7" t="s">
        <v>20</v>
      </c>
      <c r="F282" s="10" t="n">
        <f aca="false">IF(ISBLANK($G282),,VLOOKUP($G282, Rarities!$A$1:$B869, 2, FALSE()))</f>
        <v>2</v>
      </c>
      <c r="G282" s="8" t="s">
        <v>36</v>
      </c>
      <c r="H282" s="8" t="str">
        <f aca="false">VLOOKUP(B282,Manufacturers!A$1:B869,2)</f>
        <v>US</v>
      </c>
      <c r="I282" s="11" t="n">
        <v>73000</v>
      </c>
      <c r="J282" s="8"/>
      <c r="K282" s="8" t="n">
        <v>1</v>
      </c>
      <c r="L282" s="12" t="n">
        <v>9</v>
      </c>
      <c r="M282" s="11" t="e">
        <f aca="false">IF(AND(ISNUMBER(L282),L282&gt;0),(3*J282+K282)*#REF!/L282,"-")</f>
        <v>#REF!</v>
      </c>
      <c r="N282" s="11" t="e">
        <f aca="false">IF(AND(#REF!,ISNUMBER(L282),L282&gt;0),((3*J282+K282)*#REF!-I282)/L282,"-")</f>
        <v>#REF!</v>
      </c>
      <c r="O282" s="8"/>
      <c r="P282" s="8"/>
    </row>
    <row r="283" customFormat="false" ht="15.75" hidden="false" customHeight="true" outlineLevel="0" collapsed="false">
      <c r="A283" s="7" t="s">
        <v>629</v>
      </c>
      <c r="B283" s="8" t="s">
        <v>591</v>
      </c>
      <c r="C283" s="8" t="n">
        <v>1973</v>
      </c>
      <c r="D283" s="9" t="s">
        <v>630</v>
      </c>
      <c r="E283" s="7" t="s">
        <v>76</v>
      </c>
      <c r="F283" s="10" t="n">
        <f aca="false">IF(ISBLANK($G283),,VLOOKUP($G283, Rarities!$A$1:$B869, 2, FALSE()))</f>
        <v>2</v>
      </c>
      <c r="G283" s="8" t="s">
        <v>36</v>
      </c>
      <c r="H283" s="8" t="str">
        <f aca="false">VLOOKUP(B283,Manufacturers!A$1:B869,2)</f>
        <v>US</v>
      </c>
      <c r="I283" s="11" t="n">
        <v>250000</v>
      </c>
      <c r="J283" s="8"/>
      <c r="K283" s="8"/>
      <c r="L283" s="12"/>
      <c r="M283" s="11"/>
      <c r="N283" s="11"/>
      <c r="O283" s="8"/>
      <c r="P283" s="8"/>
    </row>
    <row r="284" customFormat="false" ht="15.75" hidden="false" customHeight="true" outlineLevel="0" collapsed="false">
      <c r="A284" s="7" t="s">
        <v>631</v>
      </c>
      <c r="B284" s="8" t="s">
        <v>591</v>
      </c>
      <c r="C284" s="8" t="n">
        <v>1975</v>
      </c>
      <c r="D284" s="9" t="s">
        <v>632</v>
      </c>
      <c r="E284" s="7" t="s">
        <v>353</v>
      </c>
      <c r="F284" s="10" t="n">
        <f aca="false">IF(ISBLANK($G284),,VLOOKUP($G284, Rarities!$A$1:$B869, 2, FALSE()))</f>
        <v>1</v>
      </c>
      <c r="G284" s="8" t="s">
        <v>17</v>
      </c>
      <c r="H284" s="8" t="str">
        <f aca="false">VLOOKUP(B284,Manufacturers!A$1:B869,2)</f>
        <v>US</v>
      </c>
      <c r="I284" s="11" t="n">
        <v>38000</v>
      </c>
      <c r="J284" s="8"/>
      <c r="K284" s="8"/>
      <c r="L284" s="12" t="s">
        <v>244</v>
      </c>
      <c r="M284" s="11" t="str">
        <f aca="false">IF(AND(ISNUMBER(L284),L284&gt;0),(3*J284+K284)*#REF!/L284,"-")</f>
        <v>-</v>
      </c>
      <c r="N284" s="11" t="e">
        <f aca="false">IF(AND(#REF!,ISNUMBER(L284),L284&gt;0),((3*J284+K284)*#REF!-I284)/L284,"-")</f>
        <v>#REF!</v>
      </c>
      <c r="O284" s="8"/>
      <c r="P284" s="8"/>
    </row>
    <row r="285" customFormat="false" ht="15.75" hidden="false" customHeight="true" outlineLevel="0" collapsed="false">
      <c r="A285" s="7" t="s">
        <v>244</v>
      </c>
      <c r="B285" s="8" t="s">
        <v>591</v>
      </c>
      <c r="C285" s="8" t="n">
        <v>1975</v>
      </c>
      <c r="D285" s="9" t="s">
        <v>632</v>
      </c>
      <c r="E285" s="7" t="s">
        <v>244</v>
      </c>
      <c r="F285" s="10" t="n">
        <f aca="false">IF(ISBLANK($G285),,VLOOKUP($G285, Rarities!$A$1:$B869, 2, FALSE()))</f>
        <v>0</v>
      </c>
      <c r="G285" s="8" t="s">
        <v>244</v>
      </c>
      <c r="H285" s="8" t="str">
        <f aca="false">VLOOKUP(B285,Manufacturers!A$1:B869,2)</f>
        <v>US</v>
      </c>
      <c r="I285" s="11" t="s">
        <v>244</v>
      </c>
      <c r="J285" s="8"/>
      <c r="K285" s="8"/>
      <c r="L285" s="12" t="s">
        <v>244</v>
      </c>
      <c r="M285" s="11" t="str">
        <f aca="false">IF(AND(ISNUMBER(L285),L285&gt;0),(3*J285+K285)*#REF!/L285,"-")</f>
        <v>-</v>
      </c>
      <c r="N285" s="11" t="e">
        <f aca="false">IF(AND(#REF!,ISNUMBER(L285),L285&gt;0),((3*J285+K285)*#REF!-I285)/L285,"-")</f>
        <v>#REF!</v>
      </c>
      <c r="O285" s="8"/>
      <c r="P285" s="8"/>
    </row>
    <row r="286" customFormat="false" ht="15.75" hidden="false" customHeight="true" outlineLevel="0" collapsed="false">
      <c r="A286" s="7" t="s">
        <v>633</v>
      </c>
      <c r="B286" s="8" t="s">
        <v>591</v>
      </c>
      <c r="C286" s="8" t="n">
        <v>1977</v>
      </c>
      <c r="D286" s="9" t="s">
        <v>634</v>
      </c>
      <c r="E286" s="7" t="s">
        <v>20</v>
      </c>
      <c r="F286" s="10" t="n">
        <f aca="false">IF(ISBLANK($G286),,VLOOKUP($G286, Rarities!$A$1:$B869, 2, FALSE()))</f>
        <v>3</v>
      </c>
      <c r="G286" s="8" t="s">
        <v>53</v>
      </c>
      <c r="H286" s="8" t="str">
        <f aca="false">VLOOKUP(B286,Manufacturers!A$1:B869,2)</f>
        <v>US</v>
      </c>
      <c r="I286" s="11" t="n">
        <v>300000</v>
      </c>
      <c r="J286" s="8"/>
      <c r="K286" s="8" t="n">
        <v>1</v>
      </c>
      <c r="L286" s="12" t="n">
        <v>23</v>
      </c>
      <c r="M286" s="11" t="e">
        <f aca="false">IF(AND(ISNUMBER(L286),L286&gt;0),(3*J286+K286)*#REF!/L286,"-")</f>
        <v>#REF!</v>
      </c>
      <c r="N286" s="11" t="e">
        <f aca="false">IF(AND(#REF!,ISNUMBER(L286),L286&gt;0),((3*J286+K286)*#REF!-I286)/L286,"-")</f>
        <v>#REF!</v>
      </c>
      <c r="O286" s="8"/>
      <c r="P286" s="8"/>
    </row>
    <row r="287" customFormat="false" ht="15.75" hidden="false" customHeight="true" outlineLevel="0" collapsed="false">
      <c r="A287" s="7" t="s">
        <v>635</v>
      </c>
      <c r="B287" s="8" t="s">
        <v>591</v>
      </c>
      <c r="C287" s="8" t="n">
        <v>1977</v>
      </c>
      <c r="D287" s="9" t="s">
        <v>636</v>
      </c>
      <c r="E287" s="7" t="s">
        <v>20</v>
      </c>
      <c r="F287" s="10" t="n">
        <f aca="false">IF(ISBLANK($G287),,VLOOKUP($G287, Rarities!$A$1:$B869, 2, FALSE()))</f>
        <v>2</v>
      </c>
      <c r="G287" s="8" t="s">
        <v>36</v>
      </c>
      <c r="H287" s="8" t="str">
        <f aca="false">VLOOKUP(B287,Manufacturers!A$1:B869,2)</f>
        <v>US</v>
      </c>
      <c r="I287" s="11" t="n">
        <v>88000</v>
      </c>
      <c r="J287" s="8"/>
      <c r="K287" s="8" t="n">
        <v>1</v>
      </c>
      <c r="L287" s="12" t="n">
        <v>9</v>
      </c>
      <c r="M287" s="11" t="e">
        <f aca="false">IF(AND(ISNUMBER(L287),L287&gt;0),(3*J287+K287)*#REF!/L287,"-")</f>
        <v>#REF!</v>
      </c>
      <c r="N287" s="11" t="e">
        <f aca="false">IF(AND(#REF!,ISNUMBER(L287),L287&gt;0),((3*J287+K287)*#REF!-I287)/L287,"-")</f>
        <v>#REF!</v>
      </c>
      <c r="O287" s="8"/>
      <c r="P287" s="8"/>
    </row>
    <row r="288" customFormat="false" ht="15.75" hidden="false" customHeight="true" outlineLevel="0" collapsed="false">
      <c r="A288" s="7" t="s">
        <v>637</v>
      </c>
      <c r="B288" s="8" t="s">
        <v>591</v>
      </c>
      <c r="C288" s="8" t="n">
        <v>1981</v>
      </c>
      <c r="D288" s="9" t="s">
        <v>638</v>
      </c>
      <c r="E288" s="7" t="s">
        <v>30</v>
      </c>
      <c r="F288" s="10" t="n">
        <f aca="false">IF(ISBLANK($G288),,VLOOKUP($G288, Rarities!$A$1:$B869, 2, FALSE()))</f>
        <v>3</v>
      </c>
      <c r="G288" s="8" t="s">
        <v>53</v>
      </c>
      <c r="H288" s="8" t="str">
        <f aca="false">VLOOKUP(B288,Manufacturers!A$1:B869,2)</f>
        <v>US</v>
      </c>
      <c r="I288" s="11" t="n">
        <v>25000</v>
      </c>
      <c r="J288" s="8"/>
      <c r="K288" s="8" t="n">
        <v>1</v>
      </c>
      <c r="L288" s="12" t="n">
        <v>9</v>
      </c>
      <c r="M288" s="11" t="e">
        <f aca="false">IF(AND(ISNUMBER(L288),L288&gt;0),(3*J288+K288)*#REF!/L288,"-")</f>
        <v>#REF!</v>
      </c>
      <c r="N288" s="11" t="e">
        <f aca="false">IF(AND(#REF!,ISNUMBER(L288),L288&gt;0),((3*J288+K288)*#REF!-I288)/L288,"-")</f>
        <v>#REF!</v>
      </c>
      <c r="O288" s="8"/>
      <c r="P288" s="8"/>
    </row>
    <row r="289" customFormat="false" ht="15.75" hidden="false" customHeight="true" outlineLevel="0" collapsed="false">
      <c r="A289" s="7" t="s">
        <v>639</v>
      </c>
      <c r="B289" s="8" t="s">
        <v>591</v>
      </c>
      <c r="C289" s="8" t="n">
        <v>1985</v>
      </c>
      <c r="D289" s="9" t="s">
        <v>640</v>
      </c>
      <c r="E289" s="7" t="s">
        <v>139</v>
      </c>
      <c r="F289" s="10" t="n">
        <f aca="false">IF(ISBLANK($G289),,VLOOKUP($G289, Rarities!$A$1:$B869, 2, FALSE()))</f>
        <v>2</v>
      </c>
      <c r="G289" s="8" t="s">
        <v>36</v>
      </c>
      <c r="H289" s="8" t="str">
        <f aca="false">VLOOKUP(B289,Manufacturers!A$1:B869,2)</f>
        <v>US</v>
      </c>
      <c r="I289" s="11" t="n">
        <v>260000</v>
      </c>
      <c r="J289" s="8"/>
      <c r="K289" s="8" t="n">
        <v>3</v>
      </c>
      <c r="L289" s="12" t="n">
        <v>30</v>
      </c>
      <c r="M289" s="11" t="e">
        <f aca="false">IF(AND(ISNUMBER(L289),L289&gt;0),(3*J289+K289)*#REF!/L289,"-")</f>
        <v>#REF!</v>
      </c>
      <c r="N289" s="11" t="e">
        <f aca="false">IF(AND(#REF!,ISNUMBER(L289),L289&gt;0),((3*J289+K289)*#REF!-I289)/L289,"-")</f>
        <v>#REF!</v>
      </c>
      <c r="O289" s="8"/>
      <c r="P289" s="8"/>
    </row>
    <row r="290" customFormat="false" ht="15.75" hidden="false" customHeight="true" outlineLevel="0" collapsed="false">
      <c r="A290" s="7" t="s">
        <v>641</v>
      </c>
      <c r="B290" s="8" t="s">
        <v>591</v>
      </c>
      <c r="C290" s="8" t="n">
        <v>1986</v>
      </c>
      <c r="D290" s="9" t="s">
        <v>642</v>
      </c>
      <c r="E290" s="7" t="s">
        <v>30</v>
      </c>
      <c r="F290" s="10" t="n">
        <f aca="false">IF(ISBLANK($G290),,VLOOKUP($G290, Rarities!$A$1:$B869, 2, FALSE()))</f>
        <v>1</v>
      </c>
      <c r="G290" s="8" t="s">
        <v>17</v>
      </c>
      <c r="H290" s="8" t="str">
        <f aca="false">VLOOKUP(B290,Manufacturers!A$1:B869,2)</f>
        <v>US</v>
      </c>
      <c r="I290" s="11" t="n">
        <v>25000</v>
      </c>
      <c r="J290" s="8"/>
      <c r="K290" s="8" t="n">
        <v>1</v>
      </c>
      <c r="L290" s="12" t="n">
        <v>9</v>
      </c>
      <c r="M290" s="11" t="e">
        <f aca="false">IF(AND(ISNUMBER(L290),L290&gt;0),(3*J290+K290)*#REF!/L290,"-")</f>
        <v>#REF!</v>
      </c>
      <c r="N290" s="11" t="e">
        <f aca="false">IF(AND(#REF!,ISNUMBER(L290),L290&gt;0),((3*J290+K290)*#REF!-I290)/L290,"-")</f>
        <v>#REF!</v>
      </c>
      <c r="O290" s="8"/>
      <c r="P290" s="8"/>
    </row>
    <row r="291" customFormat="false" ht="15.75" hidden="false" customHeight="true" outlineLevel="0" collapsed="false">
      <c r="A291" s="7" t="s">
        <v>643</v>
      </c>
      <c r="B291" s="8" t="s">
        <v>591</v>
      </c>
      <c r="C291" s="8" t="n">
        <v>1986</v>
      </c>
      <c r="D291" s="9" t="s">
        <v>644</v>
      </c>
      <c r="E291" s="7" t="s">
        <v>353</v>
      </c>
      <c r="F291" s="10" t="n">
        <f aca="false">IF(ISBLANK($G291),,VLOOKUP($G291, Rarities!$A$1:$B869, 2, FALSE()))</f>
        <v>1</v>
      </c>
      <c r="G291" s="8" t="s">
        <v>17</v>
      </c>
      <c r="H291" s="8" t="str">
        <f aca="false">VLOOKUP(B291,Manufacturers!A$1:B869,2)</f>
        <v>US</v>
      </c>
      <c r="I291" s="11" t="n">
        <v>250000</v>
      </c>
      <c r="J291" s="8"/>
      <c r="K291" s="8"/>
      <c r="L291" s="12"/>
      <c r="M291" s="11"/>
      <c r="N291" s="11"/>
      <c r="O291" s="8"/>
      <c r="P291" s="8"/>
    </row>
    <row r="292" customFormat="false" ht="15.75" hidden="false" customHeight="true" outlineLevel="0" collapsed="false">
      <c r="A292" s="7" t="s">
        <v>645</v>
      </c>
      <c r="B292" s="8" t="s">
        <v>591</v>
      </c>
      <c r="C292" s="8" t="n">
        <v>1986</v>
      </c>
      <c r="D292" s="9" t="s">
        <v>646</v>
      </c>
      <c r="E292" s="7" t="s">
        <v>295</v>
      </c>
      <c r="F292" s="10" t="n">
        <f aca="false">IF(ISBLANK($G292),,VLOOKUP($G292, Rarities!$A$1:$B869, 2, FALSE()))</f>
        <v>1</v>
      </c>
      <c r="G292" s="8" t="s">
        <v>17</v>
      </c>
      <c r="H292" s="8" t="str">
        <f aca="false">VLOOKUP(B292,Manufacturers!A$1:B869,2)</f>
        <v>US</v>
      </c>
      <c r="I292" s="11" t="n">
        <v>15000</v>
      </c>
      <c r="J292" s="8"/>
      <c r="K292" s="8"/>
      <c r="L292" s="12"/>
      <c r="M292" s="11"/>
      <c r="N292" s="11"/>
      <c r="O292" s="8"/>
      <c r="P292" s="8"/>
    </row>
    <row r="293" customFormat="false" ht="15.75" hidden="false" customHeight="true" outlineLevel="0" collapsed="false">
      <c r="A293" s="7" t="s">
        <v>647</v>
      </c>
      <c r="B293" s="8" t="s">
        <v>591</v>
      </c>
      <c r="C293" s="8" t="n">
        <v>1987</v>
      </c>
      <c r="D293" s="9" t="s">
        <v>648</v>
      </c>
      <c r="E293" s="7" t="s">
        <v>49</v>
      </c>
      <c r="F293" s="10" t="n">
        <f aca="false">IF(ISBLANK($G293),,VLOOKUP($G293, Rarities!$A$1:$B869, 2, FALSE()))</f>
        <v>2</v>
      </c>
      <c r="G293" s="8" t="s">
        <v>36</v>
      </c>
      <c r="H293" s="8" t="str">
        <f aca="false">VLOOKUP(B293,Manufacturers!A$1:B869,2)</f>
        <v>US</v>
      </c>
      <c r="I293" s="11" t="n">
        <v>66000</v>
      </c>
      <c r="J293" s="8"/>
      <c r="K293" s="8" t="n">
        <v>1</v>
      </c>
      <c r="L293" s="12" t="n">
        <v>9</v>
      </c>
      <c r="M293" s="11" t="e">
        <f aca="false">IF(AND(ISNUMBER(L293),L293&gt;0),(3*J293+K293)*#REF!/L293,"-")</f>
        <v>#REF!</v>
      </c>
      <c r="N293" s="11" t="e">
        <f aca="false">IF(AND(#REF!,ISNUMBER(L293),L293&gt;0),((3*J293+K293)*#REF!-I293)/L293,"-")</f>
        <v>#REF!</v>
      </c>
      <c r="O293" s="8"/>
      <c r="P293" s="8"/>
    </row>
    <row r="294" customFormat="false" ht="15.75" hidden="false" customHeight="true" outlineLevel="0" collapsed="false">
      <c r="A294" s="7" t="s">
        <v>649</v>
      </c>
      <c r="B294" s="8" t="s">
        <v>591</v>
      </c>
      <c r="C294" s="8" t="n">
        <v>1992</v>
      </c>
      <c r="D294" s="9" t="s">
        <v>650</v>
      </c>
      <c r="E294" s="7" t="s">
        <v>136</v>
      </c>
      <c r="F294" s="10" t="n">
        <f aca="false">IF(ISBLANK($G294),,VLOOKUP($G294, Rarities!$A$1:$B869, 2, FALSE()))</f>
        <v>2</v>
      </c>
      <c r="G294" s="8" t="s">
        <v>36</v>
      </c>
      <c r="H294" s="8" t="str">
        <f aca="false">VLOOKUP(B294,Manufacturers!A$1:B869,2)</f>
        <v>US</v>
      </c>
      <c r="I294" s="11" t="n">
        <v>66000</v>
      </c>
      <c r="J294" s="8"/>
      <c r="K294" s="8" t="n">
        <v>1</v>
      </c>
      <c r="L294" s="12" t="n">
        <v>9</v>
      </c>
      <c r="M294" s="11" t="e">
        <f aca="false">IF(AND(ISNUMBER(L294),L294&gt;0),(3*J294+K294)*#REF!/L294,"-")</f>
        <v>#REF!</v>
      </c>
      <c r="N294" s="11" t="e">
        <f aca="false">IF(AND(#REF!,ISNUMBER(L294),L294&gt;0),((3*J294+K294)*#REF!-I294)/L294,"-")</f>
        <v>#REF!</v>
      </c>
      <c r="O294" s="8"/>
      <c r="P294" s="8"/>
    </row>
    <row r="295" customFormat="false" ht="15.75" hidden="false" customHeight="true" outlineLevel="0" collapsed="false">
      <c r="A295" s="7" t="s">
        <v>651</v>
      </c>
      <c r="B295" s="8" t="s">
        <v>591</v>
      </c>
      <c r="C295" s="8" t="n">
        <v>1993</v>
      </c>
      <c r="D295" s="9" t="s">
        <v>652</v>
      </c>
      <c r="E295" s="7" t="s">
        <v>295</v>
      </c>
      <c r="F295" s="10" t="n">
        <f aca="false">IF(ISBLANK($G295),,VLOOKUP($G295, Rarities!$A$1:$B869, 2, FALSE()))</f>
        <v>1</v>
      </c>
      <c r="G295" s="8" t="s">
        <v>17</v>
      </c>
      <c r="H295" s="8" t="str">
        <f aca="false">VLOOKUP(B295,Manufacturers!A$1:B869,2)</f>
        <v>US</v>
      </c>
      <c r="I295" s="11" t="n">
        <v>28000</v>
      </c>
      <c r="J295" s="8"/>
      <c r="K295" s="8" t="n">
        <v>1</v>
      </c>
      <c r="L295" s="12" t="n">
        <v>9</v>
      </c>
      <c r="M295" s="11" t="e">
        <f aca="false">IF(AND(ISNUMBER(L295),L295&gt;0),(3*J295+K295)*#REF!/L295,"-")</f>
        <v>#REF!</v>
      </c>
      <c r="N295" s="11" t="e">
        <f aca="false">IF(AND(#REF!,ISNUMBER(L295),L295&gt;0),((3*J295+K295)*#REF!-I295)/L295,"-")</f>
        <v>#REF!</v>
      </c>
      <c r="O295" s="8"/>
      <c r="P295" s="8"/>
    </row>
    <row r="296" customFormat="false" ht="15.75" hidden="false" customHeight="true" outlineLevel="0" collapsed="false">
      <c r="A296" s="7" t="s">
        <v>653</v>
      </c>
      <c r="B296" s="8" t="s">
        <v>591</v>
      </c>
      <c r="C296" s="8" t="n">
        <v>1994</v>
      </c>
      <c r="D296" s="9" t="s">
        <v>654</v>
      </c>
      <c r="E296" s="7" t="s">
        <v>111</v>
      </c>
      <c r="F296" s="10" t="n">
        <f aca="false">IF(ISBLANK($G296),,VLOOKUP($G296, Rarities!$A$1:$B869, 2, FALSE()))</f>
        <v>6</v>
      </c>
      <c r="G296" s="8" t="s">
        <v>655</v>
      </c>
      <c r="H296" s="8" t="str">
        <f aca="false">VLOOKUP(B296,Manufacturers!A$1:B869,2)</f>
        <v>US</v>
      </c>
      <c r="I296" s="11" t="n">
        <v>500000</v>
      </c>
      <c r="J296" s="8"/>
      <c r="K296" s="8"/>
      <c r="L296" s="12"/>
      <c r="M296" s="11"/>
      <c r="N296" s="11"/>
      <c r="O296" s="8"/>
      <c r="P296" s="8"/>
    </row>
    <row r="297" customFormat="false" ht="15.75" hidden="false" customHeight="true" outlineLevel="0" collapsed="false">
      <c r="A297" s="7" t="s">
        <v>656</v>
      </c>
      <c r="B297" s="8" t="s">
        <v>591</v>
      </c>
      <c r="C297" s="8" t="n">
        <v>1994</v>
      </c>
      <c r="D297" s="9" t="s">
        <v>657</v>
      </c>
      <c r="E297" s="7" t="s">
        <v>111</v>
      </c>
      <c r="F297" s="10" t="n">
        <f aca="false">IF(ISBLANK($G297),,VLOOKUP($G297, Rarities!$A$1:$B869, 2, FALSE()))</f>
        <v>3</v>
      </c>
      <c r="G297" s="8" t="s">
        <v>53</v>
      </c>
      <c r="H297" s="8" t="str">
        <f aca="false">VLOOKUP(B297,Manufacturers!A$1:B869,2)</f>
        <v>US</v>
      </c>
      <c r="I297" s="11" t="n">
        <v>500000</v>
      </c>
      <c r="J297" s="8"/>
      <c r="K297" s="8" t="n">
        <v>1</v>
      </c>
      <c r="L297" s="12" t="n">
        <v>9</v>
      </c>
      <c r="M297" s="11" t="e">
        <f aca="false">IF(AND(ISNUMBER(L297),L297&gt;0),(3*J297+K297)*#REF!/L297,"-")</f>
        <v>#REF!</v>
      </c>
      <c r="N297" s="11" t="e">
        <f aca="false">IF(AND(#REF!,ISNUMBER(L297),L297&gt;0),((3*J297+K297)*#REF!-I297)/L297,"-")</f>
        <v>#REF!</v>
      </c>
      <c r="O297" s="8"/>
      <c r="P297" s="8"/>
    </row>
    <row r="298" customFormat="false" ht="15.75" hidden="false" customHeight="true" outlineLevel="0" collapsed="false">
      <c r="A298" s="7" t="s">
        <v>658</v>
      </c>
      <c r="B298" s="8" t="s">
        <v>591</v>
      </c>
      <c r="C298" s="8" t="n">
        <v>1999</v>
      </c>
      <c r="D298" s="9" t="s">
        <v>659</v>
      </c>
      <c r="E298" s="7" t="s">
        <v>139</v>
      </c>
      <c r="F298" s="10" t="n">
        <f aca="false">IF(ISBLANK($G298),,VLOOKUP($G298, Rarities!$A$1:$B869, 2, FALSE()))</f>
        <v>5</v>
      </c>
      <c r="G298" s="8" t="s">
        <v>239</v>
      </c>
      <c r="H298" s="8" t="str">
        <f aca="false">VLOOKUP(B298,Manufacturers!A$1:B869,2)</f>
        <v>US</v>
      </c>
      <c r="I298" s="11" t="n">
        <v>500000</v>
      </c>
      <c r="J298" s="8"/>
      <c r="K298" s="8" t="n">
        <v>3</v>
      </c>
      <c r="L298" s="12" t="n">
        <v>14</v>
      </c>
      <c r="M298" s="11" t="e">
        <f aca="false">IF(AND(ISNUMBER(L298),L298&gt;0),(3*J298+K298)*#REF!/L298,"-")</f>
        <v>#REF!</v>
      </c>
      <c r="N298" s="11" t="e">
        <f aca="false">IF(AND(#REF!,ISNUMBER(L298),L298&gt;0),((3*J298+K298)*#REF!-I298)/L298,"-")</f>
        <v>#REF!</v>
      </c>
      <c r="O298" s="8"/>
      <c r="P298" s="8"/>
    </row>
    <row r="299" customFormat="false" ht="15.75" hidden="false" customHeight="true" outlineLevel="0" collapsed="false">
      <c r="A299" s="7" t="s">
        <v>660</v>
      </c>
      <c r="B299" s="8" t="s">
        <v>591</v>
      </c>
      <c r="C299" s="8" t="n">
        <v>1999</v>
      </c>
      <c r="D299" s="9" t="s">
        <v>661</v>
      </c>
      <c r="E299" s="7" t="s">
        <v>136</v>
      </c>
      <c r="F299" s="10" t="n">
        <f aca="false">IF(ISBLANK($G299),,VLOOKUP($G299, Rarities!$A$1:$B869, 2, FALSE()))</f>
        <v>2</v>
      </c>
      <c r="G299" s="8" t="s">
        <v>36</v>
      </c>
      <c r="H299" s="8" t="str">
        <f aca="false">VLOOKUP(B299,Manufacturers!A$1:B869,2)</f>
        <v>US</v>
      </c>
      <c r="I299" s="11" t="n">
        <v>20000</v>
      </c>
      <c r="J299" s="8"/>
      <c r="K299" s="8" t="n">
        <v>1</v>
      </c>
      <c r="L299" s="12" t="n">
        <v>9</v>
      </c>
      <c r="M299" s="11" t="e">
        <f aca="false">IF(AND(ISNUMBER(L299),L299&gt;0),(3*J299+K299)*#REF!/L299,"-")</f>
        <v>#REF!</v>
      </c>
      <c r="N299" s="11" t="e">
        <f aca="false">IF(AND(#REF!,ISNUMBER(L299),L299&gt;0),((3*J299+K299)*#REF!-I299)/L299,"-")</f>
        <v>#REF!</v>
      </c>
      <c r="O299" s="8"/>
      <c r="P299" s="8"/>
    </row>
    <row r="300" customFormat="false" ht="15.75" hidden="false" customHeight="true" outlineLevel="0" collapsed="false">
      <c r="A300" s="7" t="s">
        <v>662</v>
      </c>
      <c r="B300" s="8" t="s">
        <v>591</v>
      </c>
      <c r="C300" s="8" t="n">
        <v>2000</v>
      </c>
      <c r="D300" s="9" t="s">
        <v>652</v>
      </c>
      <c r="E300" s="7" t="s">
        <v>295</v>
      </c>
      <c r="F300" s="10" t="n">
        <f aca="false">IF(ISBLANK($G300),,VLOOKUP($G300, Rarities!$A$1:$B869, 2, FALSE()))</f>
        <v>1</v>
      </c>
      <c r="G300" s="8" t="s">
        <v>17</v>
      </c>
      <c r="H300" s="8" t="str">
        <f aca="false">VLOOKUP(B300,Manufacturers!A$1:B869,2)</f>
        <v>US</v>
      </c>
      <c r="I300" s="11" t="n">
        <v>55000</v>
      </c>
      <c r="J300" s="8"/>
      <c r="K300" s="8" t="n">
        <v>1</v>
      </c>
      <c r="L300" s="12" t="n">
        <v>9</v>
      </c>
      <c r="M300" s="11" t="e">
        <f aca="false">IF(AND(ISNUMBER(L300),L300&gt;0),(3*J300+K300)*#REF!/L300,"-")</f>
        <v>#REF!</v>
      </c>
      <c r="N300" s="11" t="e">
        <f aca="false">IF(AND(#REF!,ISNUMBER(L300),L300&gt;0),((3*J300+K300)*#REF!-I300)/L300,"-")</f>
        <v>#REF!</v>
      </c>
      <c r="O300" s="8"/>
      <c r="P300" s="8"/>
    </row>
    <row r="301" customFormat="false" ht="15.75" hidden="false" customHeight="true" outlineLevel="0" collapsed="false">
      <c r="A301" s="7" t="s">
        <v>663</v>
      </c>
      <c r="B301" s="8" t="s">
        <v>591</v>
      </c>
      <c r="C301" s="8" t="n">
        <v>2001</v>
      </c>
      <c r="D301" s="9" t="s">
        <v>664</v>
      </c>
      <c r="E301" s="7" t="s">
        <v>139</v>
      </c>
      <c r="F301" s="10" t="n">
        <f aca="false">IF(ISBLANK($G301),,VLOOKUP($G301, Rarities!$A$1:$B869, 2, FALSE()))</f>
        <v>2</v>
      </c>
      <c r="G301" s="8" t="s">
        <v>36</v>
      </c>
      <c r="H301" s="8" t="str">
        <f aca="false">VLOOKUP(B301,Manufacturers!A$1:B869,2)</f>
        <v>US</v>
      </c>
      <c r="I301" s="11" t="n">
        <v>200000</v>
      </c>
      <c r="J301" s="8"/>
      <c r="K301" s="8"/>
      <c r="L301" s="12"/>
      <c r="M301" s="11"/>
      <c r="N301" s="11"/>
      <c r="O301" s="8"/>
      <c r="P301" s="8"/>
    </row>
    <row r="302" customFormat="false" ht="15.75" hidden="false" customHeight="true" outlineLevel="0" collapsed="false">
      <c r="A302" s="7" t="s">
        <v>665</v>
      </c>
      <c r="B302" s="8" t="s">
        <v>591</v>
      </c>
      <c r="C302" s="8" t="n">
        <v>2003</v>
      </c>
      <c r="D302" s="9" t="s">
        <v>666</v>
      </c>
      <c r="E302" s="7" t="s">
        <v>350</v>
      </c>
      <c r="F302" s="10" t="n">
        <f aca="false">IF(ISBLANK($G302),,VLOOKUP($G302, Rarities!$A$1:$B869, 2, FALSE()))</f>
        <v>1</v>
      </c>
      <c r="G302" s="8" t="s">
        <v>17</v>
      </c>
      <c r="H302" s="8" t="str">
        <f aca="false">VLOOKUP(B302,Manufacturers!A$1:B869,2)</f>
        <v>US</v>
      </c>
      <c r="I302" s="11" t="n">
        <v>20000</v>
      </c>
      <c r="J302" s="8"/>
      <c r="K302" s="8"/>
      <c r="L302" s="12"/>
      <c r="M302" s="11"/>
      <c r="N302" s="11"/>
      <c r="O302" s="8"/>
      <c r="P302" s="8"/>
    </row>
    <row r="303" customFormat="false" ht="15.75" hidden="false" customHeight="true" outlineLevel="0" collapsed="false">
      <c r="A303" s="7" t="s">
        <v>667</v>
      </c>
      <c r="B303" s="8" t="s">
        <v>591</v>
      </c>
      <c r="C303" s="8" t="n">
        <v>2003</v>
      </c>
      <c r="D303" s="9" t="s">
        <v>668</v>
      </c>
      <c r="E303" s="7" t="s">
        <v>23</v>
      </c>
      <c r="F303" s="10" t="n">
        <f aca="false">IF(ISBLANK($G303),,VLOOKUP($G303, Rarities!$A$1:$B869, 2, FALSE()))</f>
        <v>1</v>
      </c>
      <c r="G303" s="8" t="s">
        <v>17</v>
      </c>
      <c r="H303" s="8" t="str">
        <f aca="false">VLOOKUP(B303,Manufacturers!A$1:B869,2)</f>
        <v>US</v>
      </c>
      <c r="I303" s="11" t="n">
        <v>30000</v>
      </c>
      <c r="J303" s="8"/>
      <c r="K303" s="8" t="n">
        <v>1</v>
      </c>
      <c r="L303" s="12" t="n">
        <v>9</v>
      </c>
      <c r="M303" s="11" t="e">
        <f aca="false">IF(AND(ISNUMBER(L303),L303&gt;0),(3*J303+K303)*#REF!/L303,"-")</f>
        <v>#REF!</v>
      </c>
      <c r="N303" s="13" t="e">
        <f aca="false">IF(AND(#REF!,ISNUMBER(L303),L303&gt;0),((3*J303+K303)*#REF!-I303)/L303,"-")</f>
        <v>#REF!</v>
      </c>
      <c r="O303" s="8"/>
      <c r="P303" s="8"/>
    </row>
    <row r="304" customFormat="false" ht="15.75" hidden="false" customHeight="true" outlineLevel="0" collapsed="false">
      <c r="A304" s="7" t="s">
        <v>669</v>
      </c>
      <c r="B304" s="8" t="s">
        <v>591</v>
      </c>
      <c r="C304" s="8" t="n">
        <v>2003</v>
      </c>
      <c r="D304" s="9" t="s">
        <v>670</v>
      </c>
      <c r="E304" s="7" t="s">
        <v>295</v>
      </c>
      <c r="F304" s="10" t="n">
        <f aca="false">IF(ISBLANK($G304),,VLOOKUP($G304, Rarities!$A$1:$B869, 2, FALSE()))</f>
        <v>1</v>
      </c>
      <c r="G304" s="8" t="s">
        <v>17</v>
      </c>
      <c r="H304" s="8" t="str">
        <f aca="false">VLOOKUP(B304,Manufacturers!A$1:B869,2)</f>
        <v>US</v>
      </c>
      <c r="I304" s="11" t="n">
        <v>250000</v>
      </c>
      <c r="J304" s="8"/>
      <c r="K304" s="8"/>
      <c r="L304" s="12"/>
      <c r="M304" s="11"/>
      <c r="N304" s="11"/>
      <c r="O304" s="8"/>
      <c r="P304" s="8"/>
    </row>
    <row r="305" customFormat="false" ht="15.75" hidden="false" customHeight="true" outlineLevel="0" collapsed="false">
      <c r="A305" s="7" t="s">
        <v>671</v>
      </c>
      <c r="B305" s="8" t="s">
        <v>591</v>
      </c>
      <c r="C305" s="8" t="n">
        <v>2005</v>
      </c>
      <c r="D305" s="9" t="s">
        <v>132</v>
      </c>
      <c r="E305" s="7" t="s">
        <v>215</v>
      </c>
      <c r="F305" s="10" t="n">
        <f aca="false">IF(ISBLANK($G305),,VLOOKUP($G305, Rarities!$A$1:$B869, 2, FALSE()))</f>
        <v>3</v>
      </c>
      <c r="G305" s="8" t="s">
        <v>53</v>
      </c>
      <c r="H305" s="8" t="str">
        <f aca="false">VLOOKUP(B305,Manufacturers!A$1:B869,2)</f>
        <v>US</v>
      </c>
      <c r="I305" s="11" t="n">
        <v>300000</v>
      </c>
      <c r="J305" s="8"/>
      <c r="K305" s="8" t="n">
        <v>3</v>
      </c>
      <c r="L305" s="12" t="n">
        <v>13</v>
      </c>
      <c r="M305" s="11" t="e">
        <f aca="false">IF(AND(ISNUMBER(L305),L305&gt;0),(3*J305+K305)*#REF!/L305,"-")</f>
        <v>#REF!</v>
      </c>
      <c r="N305" s="11" t="e">
        <f aca="false">IF(AND(#REF!,ISNUMBER(L305),L305&gt;0),((3*J305+K305)*#REF!-I305)/L305,"-")</f>
        <v>#REF!</v>
      </c>
      <c r="O305" s="8"/>
      <c r="P305" s="8"/>
    </row>
    <row r="306" customFormat="false" ht="15.75" hidden="false" customHeight="true" outlineLevel="0" collapsed="false">
      <c r="A306" s="7" t="s">
        <v>672</v>
      </c>
      <c r="B306" s="8" t="s">
        <v>591</v>
      </c>
      <c r="C306" s="8" t="n">
        <v>2009</v>
      </c>
      <c r="D306" s="9" t="s">
        <v>668</v>
      </c>
      <c r="E306" s="7" t="s">
        <v>155</v>
      </c>
      <c r="F306" s="10" t="n">
        <f aca="false">IF(ISBLANK($G306),,VLOOKUP($G306, Rarities!$A$1:$B869, 2, FALSE()))</f>
        <v>1</v>
      </c>
      <c r="G306" s="8" t="s">
        <v>17</v>
      </c>
      <c r="H306" s="8" t="str">
        <f aca="false">VLOOKUP(B306,Manufacturers!A$1:B869,2)</f>
        <v>US</v>
      </c>
      <c r="I306" s="11" t="n">
        <v>25000</v>
      </c>
      <c r="J306" s="8"/>
      <c r="K306" s="8" t="n">
        <v>1</v>
      </c>
      <c r="L306" s="12" t="n">
        <v>9</v>
      </c>
      <c r="M306" s="11" t="e">
        <f aca="false">IF(AND(ISNUMBER(L306),L306&gt;0),(3*J306+K306)*#REF!/L306,"-")</f>
        <v>#REF!</v>
      </c>
      <c r="N306" s="11" t="e">
        <f aca="false">IF(AND(#REF!,ISNUMBER(L306),L306&gt;0),((3*J306+K306)*#REF!-I306)/L306,"-")</f>
        <v>#REF!</v>
      </c>
      <c r="O306" s="8"/>
      <c r="P306" s="8"/>
    </row>
    <row r="307" customFormat="false" ht="15.75" hidden="false" customHeight="true" outlineLevel="0" collapsed="false">
      <c r="A307" s="7" t="s">
        <v>244</v>
      </c>
      <c r="B307" s="8" t="s">
        <v>591</v>
      </c>
      <c r="C307" s="8" t="n">
        <v>2009</v>
      </c>
      <c r="D307" s="9" t="s">
        <v>673</v>
      </c>
      <c r="E307" s="7" t="s">
        <v>244</v>
      </c>
      <c r="F307" s="10" t="n">
        <f aca="false">IF(ISBLANK($G307),,VLOOKUP($G307, Rarities!$A$1:$B869, 2, FALSE()))</f>
        <v>0</v>
      </c>
      <c r="G307" s="8" t="s">
        <v>244</v>
      </c>
      <c r="H307" s="8" t="str">
        <f aca="false">VLOOKUP(B307,Manufacturers!A$1:B869,2)</f>
        <v>US</v>
      </c>
      <c r="I307" s="11" t="s">
        <v>244</v>
      </c>
      <c r="J307" s="8"/>
      <c r="K307" s="8"/>
      <c r="L307" s="12" t="s">
        <v>244</v>
      </c>
      <c r="M307" s="11" t="str">
        <f aca="false">IF(AND(ISNUMBER(L307),L307&gt;0),(3*J307+K307)*#REF!/L307,"-")</f>
        <v>-</v>
      </c>
      <c r="N307" s="11" t="e">
        <f aca="false">IF(AND(#REF!,ISNUMBER(L307),L307&gt;0),((3*J307+K307)*#REF!-I307)/L307,"-")</f>
        <v>#REF!</v>
      </c>
      <c r="O307" s="8"/>
      <c r="P307" s="8"/>
    </row>
    <row r="308" customFormat="false" ht="15.75" hidden="false" customHeight="true" outlineLevel="0" collapsed="false">
      <c r="A308" s="7" t="s">
        <v>674</v>
      </c>
      <c r="B308" s="8" t="s">
        <v>591</v>
      </c>
      <c r="C308" s="8" t="n">
        <v>2010</v>
      </c>
      <c r="D308" s="9" t="s">
        <v>675</v>
      </c>
      <c r="E308" s="7" t="s">
        <v>295</v>
      </c>
      <c r="F308" s="10" t="n">
        <f aca="false">IF(ISBLANK($G308),,VLOOKUP($G308, Rarities!$A$1:$B869, 2, FALSE()))</f>
        <v>1</v>
      </c>
      <c r="G308" s="8" t="s">
        <v>17</v>
      </c>
      <c r="H308" s="8" t="str">
        <f aca="false">VLOOKUP(B308,Manufacturers!A$1:B869,2)</f>
        <v>US</v>
      </c>
      <c r="I308" s="11" t="n">
        <v>25000</v>
      </c>
      <c r="J308" s="8"/>
      <c r="K308" s="8" t="n">
        <v>1</v>
      </c>
      <c r="L308" s="12" t="n">
        <v>9</v>
      </c>
      <c r="M308" s="11" t="e">
        <f aca="false">IF(AND(ISNUMBER(L308),L308&gt;0),(3*J308+K308)*#REF!/L308,"-")</f>
        <v>#REF!</v>
      </c>
      <c r="N308" s="11" t="e">
        <f aca="false">IF(AND(#REF!,ISNUMBER(L308),L308&gt;0),((3*J308+K308)*#REF!-I308)/L308,"-")</f>
        <v>#REF!</v>
      </c>
      <c r="O308" s="8"/>
      <c r="P308" s="8"/>
    </row>
    <row r="309" customFormat="false" ht="15.75" hidden="false" customHeight="true" outlineLevel="0" collapsed="false">
      <c r="A309" s="7" t="s">
        <v>676</v>
      </c>
      <c r="B309" s="8" t="s">
        <v>591</v>
      </c>
      <c r="C309" s="8" t="n">
        <v>2011</v>
      </c>
      <c r="D309" s="9" t="s">
        <v>677</v>
      </c>
      <c r="E309" s="7" t="s">
        <v>353</v>
      </c>
      <c r="F309" s="10" t="n">
        <f aca="false">IF(ISBLANK($G309),,VLOOKUP($G309, Rarities!$A$1:$B869, 2, FALSE()))</f>
        <v>2</v>
      </c>
      <c r="G309" s="8" t="s">
        <v>36</v>
      </c>
      <c r="H309" s="8" t="str">
        <f aca="false">VLOOKUP(B309,Manufacturers!A$1:B869,2)</f>
        <v>US</v>
      </c>
      <c r="I309" s="11" t="n">
        <v>42000</v>
      </c>
      <c r="J309" s="8"/>
      <c r="K309" s="8"/>
      <c r="L309" s="12" t="s">
        <v>244</v>
      </c>
      <c r="M309" s="11" t="str">
        <f aca="false">IF(AND(ISNUMBER(L309),L309&gt;0),(3*J309+K309)*#REF!/L309,"-")</f>
        <v>-</v>
      </c>
      <c r="N309" s="11" t="e">
        <f aca="false">IF(AND(#REF!,ISNUMBER(L309),L309&gt;0),((3*J309+K309)*#REF!-I309)/L309,"-")</f>
        <v>#REF!</v>
      </c>
      <c r="O309" s="8"/>
      <c r="P309" s="8"/>
    </row>
    <row r="310" customFormat="false" ht="15.75" hidden="false" customHeight="true" outlineLevel="0" collapsed="false">
      <c r="A310" s="7" t="s">
        <v>678</v>
      </c>
      <c r="B310" s="8" t="s">
        <v>591</v>
      </c>
      <c r="C310" s="8" t="n">
        <v>2011</v>
      </c>
      <c r="D310" s="9" t="s">
        <v>679</v>
      </c>
      <c r="E310" s="7" t="s">
        <v>350</v>
      </c>
      <c r="F310" s="10" t="n">
        <f aca="false">IF(ISBLANK($G310),,VLOOKUP($G310, Rarities!$A$1:$B869, 2, FALSE()))</f>
        <v>2</v>
      </c>
      <c r="G310" s="8" t="s">
        <v>36</v>
      </c>
      <c r="H310" s="8" t="str">
        <f aca="false">VLOOKUP(B310,Manufacturers!A$1:B869,2)</f>
        <v>US</v>
      </c>
      <c r="I310" s="11" t="n">
        <v>50000</v>
      </c>
      <c r="J310" s="8"/>
      <c r="K310" s="8" t="n">
        <v>1</v>
      </c>
      <c r="L310" s="12" t="n">
        <v>9</v>
      </c>
      <c r="M310" s="11" t="e">
        <f aca="false">IF(AND(ISNUMBER(L310),L310&gt;0),(3*J310+K310)*#REF!/L310,"-")</f>
        <v>#REF!</v>
      </c>
      <c r="N310" s="11" t="e">
        <f aca="false">IF(AND(#REF!,ISNUMBER(L310),L310&gt;0),((3*J310+K310)*#REF!-I310)/L310,"-")</f>
        <v>#REF!</v>
      </c>
      <c r="O310" s="8"/>
      <c r="P310" s="8"/>
    </row>
    <row r="311" customFormat="false" ht="15.75" hidden="false" customHeight="true" outlineLevel="0" collapsed="false">
      <c r="A311" s="7" t="s">
        <v>244</v>
      </c>
      <c r="B311" s="8" t="s">
        <v>591</v>
      </c>
      <c r="C311" s="8" t="n">
        <v>2011</v>
      </c>
      <c r="D311" s="9" t="s">
        <v>680</v>
      </c>
      <c r="E311" s="7" t="s">
        <v>244</v>
      </c>
      <c r="F311" s="10" t="n">
        <f aca="false">IF(ISBLANK($G311),,VLOOKUP($G311, Rarities!$A$1:$B869, 2, FALSE()))</f>
        <v>0</v>
      </c>
      <c r="G311" s="8" t="s">
        <v>244</v>
      </c>
      <c r="H311" s="8" t="str">
        <f aca="false">VLOOKUP(B311,Manufacturers!A$1:B869,2)</f>
        <v>US</v>
      </c>
      <c r="I311" s="11" t="s">
        <v>244</v>
      </c>
      <c r="J311" s="8"/>
      <c r="K311" s="8"/>
      <c r="L311" s="12" t="s">
        <v>244</v>
      </c>
      <c r="M311" s="11" t="str">
        <f aca="false">IF(AND(ISNUMBER(L311),L311&gt;0),(3*J311+K311)*#REF!/L311,"-")</f>
        <v>-</v>
      </c>
      <c r="N311" s="11" t="e">
        <f aca="false">IF(AND(#REF!,ISNUMBER(L311),L311&gt;0),((3*J311+K311)*#REF!-I311)/L311,"-")</f>
        <v>#REF!</v>
      </c>
      <c r="O311" s="8"/>
      <c r="P311" s="8"/>
    </row>
    <row r="312" customFormat="false" ht="15.75" hidden="false" customHeight="true" outlineLevel="0" collapsed="false">
      <c r="A312" s="7" t="s">
        <v>681</v>
      </c>
      <c r="B312" s="8" t="s">
        <v>591</v>
      </c>
      <c r="C312" s="8" t="n">
        <v>2013</v>
      </c>
      <c r="D312" s="9" t="s">
        <v>682</v>
      </c>
      <c r="E312" s="7" t="s">
        <v>303</v>
      </c>
      <c r="F312" s="10" t="n">
        <f aca="false">IF(ISBLANK($G312),,VLOOKUP($G312, Rarities!$A$1:$B869, 2, FALSE()))</f>
        <v>2</v>
      </c>
      <c r="G312" s="8" t="s">
        <v>36</v>
      </c>
      <c r="H312" s="8" t="str">
        <f aca="false">VLOOKUP(B312,Manufacturers!A$1:B869,2)</f>
        <v>US</v>
      </c>
      <c r="I312" s="11" t="n">
        <v>115000</v>
      </c>
      <c r="J312" s="8"/>
      <c r="K312" s="8" t="n">
        <v>2</v>
      </c>
      <c r="L312" s="12" t="n">
        <v>14</v>
      </c>
      <c r="M312" s="11" t="e">
        <f aca="false">IF(AND(ISNUMBER(L312),L312&gt;0),(3*J312+K312)*#REF!/L312,"-")</f>
        <v>#REF!</v>
      </c>
      <c r="N312" s="11" t="e">
        <f aca="false">IF(AND(#REF!,ISNUMBER(L312),L312&gt;0),((3*J312+K312)*#REF!-I312)/L312,"-")</f>
        <v>#REF!</v>
      </c>
      <c r="O312" s="8"/>
      <c r="P312" s="8"/>
    </row>
    <row r="313" customFormat="false" ht="15.75" hidden="false" customHeight="true" outlineLevel="0" collapsed="false">
      <c r="A313" s="7" t="s">
        <v>683</v>
      </c>
      <c r="B313" s="8" t="s">
        <v>591</v>
      </c>
      <c r="C313" s="8" t="n">
        <v>2014</v>
      </c>
      <c r="D313" s="9" t="s">
        <v>684</v>
      </c>
      <c r="E313" s="7" t="s">
        <v>72</v>
      </c>
      <c r="F313" s="10" t="n">
        <f aca="false">IF(ISBLANK($G313),,VLOOKUP($G313, Rarities!$A$1:$B869, 2, FALSE()))</f>
        <v>3</v>
      </c>
      <c r="G313" s="8" t="s">
        <v>53</v>
      </c>
      <c r="H313" s="8" t="str">
        <f aca="false">VLOOKUP(B313,Manufacturers!A$1:B869,2)</f>
        <v>US</v>
      </c>
      <c r="I313" s="11" t="n">
        <v>500000</v>
      </c>
      <c r="J313" s="8"/>
      <c r="K313" s="8" t="n">
        <v>1</v>
      </c>
      <c r="L313" s="12" t="n">
        <v>9</v>
      </c>
      <c r="M313" s="11" t="e">
        <f aca="false">IF(AND(ISNUMBER(L313),L313&gt;0),(3*J313+K313)*#REF!/L313,"-")</f>
        <v>#REF!</v>
      </c>
      <c r="N313" s="11" t="e">
        <f aca="false">IF(AND(#REF!,ISNUMBER(L313),L313&gt;0),((3*J313+K313)*#REF!-I313)/L313,"-")</f>
        <v>#REF!</v>
      </c>
      <c r="O313" s="8"/>
      <c r="P313" s="8"/>
    </row>
    <row r="314" customFormat="false" ht="15.75" hidden="false" customHeight="true" outlineLevel="0" collapsed="false">
      <c r="A314" s="7" t="s">
        <v>685</v>
      </c>
      <c r="B314" s="8" t="s">
        <v>591</v>
      </c>
      <c r="C314" s="8" t="n">
        <v>2014</v>
      </c>
      <c r="D314" s="9" t="s">
        <v>686</v>
      </c>
      <c r="E314" s="7" t="s">
        <v>687</v>
      </c>
      <c r="F314" s="10" t="n">
        <f aca="false">IF(ISBLANK($G314),,VLOOKUP($G314, Rarities!$A$1:$B869, 2, FALSE()))</f>
        <v>3</v>
      </c>
      <c r="G314" s="8" t="s">
        <v>53</v>
      </c>
      <c r="H314" s="8" t="str">
        <f aca="false">VLOOKUP(B314,Manufacturers!A$1:B869,2)</f>
        <v>US</v>
      </c>
      <c r="I314" s="11" t="n">
        <v>250000</v>
      </c>
      <c r="J314" s="8"/>
      <c r="K314" s="8" t="n">
        <v>1</v>
      </c>
      <c r="L314" s="12" t="n">
        <v>9</v>
      </c>
      <c r="M314" s="11" t="e">
        <f aca="false">IF(AND(ISNUMBER(L314),L314&gt;0),(3*J314+K314)*#REF!/L314,"-")</f>
        <v>#REF!</v>
      </c>
      <c r="N314" s="11" t="e">
        <f aca="false">IF(AND(#REF!,ISNUMBER(L314),L314&gt;0),((3*J314+K314)*#REF!-I314)/L314,"-")</f>
        <v>#REF!</v>
      </c>
      <c r="O314" s="8"/>
      <c r="P314" s="8"/>
    </row>
    <row r="315" customFormat="false" ht="15.75" hidden="false" customHeight="true" outlineLevel="0" collapsed="false">
      <c r="A315" s="7" t="s">
        <v>688</v>
      </c>
      <c r="B315" s="8" t="s">
        <v>591</v>
      </c>
      <c r="C315" s="8" t="n">
        <v>2014</v>
      </c>
      <c r="D315" s="9" t="s">
        <v>689</v>
      </c>
      <c r="E315" s="7" t="s">
        <v>23</v>
      </c>
      <c r="F315" s="10" t="n">
        <f aca="false">IF(ISBLANK($G315),,VLOOKUP($G315, Rarities!$A$1:$B869, 2, FALSE()))</f>
        <v>1</v>
      </c>
      <c r="G315" s="8" t="s">
        <v>17</v>
      </c>
      <c r="H315" s="8" t="str">
        <f aca="false">VLOOKUP(B315,Manufacturers!A$1:B869,2)</f>
        <v>US</v>
      </c>
      <c r="I315" s="11" t="n">
        <v>25000</v>
      </c>
      <c r="J315" s="8"/>
      <c r="K315" s="8" t="n">
        <v>1</v>
      </c>
      <c r="L315" s="12" t="n">
        <v>9</v>
      </c>
      <c r="M315" s="11" t="e">
        <f aca="false">IF(AND(ISNUMBER(L315),L315&gt;0),(3*J315+K315)*#REF!/L315,"-")</f>
        <v>#REF!</v>
      </c>
      <c r="N315" s="11" t="e">
        <f aca="false">IF(AND(#REF!,ISNUMBER(L315),L315&gt;0),((3*J315+K315)*#REF!-I315)/L315,"-")</f>
        <v>#REF!</v>
      </c>
      <c r="O315" s="8"/>
      <c r="P315" s="8"/>
    </row>
    <row r="316" customFormat="false" ht="15.75" hidden="false" customHeight="true" outlineLevel="0" collapsed="false">
      <c r="A316" s="7" t="s">
        <v>690</v>
      </c>
      <c r="B316" s="8" t="s">
        <v>591</v>
      </c>
      <c r="C316" s="8" t="n">
        <v>2014</v>
      </c>
      <c r="D316" s="9" t="s">
        <v>691</v>
      </c>
      <c r="E316" s="7" t="s">
        <v>350</v>
      </c>
      <c r="F316" s="10" t="n">
        <f aca="false">IF(ISBLANK($G316),,VLOOKUP($G316, Rarities!$A$1:$B869, 2, FALSE()))</f>
        <v>1</v>
      </c>
      <c r="G316" s="8" t="s">
        <v>17</v>
      </c>
      <c r="H316" s="8" t="str">
        <f aca="false">VLOOKUP(B316,Manufacturers!A$1:B869,2)</f>
        <v>US</v>
      </c>
      <c r="I316" s="11" t="n">
        <v>50000</v>
      </c>
      <c r="J316" s="8"/>
      <c r="K316" s="8" t="n">
        <v>1</v>
      </c>
      <c r="L316" s="12" t="n">
        <v>9</v>
      </c>
      <c r="M316" s="11" t="e">
        <f aca="false">IF(AND(ISNUMBER(L316),L316&gt;0),(3*J316+K316)*#REF!/L316,"-")</f>
        <v>#REF!</v>
      </c>
      <c r="N316" s="11" t="e">
        <f aca="false">IF(AND(#REF!,ISNUMBER(L316),L316&gt;0),((3*J316+K316)*#REF!-I316)/L316,"-")</f>
        <v>#REF!</v>
      </c>
      <c r="O316" s="8"/>
      <c r="P316" s="8"/>
    </row>
    <row r="317" customFormat="false" ht="15.75" hidden="false" customHeight="true" outlineLevel="0" collapsed="false">
      <c r="A317" s="7" t="s">
        <v>692</v>
      </c>
      <c r="B317" s="8" t="s">
        <v>591</v>
      </c>
      <c r="C317" s="8" t="n">
        <v>2015</v>
      </c>
      <c r="D317" s="9" t="s">
        <v>693</v>
      </c>
      <c r="E317" s="7" t="s">
        <v>303</v>
      </c>
      <c r="F317" s="10" t="n">
        <f aca="false">IF(ISBLANK($G317),,VLOOKUP($G317, Rarities!$A$1:$B869, 2, FALSE()))</f>
        <v>1</v>
      </c>
      <c r="G317" s="8" t="s">
        <v>17</v>
      </c>
      <c r="H317" s="8" t="str">
        <f aca="false">VLOOKUP(B317,Manufacturers!A$1:B869,2)</f>
        <v>US</v>
      </c>
      <c r="I317" s="11" t="n">
        <v>60000</v>
      </c>
      <c r="J317" s="8"/>
      <c r="K317" s="8" t="n">
        <v>1</v>
      </c>
      <c r="L317" s="12" t="n">
        <v>9</v>
      </c>
      <c r="M317" s="11" t="e">
        <f aca="false">IF(AND(ISNUMBER(L317),L317&gt;0),(3*J317+K317)*#REF!/L317,"-")</f>
        <v>#REF!</v>
      </c>
      <c r="N317" s="11" t="e">
        <f aca="false">IF(AND(#REF!,ISNUMBER(L317),L317&gt;0),((3*J317+K317)*#REF!-I317)/L317,"-")</f>
        <v>#REF!</v>
      </c>
      <c r="O317" s="8"/>
      <c r="P317" s="8"/>
    </row>
    <row r="318" customFormat="false" ht="15.75" hidden="false" customHeight="true" outlineLevel="0" collapsed="false">
      <c r="A318" s="7" t="s">
        <v>694</v>
      </c>
      <c r="B318" s="8" t="s">
        <v>591</v>
      </c>
      <c r="C318" s="8" t="n">
        <v>2016</v>
      </c>
      <c r="D318" s="9" t="s">
        <v>695</v>
      </c>
      <c r="E318" s="7" t="s">
        <v>86</v>
      </c>
      <c r="F318" s="10" t="n">
        <f aca="false">IF(ISBLANK($G318),,VLOOKUP($G318, Rarities!$A$1:$B869, 2, FALSE()))</f>
        <v>3</v>
      </c>
      <c r="G318" s="8" t="s">
        <v>53</v>
      </c>
      <c r="H318" s="8" t="str">
        <f aca="false">VLOOKUP(B318,Manufacturers!A$1:B869,2)</f>
        <v>US</v>
      </c>
      <c r="I318" s="11" t="n">
        <v>650000</v>
      </c>
      <c r="J318" s="8"/>
      <c r="K318" s="8"/>
      <c r="L318" s="12"/>
      <c r="M318" s="11"/>
      <c r="N318" s="11"/>
      <c r="O318" s="8"/>
      <c r="P318" s="8"/>
    </row>
    <row r="319" customFormat="false" ht="15.75" hidden="false" customHeight="true" outlineLevel="0" collapsed="false">
      <c r="A319" s="7" t="s">
        <v>696</v>
      </c>
      <c r="B319" s="8" t="s">
        <v>591</v>
      </c>
      <c r="C319" s="8" t="n">
        <v>2016</v>
      </c>
      <c r="D319" s="9" t="s">
        <v>697</v>
      </c>
      <c r="E319" s="7" t="s">
        <v>111</v>
      </c>
      <c r="F319" s="10" t="n">
        <f aca="false">IF(ISBLANK($G319),,VLOOKUP($G319, Rarities!$A$1:$B869, 2, FALSE()))</f>
        <v>2</v>
      </c>
      <c r="G319" s="8" t="s">
        <v>36</v>
      </c>
      <c r="H319" s="8" t="str">
        <f aca="false">VLOOKUP(B319,Manufacturers!A$1:B869,2)</f>
        <v>US</v>
      </c>
      <c r="I319" s="11" t="n">
        <v>75000</v>
      </c>
      <c r="J319" s="8"/>
      <c r="K319" s="8" t="n">
        <v>1</v>
      </c>
      <c r="L319" s="12" t="n">
        <v>9</v>
      </c>
      <c r="M319" s="11" t="e">
        <f aca="false">IF(AND(ISNUMBER(L319),L319&gt;0),(3*J319+K319)*#REF!/L319,"-")</f>
        <v>#REF!</v>
      </c>
      <c r="N319" s="11" t="e">
        <f aca="false">IF(AND(#REF!,ISNUMBER(L319),L319&gt;0),((3*J319+K319)*#REF!-I319)/L319,"-")</f>
        <v>#REF!</v>
      </c>
      <c r="O319" s="8"/>
      <c r="P319" s="8"/>
    </row>
    <row r="320" customFormat="false" ht="15.75" hidden="false" customHeight="true" outlineLevel="0" collapsed="false">
      <c r="A320" s="7" t="s">
        <v>698</v>
      </c>
      <c r="B320" s="8" t="s">
        <v>591</v>
      </c>
      <c r="C320" s="8" t="n">
        <v>2017</v>
      </c>
      <c r="D320" s="9" t="s">
        <v>699</v>
      </c>
      <c r="E320" s="7" t="s">
        <v>35</v>
      </c>
      <c r="F320" s="10" t="n">
        <f aca="false">IF(ISBLANK($G320),,VLOOKUP($G320, Rarities!$A$1:$B869, 2, FALSE()))</f>
        <v>4</v>
      </c>
      <c r="G320" s="8" t="s">
        <v>41</v>
      </c>
      <c r="H320" s="8" t="str">
        <f aca="false">VLOOKUP(B320,Manufacturers!A$1:B869,2)</f>
        <v>US</v>
      </c>
      <c r="I320" s="11" t="n">
        <v>400000</v>
      </c>
      <c r="J320" s="8"/>
      <c r="K320" s="8"/>
      <c r="L320" s="12"/>
      <c r="M320" s="11" t="str">
        <f aca="false">IF(AND(ISNUMBER(L320),L320&gt;0),(3*J320+K320)*#REF!/L320,"-")</f>
        <v>-</v>
      </c>
      <c r="N320" s="11" t="e">
        <f aca="false">IF(AND(#REF!,ISNUMBER(L320),L320&gt;0),((3*J320+K320)*#REF!-I320)/L320,"-")</f>
        <v>#REF!</v>
      </c>
      <c r="O320" s="8"/>
      <c r="P320" s="8"/>
    </row>
    <row r="321" customFormat="false" ht="15.75" hidden="false" customHeight="true" outlineLevel="0" collapsed="false">
      <c r="A321" s="7" t="s">
        <v>700</v>
      </c>
      <c r="B321" s="8" t="s">
        <v>591</v>
      </c>
      <c r="C321" s="8" t="n">
        <v>2017</v>
      </c>
      <c r="D321" s="9" t="s">
        <v>701</v>
      </c>
      <c r="E321" s="7" t="s">
        <v>139</v>
      </c>
      <c r="F321" s="10" t="n">
        <f aca="false">IF(ISBLANK($G321),,VLOOKUP($G321, Rarities!$A$1:$B869, 2, FALSE()))</f>
        <v>3</v>
      </c>
      <c r="G321" s="8" t="s">
        <v>53</v>
      </c>
      <c r="H321" s="8" t="str">
        <f aca="false">VLOOKUP(B321,Manufacturers!A$1:B869,2)</f>
        <v>US</v>
      </c>
      <c r="I321" s="11" t="n">
        <v>500000</v>
      </c>
      <c r="J321" s="8"/>
      <c r="K321" s="8" t="n">
        <v>1</v>
      </c>
      <c r="L321" s="12" t="n">
        <v>9</v>
      </c>
      <c r="M321" s="11" t="e">
        <f aca="false">IF(AND(ISNUMBER(L321),L321&gt;0),(3*J321+K321)*#REF!/L321,"-")</f>
        <v>#REF!</v>
      </c>
      <c r="N321" s="11" t="e">
        <f aca="false">IF(AND(#REF!,ISNUMBER(L321),L321&gt;0),((3*J321+K321)*#REF!-I321)/L321,"-")</f>
        <v>#REF!</v>
      </c>
      <c r="O321" s="8"/>
      <c r="P321" s="8"/>
    </row>
    <row r="322" customFormat="false" ht="15.75" hidden="false" customHeight="true" outlineLevel="0" collapsed="false">
      <c r="A322" s="7" t="s">
        <v>702</v>
      </c>
      <c r="B322" s="8" t="s">
        <v>591</v>
      </c>
      <c r="C322" s="8" t="n">
        <v>2017</v>
      </c>
      <c r="D322" s="9" t="s">
        <v>703</v>
      </c>
      <c r="E322" s="7" t="s">
        <v>72</v>
      </c>
      <c r="F322" s="10" t="n">
        <f aca="false">IF(ISBLANK($G322),,VLOOKUP($G322, Rarities!$A$1:$B869, 2, FALSE()))</f>
        <v>3</v>
      </c>
      <c r="G322" s="8" t="s">
        <v>53</v>
      </c>
      <c r="H322" s="8" t="str">
        <f aca="false">VLOOKUP(B322,Manufacturers!A$1:B869,2)</f>
        <v>US</v>
      </c>
      <c r="I322" s="11" t="n">
        <v>500000</v>
      </c>
      <c r="J322" s="8"/>
      <c r="K322" s="8" t="n">
        <v>1</v>
      </c>
      <c r="L322" s="12" t="n">
        <v>9</v>
      </c>
      <c r="M322" s="11" t="e">
        <f aca="false">IF(AND(ISNUMBER(L322),L322&gt;0),(3*J322+K322)*#REF!/L322,"-")</f>
        <v>#REF!</v>
      </c>
      <c r="N322" s="11" t="e">
        <f aca="false">IF(AND(#REF!,ISNUMBER(L322),L322&gt;0),((3*J322+K322)*#REF!-I322)/L322,"-")</f>
        <v>#REF!</v>
      </c>
      <c r="O322" s="8"/>
      <c r="P322" s="8"/>
    </row>
    <row r="323" customFormat="false" ht="15.75" hidden="false" customHeight="true" outlineLevel="0" collapsed="false">
      <c r="A323" s="7" t="s">
        <v>704</v>
      </c>
      <c r="B323" s="8" t="s">
        <v>591</v>
      </c>
      <c r="C323" s="8" t="n">
        <v>2017</v>
      </c>
      <c r="D323" s="9" t="s">
        <v>668</v>
      </c>
      <c r="E323" s="7" t="s">
        <v>155</v>
      </c>
      <c r="F323" s="10" t="n">
        <f aca="false">IF(ISBLANK($G323),,VLOOKUP($G323, Rarities!$A$1:$B869, 2, FALSE()))</f>
        <v>3</v>
      </c>
      <c r="G323" s="8" t="s">
        <v>53</v>
      </c>
      <c r="H323" s="8" t="str">
        <f aca="false">VLOOKUP(B323,Manufacturers!A$1:B869,2)</f>
        <v>US</v>
      </c>
      <c r="I323" s="11" t="n">
        <v>59000</v>
      </c>
      <c r="J323" s="8"/>
      <c r="K323" s="8" t="n">
        <v>1</v>
      </c>
      <c r="L323" s="12" t="n">
        <v>9</v>
      </c>
      <c r="M323" s="11" t="e">
        <f aca="false">IF(AND(ISNUMBER(L323),L323&gt;0),(3*J323+K323)*#REF!/L323,"-")</f>
        <v>#REF!</v>
      </c>
      <c r="N323" s="11" t="e">
        <f aca="false">IF(AND(#REF!,ISNUMBER(L323),L323&gt;0),((3*J323+K323)*#REF!-I323)/L323,"-")</f>
        <v>#REF!</v>
      </c>
      <c r="O323" s="8"/>
      <c r="P323" s="8"/>
    </row>
    <row r="324" customFormat="false" ht="15.75" hidden="false" customHeight="true" outlineLevel="0" collapsed="false">
      <c r="A324" s="7" t="s">
        <v>705</v>
      </c>
      <c r="B324" s="8" t="s">
        <v>591</v>
      </c>
      <c r="C324" s="8" t="n">
        <v>2017</v>
      </c>
      <c r="D324" s="9" t="s">
        <v>132</v>
      </c>
      <c r="E324" s="7" t="s">
        <v>35</v>
      </c>
      <c r="F324" s="10" t="n">
        <f aca="false">IF(ISBLANK($G324),,VLOOKUP($G324, Rarities!$A$1:$B869, 2, FALSE()))</f>
        <v>3</v>
      </c>
      <c r="G324" s="8" t="s">
        <v>53</v>
      </c>
      <c r="H324" s="8" t="str">
        <f aca="false">VLOOKUP(B324,Manufacturers!A$1:B869,2)</f>
        <v>US</v>
      </c>
      <c r="I324" s="11" t="n">
        <v>400000</v>
      </c>
      <c r="J324" s="8"/>
      <c r="K324" s="8" t="n">
        <v>1</v>
      </c>
      <c r="L324" s="12" t="n">
        <v>9</v>
      </c>
      <c r="M324" s="11" t="e">
        <f aca="false">IF(AND(ISNUMBER(L324),L324&gt;0),(3*J324+K324)*#REF!/L324,"-")</f>
        <v>#REF!</v>
      </c>
      <c r="N324" s="11" t="e">
        <f aca="false">IF(AND(#REF!,ISNUMBER(L324),L324&gt;0),((3*J324+K324)*#REF!-I324)/L324,"-")</f>
        <v>#REF!</v>
      </c>
      <c r="O324" s="8"/>
      <c r="P324" s="8"/>
    </row>
    <row r="325" customFormat="false" ht="15.75" hidden="false" customHeight="true" outlineLevel="0" collapsed="false">
      <c r="A325" s="7" t="s">
        <v>706</v>
      </c>
      <c r="B325" s="8" t="s">
        <v>591</v>
      </c>
      <c r="C325" s="8" t="n">
        <v>2017</v>
      </c>
      <c r="D325" s="9" t="s">
        <v>707</v>
      </c>
      <c r="E325" s="7" t="s">
        <v>139</v>
      </c>
      <c r="F325" s="10" t="n">
        <f aca="false">IF(ISBLANK($G325),,VLOOKUP($G325, Rarities!$A$1:$B869, 2, FALSE()))</f>
        <v>3</v>
      </c>
      <c r="G325" s="8" t="s">
        <v>53</v>
      </c>
      <c r="H325" s="8" t="str">
        <f aca="false">VLOOKUP(B325,Manufacturers!A$1:B869,2)</f>
        <v>US</v>
      </c>
      <c r="I325" s="11" t="n">
        <v>500000</v>
      </c>
      <c r="J325" s="8"/>
      <c r="K325" s="8" t="n">
        <v>1</v>
      </c>
      <c r="L325" s="12" t="n">
        <v>9</v>
      </c>
      <c r="M325" s="11" t="e">
        <f aca="false">IF(AND(ISNUMBER(L325),L325&gt;0),(3*J325+K325)*#REF!/L325,"-")</f>
        <v>#REF!</v>
      </c>
      <c r="N325" s="11" t="e">
        <f aca="false">IF(AND(#REF!,ISNUMBER(L325),L325&gt;0),((3*J325+K325)*#REF!-I325)/L325,"-")</f>
        <v>#REF!</v>
      </c>
      <c r="O325" s="8"/>
      <c r="P325" s="8"/>
    </row>
    <row r="326" customFormat="false" ht="15.75" hidden="false" customHeight="true" outlineLevel="0" collapsed="false">
      <c r="A326" s="7" t="s">
        <v>708</v>
      </c>
      <c r="B326" s="8" t="s">
        <v>591</v>
      </c>
      <c r="C326" s="8" t="n">
        <v>2017</v>
      </c>
      <c r="D326" s="9" t="s">
        <v>709</v>
      </c>
      <c r="E326" s="7" t="s">
        <v>353</v>
      </c>
      <c r="F326" s="10" t="n">
        <f aca="false">IF(ISBLANK($G326),,VLOOKUP($G326, Rarities!$A$1:$B869, 2, FALSE()))</f>
        <v>1</v>
      </c>
      <c r="G326" s="8" t="s">
        <v>17</v>
      </c>
      <c r="H326" s="8" t="str">
        <f aca="false">VLOOKUP(B326,Manufacturers!A$1:B869,2)</f>
        <v>US</v>
      </c>
      <c r="I326" s="11" t="n">
        <v>63000</v>
      </c>
      <c r="J326" s="8"/>
      <c r="K326" s="8"/>
      <c r="L326" s="12" t="s">
        <v>244</v>
      </c>
      <c r="M326" s="11" t="str">
        <f aca="false">IF(AND(ISNUMBER(L326),L326&gt;0),(3*J326+K326)*#REF!/L326,"-")</f>
        <v>-</v>
      </c>
      <c r="N326" s="11" t="e">
        <f aca="false">IF(AND(#REF!,ISNUMBER(L326),L326&gt;0),((3*J326+K326)*#REF!-I326)/L326,"-")</f>
        <v>#REF!</v>
      </c>
      <c r="O326" s="8"/>
      <c r="P326" s="8"/>
    </row>
    <row r="327" customFormat="false" ht="15.75" hidden="false" customHeight="true" outlineLevel="0" collapsed="false">
      <c r="A327" s="7" t="s">
        <v>244</v>
      </c>
      <c r="B327" s="8" t="s">
        <v>591</v>
      </c>
      <c r="C327" s="8" t="n">
        <v>2017</v>
      </c>
      <c r="D327" s="9" t="s">
        <v>709</v>
      </c>
      <c r="E327" s="7" t="s">
        <v>244</v>
      </c>
      <c r="F327" s="10" t="n">
        <f aca="false">IF(ISBLANK($G327),,VLOOKUP($G327, Rarities!$A$1:$B869, 2, FALSE()))</f>
        <v>0</v>
      </c>
      <c r="G327" s="8" t="s">
        <v>244</v>
      </c>
      <c r="H327" s="8" t="str">
        <f aca="false">VLOOKUP(B327,Manufacturers!A$1:B869,2)</f>
        <v>US</v>
      </c>
      <c r="I327" s="11" t="s">
        <v>244</v>
      </c>
      <c r="J327" s="8"/>
      <c r="K327" s="8"/>
      <c r="L327" s="12" t="s">
        <v>244</v>
      </c>
      <c r="M327" s="11" t="str">
        <f aca="false">IF(AND(ISNUMBER(L327),L327&gt;0),(3*J327+K327)*#REF!/L327,"-")</f>
        <v>-</v>
      </c>
      <c r="N327" s="11" t="e">
        <f aca="false">IF(AND(#REF!,ISNUMBER(L327),L327&gt;0),((3*J327+K327)*#REF!-I327)/L327,"-")</f>
        <v>#REF!</v>
      </c>
      <c r="O327" s="8"/>
      <c r="P327" s="8"/>
    </row>
    <row r="328" customFormat="false" ht="15.75" hidden="false" customHeight="true" outlineLevel="0" collapsed="false">
      <c r="A328" s="7" t="s">
        <v>244</v>
      </c>
      <c r="B328" s="8" t="s">
        <v>591</v>
      </c>
      <c r="C328" s="8" t="n">
        <v>2017</v>
      </c>
      <c r="D328" s="9" t="s">
        <v>668</v>
      </c>
      <c r="E328" s="7" t="s">
        <v>244</v>
      </c>
      <c r="F328" s="10" t="n">
        <f aca="false">IF(ISBLANK($G328),,VLOOKUP($G328, Rarities!$A$1:$B869, 2, FALSE()))</f>
        <v>0</v>
      </c>
      <c r="G328" s="8" t="s">
        <v>244</v>
      </c>
      <c r="H328" s="8" t="str">
        <f aca="false">VLOOKUP(B328,Manufacturers!A$1:B869,2)</f>
        <v>US</v>
      </c>
      <c r="I328" s="11" t="s">
        <v>244</v>
      </c>
      <c r="J328" s="8"/>
      <c r="K328" s="8"/>
      <c r="L328" s="12" t="s">
        <v>244</v>
      </c>
      <c r="M328" s="11" t="str">
        <f aca="false">IF(AND(ISNUMBER(L328),L328&gt;0),(3*J328+K328)*#REF!/L328,"-")</f>
        <v>-</v>
      </c>
      <c r="N328" s="11" t="e">
        <f aca="false">IF(AND(#REF!,ISNUMBER(L328),L328&gt;0),((3*J328+K328)*#REF!-I328)/L328,"-")</f>
        <v>#REF!</v>
      </c>
      <c r="O328" s="8"/>
      <c r="P328" s="8"/>
    </row>
    <row r="329" customFormat="false" ht="15.75" hidden="false" customHeight="true" outlineLevel="0" collapsed="false">
      <c r="A329" s="7" t="s">
        <v>710</v>
      </c>
      <c r="B329" s="8" t="s">
        <v>591</v>
      </c>
      <c r="C329" s="8" t="n">
        <v>2018</v>
      </c>
      <c r="D329" s="9" t="s">
        <v>711</v>
      </c>
      <c r="E329" s="7" t="s">
        <v>406</v>
      </c>
      <c r="F329" s="10" t="n">
        <f aca="false">IF(ISBLANK($G329),,VLOOKUP($G329, Rarities!$A$1:$B869, 2, FALSE()))</f>
        <v>3</v>
      </c>
      <c r="G329" s="8" t="s">
        <v>53</v>
      </c>
      <c r="H329" s="8" t="str">
        <f aca="false">VLOOKUP(B329,Manufacturers!A$1:B869,2)</f>
        <v>US</v>
      </c>
      <c r="I329" s="11" t="n">
        <v>500000</v>
      </c>
      <c r="J329" s="8"/>
      <c r="K329" s="8" t="n">
        <v>1</v>
      </c>
      <c r="L329" s="12" t="n">
        <v>9</v>
      </c>
      <c r="M329" s="11" t="e">
        <f aca="false">IF(AND(ISNUMBER(L329),L329&gt;0),(3*J329+K329)*#REF!/L329,"-")</f>
        <v>#REF!</v>
      </c>
      <c r="N329" s="11" t="e">
        <f aca="false">IF(AND(#REF!,ISNUMBER(L329),L329&gt;0),((3*J329+K329)*#REF!-I329)/L329,"-")</f>
        <v>#REF!</v>
      </c>
      <c r="O329" s="8"/>
      <c r="P329" s="8"/>
    </row>
    <row r="330" customFormat="false" ht="15.75" hidden="false" customHeight="true" outlineLevel="0" collapsed="false">
      <c r="A330" s="7" t="s">
        <v>712</v>
      </c>
      <c r="B330" s="8" t="s">
        <v>591</v>
      </c>
      <c r="C330" s="8" t="n">
        <v>2018</v>
      </c>
      <c r="D330" s="9" t="s">
        <v>713</v>
      </c>
      <c r="E330" s="7" t="s">
        <v>406</v>
      </c>
      <c r="F330" s="10" t="n">
        <f aca="false">IF(ISBLANK($G330),,VLOOKUP($G330, Rarities!$A$1:$B869, 2, FALSE()))</f>
        <v>3</v>
      </c>
      <c r="G330" s="8" t="s">
        <v>53</v>
      </c>
      <c r="H330" s="8" t="str">
        <f aca="false">VLOOKUP(B330,Manufacturers!A$1:B869,2)</f>
        <v>US</v>
      </c>
      <c r="I330" s="11" t="n">
        <v>500000</v>
      </c>
      <c r="J330" s="8"/>
      <c r="K330" s="8" t="n">
        <v>1</v>
      </c>
      <c r="L330" s="12" t="n">
        <v>9</v>
      </c>
      <c r="M330" s="11" t="e">
        <f aca="false">IF(AND(ISNUMBER(L330),L330&gt;0),(3*J330+K330)*#REF!/L330,"-")</f>
        <v>#REF!</v>
      </c>
      <c r="N330" s="11" t="e">
        <f aca="false">IF(AND(#REF!,ISNUMBER(L330),L330&gt;0),((3*J330+K330)*#REF!-I330)/L330,"-")</f>
        <v>#REF!</v>
      </c>
      <c r="O330" s="8"/>
      <c r="P330" s="8"/>
    </row>
    <row r="331" customFormat="false" ht="15.75" hidden="false" customHeight="true" outlineLevel="0" collapsed="false">
      <c r="A331" s="7" t="s">
        <v>714</v>
      </c>
      <c r="B331" s="8" t="s">
        <v>591</v>
      </c>
      <c r="C331" s="8" t="n">
        <v>2018</v>
      </c>
      <c r="D331" s="9" t="s">
        <v>715</v>
      </c>
      <c r="E331" s="7" t="s">
        <v>303</v>
      </c>
      <c r="F331" s="10" t="n">
        <f aca="false">IF(ISBLANK($G331),,VLOOKUP($G331, Rarities!$A$1:$B869, 2, FALSE()))</f>
        <v>2</v>
      </c>
      <c r="G331" s="8" t="s">
        <v>36</v>
      </c>
      <c r="H331" s="8" t="str">
        <f aca="false">VLOOKUP(B331,Manufacturers!A$1:B869,2)</f>
        <v>US</v>
      </c>
      <c r="I331" s="11" t="n">
        <v>105000</v>
      </c>
      <c r="J331" s="8"/>
      <c r="K331" s="8" t="n">
        <v>2</v>
      </c>
      <c r="L331" s="12" t="n">
        <v>14</v>
      </c>
      <c r="M331" s="11" t="e">
        <f aca="false">IF(AND(ISNUMBER(L331),L331&gt;0),(3*J331+K331)*#REF!/L331,"-")</f>
        <v>#REF!</v>
      </c>
      <c r="N331" s="11" t="e">
        <f aca="false">IF(AND(#REF!,ISNUMBER(L331),L331&gt;0),((3*J331+K331)*#REF!-I331)/L331,"-")</f>
        <v>#REF!</v>
      </c>
      <c r="O331" s="8"/>
      <c r="P331" s="8"/>
    </row>
    <row r="332" customFormat="false" ht="15.75" hidden="false" customHeight="true" outlineLevel="0" collapsed="false">
      <c r="A332" s="7" t="s">
        <v>716</v>
      </c>
      <c r="B332" s="8" t="s">
        <v>591</v>
      </c>
      <c r="C332" s="8" t="n">
        <v>2018</v>
      </c>
      <c r="D332" s="9" t="s">
        <v>717</v>
      </c>
      <c r="E332" s="7" t="s">
        <v>303</v>
      </c>
      <c r="F332" s="10" t="n">
        <f aca="false">IF(ISBLANK($G332),,VLOOKUP($G332, Rarities!$A$1:$B869, 2, FALSE()))</f>
        <v>1</v>
      </c>
      <c r="G332" s="8" t="s">
        <v>17</v>
      </c>
      <c r="H332" s="8" t="str">
        <f aca="false">VLOOKUP(B332,Manufacturers!A$1:B869,2)</f>
        <v>US</v>
      </c>
      <c r="I332" s="11" t="n">
        <v>40000</v>
      </c>
      <c r="J332" s="8"/>
      <c r="K332" s="8" t="n">
        <v>1</v>
      </c>
      <c r="L332" s="12" t="n">
        <v>9</v>
      </c>
      <c r="M332" s="11" t="e">
        <f aca="false">IF(AND(ISNUMBER(L332),L332&gt;0),(3*J332+K332)*#REF!/L332,"-")</f>
        <v>#REF!</v>
      </c>
      <c r="N332" s="11" t="e">
        <f aca="false">IF(AND(#REF!,ISNUMBER(L332),L332&gt;0),((3*J332+K332)*#REF!-I332)/L332,"-")</f>
        <v>#REF!</v>
      </c>
      <c r="O332" s="8"/>
      <c r="P332" s="8"/>
    </row>
    <row r="333" customFormat="false" ht="15.75" hidden="false" customHeight="true" outlineLevel="0" collapsed="false">
      <c r="A333" s="7" t="s">
        <v>718</v>
      </c>
      <c r="B333" s="8" t="s">
        <v>591</v>
      </c>
      <c r="C333" s="8" t="n">
        <v>2019</v>
      </c>
      <c r="D333" s="9" t="s">
        <v>718</v>
      </c>
      <c r="E333" s="7" t="s">
        <v>353</v>
      </c>
      <c r="F333" s="10" t="n">
        <f aca="false">IF(ISBLANK($G333),,VLOOKUP($G333, Rarities!$A$1:$B869, 2, FALSE()))</f>
        <v>3</v>
      </c>
      <c r="G333" s="8" t="s">
        <v>53</v>
      </c>
      <c r="H333" s="8" t="str">
        <f aca="false">VLOOKUP(B333,Manufacturers!A$1:B869,2)</f>
        <v>US</v>
      </c>
      <c r="I333" s="11" t="n">
        <v>58000</v>
      </c>
      <c r="J333" s="8"/>
      <c r="K333" s="8"/>
      <c r="L333" s="12" t="s">
        <v>244</v>
      </c>
      <c r="M333" s="11" t="str">
        <f aca="false">IF(AND(ISNUMBER(L333),L333&gt;0),(3*J333+K333)*#REF!/L333,"-")</f>
        <v>-</v>
      </c>
      <c r="N333" s="11" t="e">
        <f aca="false">IF(AND(#REF!,ISNUMBER(L333),L333&gt;0),((3*J333+K333)*#REF!-I333)/L333,"-")</f>
        <v>#REF!</v>
      </c>
      <c r="O333" s="8"/>
      <c r="P333" s="8"/>
    </row>
    <row r="334" customFormat="false" ht="15.75" hidden="false" customHeight="true" outlineLevel="0" collapsed="false">
      <c r="A334" s="7" t="s">
        <v>719</v>
      </c>
      <c r="B334" s="8" t="s">
        <v>591</v>
      </c>
      <c r="C334" s="8" t="n">
        <v>2020</v>
      </c>
      <c r="D334" s="9" t="s">
        <v>720</v>
      </c>
      <c r="E334" s="7" t="s">
        <v>687</v>
      </c>
      <c r="F334" s="10" t="n">
        <f aca="false">IF(ISBLANK($G334),,VLOOKUP($G334, Rarities!$A$1:$B869, 2, FALSE()))</f>
        <v>3</v>
      </c>
      <c r="G334" s="8" t="s">
        <v>53</v>
      </c>
      <c r="H334" s="8" t="str">
        <f aca="false">VLOOKUP(B334,Manufacturers!A$1:B869,2)</f>
        <v>US</v>
      </c>
      <c r="I334" s="11" t="n">
        <v>250000</v>
      </c>
      <c r="J334" s="8" t="n">
        <v>1</v>
      </c>
      <c r="K334" s="8"/>
      <c r="L334" s="12" t="n">
        <v>20</v>
      </c>
      <c r="M334" s="11" t="e">
        <f aca="false">IF(AND(ISNUMBER(L334),L334&gt;0),(3*J334+K334)*#REF!/L334,"-")</f>
        <v>#REF!</v>
      </c>
      <c r="N334" s="11" t="e">
        <f aca="false">IF(AND(#REF!,ISNUMBER(L334),L334&gt;0),((3*J334+K334)*#REF!-I334)/L334,"-")</f>
        <v>#REF!</v>
      </c>
      <c r="O334" s="8"/>
      <c r="P334" s="8"/>
    </row>
    <row r="335" customFormat="false" ht="15.75" hidden="false" customHeight="true" outlineLevel="0" collapsed="false">
      <c r="A335" s="7" t="s">
        <v>721</v>
      </c>
      <c r="B335" s="8" t="s">
        <v>591</v>
      </c>
      <c r="C335" s="8" t="n">
        <v>2020</v>
      </c>
      <c r="D335" s="9" t="s">
        <v>722</v>
      </c>
      <c r="E335" s="7" t="s">
        <v>303</v>
      </c>
      <c r="F335" s="10" t="n">
        <f aca="false">IF(ISBLANK($G335),,VLOOKUP($G335, Rarities!$A$1:$B869, 2, FALSE()))</f>
        <v>2</v>
      </c>
      <c r="G335" s="8" t="s">
        <v>36</v>
      </c>
      <c r="H335" s="8" t="str">
        <f aca="false">VLOOKUP(B335,Manufacturers!A$1:B869,2)</f>
        <v>US</v>
      </c>
      <c r="I335" s="11" t="n">
        <v>100000</v>
      </c>
      <c r="J335" s="8"/>
      <c r="K335" s="8" t="n">
        <v>2</v>
      </c>
      <c r="L335" s="12" t="n">
        <v>14</v>
      </c>
      <c r="M335" s="11" t="e">
        <f aca="false">IF(AND(ISNUMBER(L335),L335&gt;0),(3*J335+K335)*#REF!/L335,"-")</f>
        <v>#REF!</v>
      </c>
      <c r="N335" s="11" t="e">
        <f aca="false">IF(AND(#REF!,ISNUMBER(L335),L335&gt;0),((3*J335+K335)*#REF!-I335)/L335,"-")</f>
        <v>#REF!</v>
      </c>
      <c r="O335" s="8"/>
      <c r="P335" s="8"/>
    </row>
    <row r="336" customFormat="false" ht="15.75" hidden="false" customHeight="true" outlineLevel="0" collapsed="false">
      <c r="A336" s="7" t="s">
        <v>723</v>
      </c>
      <c r="B336" s="8" t="s">
        <v>591</v>
      </c>
      <c r="C336" s="8" t="n">
        <v>2020</v>
      </c>
      <c r="D336" s="9" t="s">
        <v>724</v>
      </c>
      <c r="E336" s="7" t="s">
        <v>687</v>
      </c>
      <c r="F336" s="10" t="n">
        <f aca="false">IF(ISBLANK($G336),,VLOOKUP($G336, Rarities!$A$1:$B869, 2, FALSE()))</f>
        <v>1</v>
      </c>
      <c r="G336" s="8" t="s">
        <v>17</v>
      </c>
      <c r="H336" s="8" t="str">
        <f aca="false">VLOOKUP(B336,Manufacturers!A$1:B869,2)</f>
        <v>US</v>
      </c>
      <c r="I336" s="11" t="n">
        <v>250000</v>
      </c>
      <c r="J336" s="8" t="n">
        <v>1</v>
      </c>
      <c r="K336" s="8"/>
      <c r="L336" s="12" t="n">
        <v>20</v>
      </c>
      <c r="M336" s="11" t="e">
        <f aca="false">IF(AND(ISNUMBER(L336),L336&gt;0),(3*J336+K336)*#REF!/L336,"-")</f>
        <v>#REF!</v>
      </c>
      <c r="N336" s="11" t="e">
        <f aca="false">IF(AND(#REF!,ISNUMBER(L336),L336&gt;0),((3*J336+K336)*#REF!-I336)/L336,"-")</f>
        <v>#REF!</v>
      </c>
      <c r="O336" s="8"/>
      <c r="P336" s="8"/>
    </row>
    <row r="337" customFormat="false" ht="15.75" hidden="false" customHeight="true" outlineLevel="0" collapsed="false">
      <c r="A337" s="7" t="s">
        <v>725</v>
      </c>
      <c r="B337" s="8" t="s">
        <v>591</v>
      </c>
      <c r="C337" s="8" t="n">
        <v>2020</v>
      </c>
      <c r="D337" s="9" t="s">
        <v>726</v>
      </c>
      <c r="E337" s="7" t="s">
        <v>353</v>
      </c>
      <c r="F337" s="10" t="n">
        <f aca="false">IF(ISBLANK($G337),,VLOOKUP($G337, Rarities!$A$1:$B869, 2, FALSE()))</f>
        <v>1</v>
      </c>
      <c r="G337" s="8" t="s">
        <v>17</v>
      </c>
      <c r="H337" s="8" t="str">
        <f aca="false">VLOOKUP(B337,Manufacturers!A$1:B869,2)</f>
        <v>US</v>
      </c>
      <c r="I337" s="11" t="n">
        <v>70000</v>
      </c>
      <c r="J337" s="8"/>
      <c r="K337" s="8"/>
      <c r="L337" s="12" t="s">
        <v>244</v>
      </c>
      <c r="M337" s="11" t="str">
        <f aca="false">IF(AND(ISNUMBER(L337),L337&gt;0),(3*J337+K337)*#REF!/L337,"-")</f>
        <v>-</v>
      </c>
      <c r="N337" s="11" t="e">
        <f aca="false">IF(AND(#REF!,ISNUMBER(L337),L337&gt;0),((3*J337+K337)*#REF!-I337)/L337,"-")</f>
        <v>#REF!</v>
      </c>
      <c r="O337" s="8"/>
      <c r="P337" s="8"/>
    </row>
    <row r="338" customFormat="false" ht="15.75" hidden="false" customHeight="true" outlineLevel="0" collapsed="false">
      <c r="A338" s="7" t="s">
        <v>727</v>
      </c>
      <c r="B338" s="8" t="s">
        <v>591</v>
      </c>
      <c r="C338" s="8" t="n">
        <v>2021</v>
      </c>
      <c r="D338" s="9" t="s">
        <v>728</v>
      </c>
      <c r="E338" s="7" t="s">
        <v>111</v>
      </c>
      <c r="F338" s="10" t="n">
        <f aca="false">IF(ISBLANK($G338),,VLOOKUP($G338, Rarities!$A$1:$B869, 2, FALSE()))</f>
        <v>4</v>
      </c>
      <c r="G338" s="8" t="s">
        <v>41</v>
      </c>
      <c r="H338" s="8" t="str">
        <f aca="false">VLOOKUP(B338,Manufacturers!A$1:B869,2)</f>
        <v>US</v>
      </c>
      <c r="I338" s="11" t="n">
        <v>750000</v>
      </c>
      <c r="J338" s="8"/>
      <c r="K338" s="8"/>
      <c r="L338" s="12"/>
      <c r="M338" s="11"/>
      <c r="N338" s="11"/>
      <c r="O338" s="8"/>
      <c r="P338" s="8"/>
    </row>
    <row r="339" customFormat="false" ht="15.75" hidden="false" customHeight="true" outlineLevel="0" collapsed="false">
      <c r="A339" s="7" t="s">
        <v>729</v>
      </c>
      <c r="B339" s="8" t="s">
        <v>591</v>
      </c>
      <c r="C339" s="8" t="n">
        <v>2021</v>
      </c>
      <c r="D339" s="9" t="s">
        <v>632</v>
      </c>
      <c r="E339" s="7" t="s">
        <v>353</v>
      </c>
      <c r="F339" s="10" t="n">
        <f aca="false">IF(ISBLANK($G339),,VLOOKUP($G339, Rarities!$A$1:$B869, 2, FALSE()))</f>
        <v>2</v>
      </c>
      <c r="G339" s="8" t="s">
        <v>36</v>
      </c>
      <c r="H339" s="8" t="str">
        <f aca="false">VLOOKUP(B339,Manufacturers!A$1:B869,2)</f>
        <v>US</v>
      </c>
      <c r="I339" s="11" t="n">
        <v>55000</v>
      </c>
      <c r="J339" s="8"/>
      <c r="K339" s="8"/>
      <c r="L339" s="12" t="s">
        <v>244</v>
      </c>
      <c r="M339" s="11" t="str">
        <f aca="false">IF(AND(ISNUMBER(L339),L339&gt;0),(3*J339+K339)*#REF!/L339,"-")</f>
        <v>-</v>
      </c>
      <c r="N339" s="11" t="e">
        <f aca="false">IF(AND(#REF!,ISNUMBER(L339),L339&gt;0),((3*J339+K339)*#REF!-I339)/L339,"-")</f>
        <v>#REF!</v>
      </c>
      <c r="O339" s="8"/>
      <c r="P339" s="8"/>
    </row>
    <row r="340" customFormat="false" ht="15.75" hidden="false" customHeight="true" outlineLevel="0" collapsed="false">
      <c r="A340" s="7" t="s">
        <v>730</v>
      </c>
      <c r="B340" s="8" t="s">
        <v>591</v>
      </c>
      <c r="C340" s="8" t="n">
        <v>2022</v>
      </c>
      <c r="D340" s="9" t="s">
        <v>730</v>
      </c>
      <c r="E340" s="7" t="s">
        <v>353</v>
      </c>
      <c r="F340" s="10" t="n">
        <f aca="false">IF(ISBLANK($G340),,VLOOKUP($G340, Rarities!$A$1:$B869, 2, FALSE()))</f>
        <v>3</v>
      </c>
      <c r="G340" s="8" t="s">
        <v>53</v>
      </c>
      <c r="H340" s="8" t="str">
        <f aca="false">VLOOKUP(B340,Manufacturers!A$1:B869,2)</f>
        <v>US</v>
      </c>
      <c r="I340" s="11" t="n">
        <v>250000</v>
      </c>
      <c r="J340" s="8"/>
      <c r="K340" s="8"/>
      <c r="L340" s="12"/>
      <c r="M340" s="11"/>
      <c r="N340" s="11"/>
      <c r="O340" s="8"/>
      <c r="P340" s="8"/>
    </row>
    <row r="341" customFormat="false" ht="15.75" hidden="false" customHeight="true" outlineLevel="0" collapsed="false">
      <c r="A341" s="7" t="s">
        <v>731</v>
      </c>
      <c r="B341" s="8" t="s">
        <v>591</v>
      </c>
      <c r="C341" s="8" t="n">
        <v>2022</v>
      </c>
      <c r="D341" s="9" t="s">
        <v>732</v>
      </c>
      <c r="E341" s="7" t="s">
        <v>353</v>
      </c>
      <c r="F341" s="10" t="n">
        <f aca="false">IF(ISBLANK($G341),,VLOOKUP($G341, Rarities!$A$1:$B869, 2, FALSE()))</f>
        <v>3</v>
      </c>
      <c r="G341" s="8" t="s">
        <v>53</v>
      </c>
      <c r="H341" s="8" t="str">
        <f aca="false">VLOOKUP(B341,Manufacturers!A$1:B869,2)</f>
        <v>US</v>
      </c>
      <c r="I341" s="11" t="n">
        <v>100000</v>
      </c>
      <c r="J341" s="8"/>
      <c r="K341" s="8"/>
      <c r="L341" s="12"/>
      <c r="M341" s="11"/>
      <c r="N341" s="11"/>
      <c r="O341" s="8"/>
      <c r="P341" s="8"/>
    </row>
    <row r="342" customFormat="false" ht="15.75" hidden="false" customHeight="true" outlineLevel="0" collapsed="false">
      <c r="A342" s="7" t="s">
        <v>733</v>
      </c>
      <c r="B342" s="8" t="s">
        <v>591</v>
      </c>
      <c r="C342" s="8" t="n">
        <v>2022</v>
      </c>
      <c r="D342" s="9" t="s">
        <v>734</v>
      </c>
      <c r="E342" s="7" t="s">
        <v>86</v>
      </c>
      <c r="F342" s="10" t="n">
        <f aca="false">IF(ISBLANK($G342),,VLOOKUP($G342, Rarities!$A$1:$B869, 2, FALSE()))</f>
        <v>2</v>
      </c>
      <c r="G342" s="8" t="s">
        <v>36</v>
      </c>
      <c r="H342" s="8" t="str">
        <f aca="false">VLOOKUP(B342,Manufacturers!A$1:B869,2)</f>
        <v>US</v>
      </c>
      <c r="I342" s="11" t="n">
        <v>2000000</v>
      </c>
      <c r="J342" s="8"/>
      <c r="K342" s="8"/>
      <c r="L342" s="12"/>
      <c r="M342" s="11"/>
      <c r="N342" s="11"/>
      <c r="O342" s="8"/>
      <c r="P342" s="8"/>
    </row>
    <row r="343" customFormat="false" ht="15.75" hidden="false" customHeight="true" outlineLevel="0" collapsed="false">
      <c r="A343" s="7" t="s">
        <v>735</v>
      </c>
      <c r="B343" s="8" t="s">
        <v>591</v>
      </c>
      <c r="C343" s="8" t="n">
        <v>2023</v>
      </c>
      <c r="D343" s="9" t="s">
        <v>736</v>
      </c>
      <c r="E343" s="7" t="s">
        <v>353</v>
      </c>
      <c r="F343" s="10" t="n">
        <f aca="false">IF(ISBLANK($G343),,VLOOKUP($G343, Rarities!$A$1:$B869, 2, FALSE()))</f>
        <v>3</v>
      </c>
      <c r="G343" s="8" t="s">
        <v>53</v>
      </c>
      <c r="H343" s="8" t="str">
        <f aca="false">VLOOKUP(B343,Manufacturers!A$1:B869,2)</f>
        <v>US</v>
      </c>
      <c r="I343" s="11" t="n">
        <v>250000</v>
      </c>
      <c r="J343" s="8"/>
      <c r="K343" s="8"/>
      <c r="L343" s="12"/>
      <c r="M343" s="11"/>
      <c r="N343" s="11"/>
      <c r="O343" s="8"/>
      <c r="P343" s="8"/>
    </row>
    <row r="344" customFormat="false" ht="15.75" hidden="false" customHeight="true" outlineLevel="0" collapsed="false">
      <c r="A344" s="7" t="s">
        <v>737</v>
      </c>
      <c r="B344" s="8" t="s">
        <v>591</v>
      </c>
      <c r="C344" s="8" t="n">
        <v>2024</v>
      </c>
      <c r="D344" s="9" t="s">
        <v>717</v>
      </c>
      <c r="E344" s="7" t="s">
        <v>303</v>
      </c>
      <c r="F344" s="10" t="n">
        <f aca="false">IF(ISBLANK($G344),,VLOOKUP($G344, Rarities!$A$1:$B869, 2, FALSE()))</f>
        <v>3</v>
      </c>
      <c r="G344" s="8" t="s">
        <v>53</v>
      </c>
      <c r="H344" s="8" t="str">
        <f aca="false">VLOOKUP(B344,Manufacturers!A$1:B869,2)</f>
        <v>US</v>
      </c>
      <c r="I344" s="11" t="n">
        <v>250000</v>
      </c>
      <c r="J344" s="8"/>
      <c r="K344" s="8"/>
      <c r="L344" s="12"/>
      <c r="M344" s="11"/>
      <c r="N344" s="11"/>
      <c r="O344" s="8"/>
      <c r="P344" s="8"/>
    </row>
    <row r="345" customFormat="false" ht="15.75" hidden="false" customHeight="true" outlineLevel="0" collapsed="false">
      <c r="A345" s="7" t="s">
        <v>738</v>
      </c>
      <c r="B345" s="8" t="s">
        <v>739</v>
      </c>
      <c r="C345" s="8" t="n">
        <v>1989</v>
      </c>
      <c r="D345" s="9" t="s">
        <v>738</v>
      </c>
      <c r="E345" s="7" t="s">
        <v>406</v>
      </c>
      <c r="F345" s="10" t="n">
        <f aca="false">IF(ISBLANK($G345),,VLOOKUP($G345, Rarities!$A$1:$B869, 2, FALSE()))</f>
        <v>3</v>
      </c>
      <c r="G345" s="8" t="s">
        <v>53</v>
      </c>
      <c r="H345" s="8" t="str">
        <f aca="false">VLOOKUP(B345,Manufacturers!A$1:B869,2)</f>
        <v>US</v>
      </c>
      <c r="I345" s="11" t="n">
        <v>300000</v>
      </c>
      <c r="J345" s="8"/>
      <c r="K345" s="8" t="n">
        <v>1</v>
      </c>
      <c r="L345" s="12" t="n">
        <v>9</v>
      </c>
      <c r="M345" s="11" t="e">
        <f aca="false">IF(AND(ISNUMBER(L345),L345&gt;0),(3*J345+K345)*#REF!/L345,"-")</f>
        <v>#REF!</v>
      </c>
      <c r="N345" s="11" t="e">
        <f aca="false">IF(AND(#REF!,ISNUMBER(L345),L345&gt;0),((3*J345+K345)*#REF!-I345)/L345,"-")</f>
        <v>#REF!</v>
      </c>
      <c r="O345" s="8"/>
      <c r="P345" s="8"/>
    </row>
    <row r="346" customFormat="false" ht="15.75" hidden="false" customHeight="true" outlineLevel="0" collapsed="false">
      <c r="A346" s="7" t="s">
        <v>740</v>
      </c>
      <c r="B346" s="8" t="s">
        <v>739</v>
      </c>
      <c r="C346" s="8" t="n">
        <v>1995</v>
      </c>
      <c r="D346" s="9" t="s">
        <v>741</v>
      </c>
      <c r="E346" s="7" t="s">
        <v>406</v>
      </c>
      <c r="F346" s="10" t="n">
        <f aca="false">IF(ISBLANK($G346),,VLOOKUP($G346, Rarities!$A$1:$B869, 2, FALSE()))</f>
        <v>3</v>
      </c>
      <c r="G346" s="8" t="s">
        <v>53</v>
      </c>
      <c r="H346" s="8" t="str">
        <f aca="false">VLOOKUP(B346,Manufacturers!A$1:B869,2)</f>
        <v>US</v>
      </c>
      <c r="I346" s="11" t="n">
        <v>300000</v>
      </c>
      <c r="J346" s="8"/>
      <c r="K346" s="8" t="n">
        <v>1</v>
      </c>
      <c r="L346" s="12" t="n">
        <v>9</v>
      </c>
      <c r="M346" s="11" t="e">
        <f aca="false">IF(AND(ISNUMBER(L346),L346&gt;0),(3*J346+K346)*#REF!/L346,"-")</f>
        <v>#REF!</v>
      </c>
      <c r="N346" s="11" t="e">
        <f aca="false">IF(AND(#REF!,ISNUMBER(L346),L346&gt;0),((3*J346+K346)*#REF!-I346)/L346,"-")</f>
        <v>#REF!</v>
      </c>
      <c r="O346" s="8"/>
      <c r="P346" s="8"/>
    </row>
    <row r="347" customFormat="false" ht="15.75" hidden="false" customHeight="true" outlineLevel="0" collapsed="false">
      <c r="A347" s="7" t="s">
        <v>742</v>
      </c>
      <c r="B347" s="8" t="s">
        <v>739</v>
      </c>
      <c r="C347" s="8" t="n">
        <v>1996</v>
      </c>
      <c r="D347" s="9" t="s">
        <v>743</v>
      </c>
      <c r="E347" s="7" t="s">
        <v>406</v>
      </c>
      <c r="F347" s="10" t="n">
        <f aca="false">IF(ISBLANK($G347),,VLOOKUP($G347, Rarities!$A$1:$B869, 2, FALSE()))</f>
        <v>3</v>
      </c>
      <c r="G347" s="8" t="s">
        <v>53</v>
      </c>
      <c r="H347" s="8" t="str">
        <f aca="false">VLOOKUP(B347,Manufacturers!A$1:B869,2)</f>
        <v>US</v>
      </c>
      <c r="I347" s="11" t="n">
        <v>250000</v>
      </c>
      <c r="J347" s="8"/>
      <c r="K347" s="8"/>
      <c r="L347" s="12"/>
      <c r="M347" s="11"/>
      <c r="N347" s="11"/>
      <c r="O347" s="8"/>
      <c r="P347" s="8"/>
    </row>
    <row r="348" customFormat="false" ht="15.75" hidden="false" customHeight="true" outlineLevel="0" collapsed="false">
      <c r="A348" s="7" t="s">
        <v>744</v>
      </c>
      <c r="B348" s="8" t="s">
        <v>739</v>
      </c>
      <c r="C348" s="8" t="n">
        <v>1997</v>
      </c>
      <c r="D348" s="9" t="s">
        <v>745</v>
      </c>
      <c r="E348" s="7" t="s">
        <v>406</v>
      </c>
      <c r="F348" s="10" t="n">
        <f aca="false">IF(ISBLANK($G348),,VLOOKUP($G348, Rarities!$A$1:$B869, 2, FALSE()))</f>
        <v>3</v>
      </c>
      <c r="G348" s="8" t="s">
        <v>53</v>
      </c>
      <c r="H348" s="8" t="str">
        <f aca="false">VLOOKUP(B348,Manufacturers!A$1:B869,2)</f>
        <v>US</v>
      </c>
      <c r="I348" s="11" t="n">
        <v>300000</v>
      </c>
      <c r="J348" s="8"/>
      <c r="K348" s="8" t="n">
        <v>1</v>
      </c>
      <c r="L348" s="12" t="n">
        <v>9</v>
      </c>
      <c r="M348" s="11" t="e">
        <f aca="false">IF(AND(ISNUMBER(L348),L348&gt;0),(3*J348+K348)*#REF!/L348,"-")</f>
        <v>#REF!</v>
      </c>
      <c r="N348" s="11" t="e">
        <f aca="false">IF(AND(#REF!,ISNUMBER(L348),L348&gt;0),((3*J348+K348)*#REF!-I348)/L348,"-")</f>
        <v>#REF!</v>
      </c>
      <c r="O348" s="8"/>
      <c r="P348" s="8"/>
    </row>
    <row r="349" customFormat="false" ht="15.75" hidden="false" customHeight="true" outlineLevel="0" collapsed="false">
      <c r="A349" s="7" t="s">
        <v>746</v>
      </c>
      <c r="B349" s="8" t="s">
        <v>739</v>
      </c>
      <c r="C349" s="8" t="n">
        <v>2006</v>
      </c>
      <c r="D349" s="9" t="s">
        <v>747</v>
      </c>
      <c r="E349" s="7" t="s">
        <v>406</v>
      </c>
      <c r="F349" s="10" t="n">
        <f aca="false">IF(ISBLANK($G349),,VLOOKUP($G349, Rarities!$A$1:$B869, 2, FALSE()))</f>
        <v>3</v>
      </c>
      <c r="G349" s="8" t="s">
        <v>53</v>
      </c>
      <c r="H349" s="8" t="str">
        <f aca="false">VLOOKUP(B349,Manufacturers!A$1:B869,2)</f>
        <v>US</v>
      </c>
      <c r="I349" s="11" t="n">
        <v>300000</v>
      </c>
      <c r="J349" s="8"/>
      <c r="K349" s="8" t="n">
        <v>1</v>
      </c>
      <c r="L349" s="12" t="n">
        <v>9</v>
      </c>
      <c r="M349" s="11" t="e">
        <f aca="false">IF(AND(ISNUMBER(L349),L349&gt;0),(3*J349+K349)*#REF!/L349,"-")</f>
        <v>#REF!</v>
      </c>
      <c r="N349" s="11" t="e">
        <f aca="false">IF(AND(#REF!,ISNUMBER(L349),L349&gt;0),((3*J349+K349)*#REF!-I349)/L349,"-")</f>
        <v>#REF!</v>
      </c>
      <c r="O349" s="8"/>
      <c r="P349" s="8"/>
    </row>
    <row r="350" customFormat="false" ht="15.75" hidden="false" customHeight="true" outlineLevel="0" collapsed="false">
      <c r="A350" s="7" t="s">
        <v>748</v>
      </c>
      <c r="B350" s="8" t="s">
        <v>739</v>
      </c>
      <c r="C350" s="8" t="n">
        <v>2007</v>
      </c>
      <c r="D350" s="9" t="s">
        <v>749</v>
      </c>
      <c r="E350" s="7" t="s">
        <v>406</v>
      </c>
      <c r="F350" s="10" t="n">
        <f aca="false">IF(ISBLANK($G350),,VLOOKUP($G350, Rarities!$A$1:$B869, 2, FALSE()))</f>
        <v>3</v>
      </c>
      <c r="G350" s="8" t="s">
        <v>53</v>
      </c>
      <c r="H350" s="8" t="str">
        <f aca="false">VLOOKUP(B350,Manufacturers!A$1:B869,2)</f>
        <v>US</v>
      </c>
      <c r="I350" s="11" t="n">
        <v>500000</v>
      </c>
      <c r="J350" s="8"/>
      <c r="K350" s="8" t="n">
        <v>1</v>
      </c>
      <c r="L350" s="12" t="n">
        <v>9</v>
      </c>
      <c r="M350" s="11" t="e">
        <f aca="false">IF(AND(ISNUMBER(L350),L350&gt;0),(3*J350+K350)*#REF!/L350,"-")</f>
        <v>#REF!</v>
      </c>
      <c r="N350" s="11" t="e">
        <f aca="false">IF(AND(#REF!,ISNUMBER(L350),L350&gt;0),((3*J350+K350)*#REF!-I350)/L350,"-")</f>
        <v>#REF!</v>
      </c>
      <c r="O350" s="8"/>
      <c r="P350" s="8"/>
    </row>
    <row r="351" customFormat="false" ht="15.75" hidden="false" customHeight="true" outlineLevel="0" collapsed="false">
      <c r="A351" s="7" t="s">
        <v>750</v>
      </c>
      <c r="B351" s="8" t="s">
        <v>739</v>
      </c>
      <c r="C351" s="8" t="n">
        <v>2009</v>
      </c>
      <c r="D351" s="9" t="s">
        <v>750</v>
      </c>
      <c r="E351" s="7" t="s">
        <v>406</v>
      </c>
      <c r="F351" s="10" t="n">
        <f aca="false">IF(ISBLANK($G351),,VLOOKUP($G351, Rarities!$A$1:$B869, 2, FALSE()))</f>
        <v>3</v>
      </c>
      <c r="G351" s="8" t="s">
        <v>53</v>
      </c>
      <c r="H351" s="8" t="str">
        <f aca="false">VLOOKUP(B351,Manufacturers!A$1:B869,2)</f>
        <v>US</v>
      </c>
      <c r="I351" s="11" t="n">
        <v>300000</v>
      </c>
      <c r="J351" s="8"/>
      <c r="K351" s="8" t="n">
        <v>1</v>
      </c>
      <c r="L351" s="12" t="n">
        <v>9</v>
      </c>
      <c r="M351" s="11" t="e">
        <f aca="false">IF(AND(ISNUMBER(L351),L351&gt;0),(3*J351+K351)*#REF!/L351,"-")</f>
        <v>#REF!</v>
      </c>
      <c r="N351" s="11" t="e">
        <f aca="false">IF(AND(#REF!,ISNUMBER(L351),L351&gt;0),((3*J351+K351)*#REF!-I351)/L351,"-")</f>
        <v>#REF!</v>
      </c>
      <c r="O351" s="8"/>
      <c r="P351" s="8"/>
    </row>
    <row r="352" customFormat="false" ht="15.75" hidden="false" customHeight="true" outlineLevel="0" collapsed="false">
      <c r="A352" s="7" t="s">
        <v>751</v>
      </c>
      <c r="B352" s="8" t="s">
        <v>739</v>
      </c>
      <c r="C352" s="8" t="n">
        <v>2013</v>
      </c>
      <c r="D352" s="9" t="s">
        <v>752</v>
      </c>
      <c r="E352" s="7" t="s">
        <v>406</v>
      </c>
      <c r="F352" s="10" t="n">
        <f aca="false">IF(ISBLANK($G352),,VLOOKUP($G352, Rarities!$A$1:$B869, 2, FALSE()))</f>
        <v>3</v>
      </c>
      <c r="G352" s="8" t="s">
        <v>53</v>
      </c>
      <c r="H352" s="8" t="str">
        <f aca="false">VLOOKUP(B352,Manufacturers!A$1:B869,2)</f>
        <v>US</v>
      </c>
      <c r="I352" s="11" t="n">
        <v>300000</v>
      </c>
      <c r="J352" s="8"/>
      <c r="K352" s="8" t="n">
        <v>1</v>
      </c>
      <c r="L352" s="12" t="n">
        <v>9</v>
      </c>
      <c r="M352" s="11" t="e">
        <f aca="false">IF(AND(ISNUMBER(L352),L352&gt;0),(3*J352+K352)*#REF!/L352,"-")</f>
        <v>#REF!</v>
      </c>
      <c r="N352" s="11" t="e">
        <f aca="false">IF(AND(#REF!,ISNUMBER(L352),L352&gt;0),((3*J352+K352)*#REF!-I352)/L352,"-")</f>
        <v>#REF!</v>
      </c>
      <c r="O352" s="8"/>
      <c r="P352" s="8"/>
    </row>
    <row r="353" customFormat="false" ht="15.75" hidden="false" customHeight="true" outlineLevel="0" collapsed="false">
      <c r="A353" s="7" t="s">
        <v>753</v>
      </c>
      <c r="B353" s="8" t="s">
        <v>739</v>
      </c>
      <c r="C353" s="8" t="n">
        <v>2015</v>
      </c>
      <c r="D353" s="9" t="s">
        <v>753</v>
      </c>
      <c r="E353" s="7" t="s">
        <v>406</v>
      </c>
      <c r="F353" s="10" t="n">
        <f aca="false">IF(ISBLANK($G353),,VLOOKUP($G353, Rarities!$A$1:$B869, 2, FALSE()))</f>
        <v>3</v>
      </c>
      <c r="G353" s="8" t="s">
        <v>53</v>
      </c>
      <c r="H353" s="8" t="str">
        <f aca="false">VLOOKUP(B353,Manufacturers!A$1:B869,2)</f>
        <v>US</v>
      </c>
      <c r="I353" s="11" t="n">
        <v>300000</v>
      </c>
      <c r="J353" s="8"/>
      <c r="K353" s="8" t="n">
        <v>1</v>
      </c>
      <c r="L353" s="12" t="n">
        <v>9</v>
      </c>
      <c r="M353" s="11" t="e">
        <f aca="false">IF(AND(ISNUMBER(L353),L353&gt;0),(3*J353+K353)*#REF!/L353,"-")</f>
        <v>#REF!</v>
      </c>
      <c r="N353" s="11" t="e">
        <f aca="false">IF(AND(#REF!,ISNUMBER(L353),L353&gt;0),((3*J353+K353)*#REF!-I353)/L353,"-")</f>
        <v>#REF!</v>
      </c>
      <c r="O353" s="8"/>
      <c r="P353" s="8"/>
    </row>
    <row r="354" customFormat="false" ht="15.75" hidden="false" customHeight="true" outlineLevel="0" collapsed="false">
      <c r="A354" s="7" t="s">
        <v>754</v>
      </c>
      <c r="B354" s="8" t="s">
        <v>739</v>
      </c>
      <c r="C354" s="8" t="n">
        <v>2016</v>
      </c>
      <c r="D354" s="9" t="s">
        <v>755</v>
      </c>
      <c r="E354" s="7" t="s">
        <v>406</v>
      </c>
      <c r="F354" s="10" t="n">
        <f aca="false">IF(ISBLANK($G354),,VLOOKUP($G354, Rarities!$A$1:$B869, 2, FALSE()))</f>
        <v>3</v>
      </c>
      <c r="G354" s="8" t="s">
        <v>53</v>
      </c>
      <c r="H354" s="8" t="str">
        <f aca="false">VLOOKUP(B354,Manufacturers!A$1:B869,2)</f>
        <v>US</v>
      </c>
      <c r="I354" s="11" t="n">
        <v>300000</v>
      </c>
      <c r="J354" s="8"/>
      <c r="K354" s="8" t="n">
        <v>1</v>
      </c>
      <c r="L354" s="12" t="n">
        <v>9</v>
      </c>
      <c r="M354" s="11" t="e">
        <f aca="false">IF(AND(ISNUMBER(L354),L354&gt;0),(3*J354+K354)*#REF!/L354,"-")</f>
        <v>#REF!</v>
      </c>
      <c r="N354" s="11" t="e">
        <f aca="false">IF(AND(#REF!,ISNUMBER(L354),L354&gt;0),((3*J354+K354)*#REF!-I354)/L354,"-")</f>
        <v>#REF!</v>
      </c>
      <c r="O354" s="8"/>
      <c r="P354" s="8"/>
    </row>
    <row r="355" customFormat="false" ht="15.75" hidden="false" customHeight="true" outlineLevel="0" collapsed="false">
      <c r="A355" s="7" t="s">
        <v>756</v>
      </c>
      <c r="B355" s="8" t="s">
        <v>739</v>
      </c>
      <c r="C355" s="8" t="n">
        <v>2017</v>
      </c>
      <c r="D355" s="9" t="s">
        <v>757</v>
      </c>
      <c r="E355" s="7" t="s">
        <v>406</v>
      </c>
      <c r="F355" s="10" t="n">
        <f aca="false">IF(ISBLANK($G355),,VLOOKUP($G355, Rarities!$A$1:$B869, 2, FALSE()))</f>
        <v>3</v>
      </c>
      <c r="G355" s="8" t="s">
        <v>53</v>
      </c>
      <c r="H355" s="8" t="str">
        <f aca="false">VLOOKUP(B355,Manufacturers!A$1:B869,2)</f>
        <v>US</v>
      </c>
      <c r="I355" s="11" t="n">
        <v>150000</v>
      </c>
      <c r="J355" s="8"/>
      <c r="K355" s="8" t="n">
        <v>1</v>
      </c>
      <c r="L355" s="12" t="n">
        <v>9</v>
      </c>
      <c r="M355" s="11" t="e">
        <f aca="false">IF(AND(ISNUMBER(L355),L355&gt;0),(3*J355+K355)*#REF!/L355,"-")</f>
        <v>#REF!</v>
      </c>
      <c r="N355" s="11" t="e">
        <f aca="false">IF(AND(#REF!,ISNUMBER(L355),L355&gt;0),((3*J355+K355)*#REF!-I355)/L355,"-")</f>
        <v>#REF!</v>
      </c>
      <c r="O355" s="8"/>
      <c r="P355" s="8"/>
    </row>
    <row r="356" customFormat="false" ht="15.75" hidden="false" customHeight="true" outlineLevel="0" collapsed="false">
      <c r="A356" s="7" t="s">
        <v>758</v>
      </c>
      <c r="B356" s="8" t="s">
        <v>739</v>
      </c>
      <c r="C356" s="8" t="n">
        <v>2018</v>
      </c>
      <c r="D356" s="9" t="s">
        <v>758</v>
      </c>
      <c r="E356" s="7" t="s">
        <v>406</v>
      </c>
      <c r="F356" s="10" t="n">
        <f aca="false">IF(ISBLANK($G356),,VLOOKUP($G356, Rarities!$A$1:$B869, 2, FALSE()))</f>
        <v>3</v>
      </c>
      <c r="G356" s="8" t="s">
        <v>53</v>
      </c>
      <c r="H356" s="8" t="str">
        <f aca="false">VLOOKUP(B356,Manufacturers!A$1:B869,2)</f>
        <v>US</v>
      </c>
      <c r="I356" s="11" t="n">
        <v>300000</v>
      </c>
      <c r="J356" s="8"/>
      <c r="K356" s="8" t="n">
        <v>1</v>
      </c>
      <c r="L356" s="12" t="n">
        <v>9</v>
      </c>
      <c r="M356" s="11" t="e">
        <f aca="false">IF(AND(ISNUMBER(L356),L356&gt;0),(3*J356+K356)*#REF!/L356,"-")</f>
        <v>#REF!</v>
      </c>
      <c r="N356" s="11" t="e">
        <f aca="false">IF(AND(#REF!,ISNUMBER(L356),L356&gt;0),((3*J356+K356)*#REF!-I356)/L356,"-")</f>
        <v>#REF!</v>
      </c>
      <c r="O356" s="8"/>
      <c r="P356" s="8"/>
    </row>
    <row r="357" customFormat="false" ht="15.75" hidden="false" customHeight="true" outlineLevel="0" collapsed="false">
      <c r="A357" s="7" t="s">
        <v>759</v>
      </c>
      <c r="B357" s="8" t="s">
        <v>739</v>
      </c>
      <c r="C357" s="8" t="n">
        <v>2019</v>
      </c>
      <c r="D357" s="9" t="s">
        <v>760</v>
      </c>
      <c r="E357" s="7" t="s">
        <v>406</v>
      </c>
      <c r="F357" s="10" t="n">
        <f aca="false">IF(ISBLANK($G357),,VLOOKUP($G357, Rarities!$A$1:$B869, 2, FALSE()))</f>
        <v>3</v>
      </c>
      <c r="G357" s="8" t="s">
        <v>53</v>
      </c>
      <c r="H357" s="8" t="str">
        <f aca="false">VLOOKUP(B357,Manufacturers!A$1:B869,2)</f>
        <v>US</v>
      </c>
      <c r="I357" s="11" t="n">
        <v>300000</v>
      </c>
      <c r="J357" s="8"/>
      <c r="K357" s="8" t="n">
        <v>1</v>
      </c>
      <c r="L357" s="12" t="n">
        <v>9</v>
      </c>
      <c r="M357" s="11" t="e">
        <f aca="false">IF(AND(ISNUMBER(L357),L357&gt;0),(3*J357+K357)*#REF!/L357,"-")</f>
        <v>#REF!</v>
      </c>
      <c r="N357" s="11" t="e">
        <f aca="false">IF(AND(#REF!,ISNUMBER(L357),L357&gt;0),((3*J357+K357)*#REF!-I357)/L357,"-")</f>
        <v>#REF!</v>
      </c>
      <c r="O357" s="8"/>
      <c r="P357" s="8"/>
    </row>
    <row r="358" customFormat="false" ht="15.75" hidden="false" customHeight="true" outlineLevel="0" collapsed="false">
      <c r="A358" s="7" t="s">
        <v>761</v>
      </c>
      <c r="B358" s="8" t="s">
        <v>739</v>
      </c>
      <c r="C358" s="8" t="n">
        <v>2020</v>
      </c>
      <c r="D358" s="9" t="s">
        <v>762</v>
      </c>
      <c r="E358" s="7" t="s">
        <v>406</v>
      </c>
      <c r="F358" s="10" t="n">
        <f aca="false">IF(ISBLANK($G358),,VLOOKUP($G358, Rarities!$A$1:$B869, 2, FALSE()))</f>
        <v>3</v>
      </c>
      <c r="G358" s="8" t="s">
        <v>53</v>
      </c>
      <c r="H358" s="8" t="str">
        <f aca="false">VLOOKUP(B358,Manufacturers!A$1:B869,2)</f>
        <v>US</v>
      </c>
      <c r="I358" s="11" t="n">
        <v>300000</v>
      </c>
      <c r="J358" s="8"/>
      <c r="K358" s="8" t="n">
        <v>1</v>
      </c>
      <c r="L358" s="12" t="n">
        <v>9</v>
      </c>
      <c r="M358" s="11" t="e">
        <f aca="false">IF(AND(ISNUMBER(L358),L358&gt;0),(3*J358+K358)*#REF!/L358,"-")</f>
        <v>#REF!</v>
      </c>
      <c r="N358" s="11" t="e">
        <f aca="false">IF(AND(#REF!,ISNUMBER(L358),L358&gt;0),((3*J358+K358)*#REF!-I358)/L358,"-")</f>
        <v>#REF!</v>
      </c>
      <c r="O358" s="8"/>
      <c r="P358" s="8"/>
    </row>
    <row r="359" customFormat="false" ht="15.75" hidden="false" customHeight="true" outlineLevel="0" collapsed="false">
      <c r="A359" s="7" t="s">
        <v>763</v>
      </c>
      <c r="B359" s="8" t="s">
        <v>739</v>
      </c>
      <c r="C359" s="8" t="n">
        <v>2020</v>
      </c>
      <c r="D359" s="9" t="s">
        <v>763</v>
      </c>
      <c r="E359" s="7" t="s">
        <v>406</v>
      </c>
      <c r="F359" s="10" t="n">
        <f aca="false">IF(ISBLANK($G359),,VLOOKUP($G359, Rarities!$A$1:$B869, 2, FALSE()))</f>
        <v>3</v>
      </c>
      <c r="G359" s="8" t="s">
        <v>53</v>
      </c>
      <c r="H359" s="8" t="str">
        <f aca="false">VLOOKUP(B359,Manufacturers!A$1:B869,2)</f>
        <v>US</v>
      </c>
      <c r="I359" s="11" t="n">
        <v>300000</v>
      </c>
      <c r="J359" s="8"/>
      <c r="K359" s="8" t="n">
        <v>1</v>
      </c>
      <c r="L359" s="12" t="n">
        <v>9</v>
      </c>
      <c r="M359" s="11" t="e">
        <f aca="false">IF(AND(ISNUMBER(L359),L359&gt;0),(3*J359+K359)*#REF!/L359,"-")</f>
        <v>#REF!</v>
      </c>
      <c r="N359" s="11" t="e">
        <f aca="false">IF(AND(#REF!,ISNUMBER(L359),L359&gt;0),((3*J359+K359)*#REF!-I359)/L359,"-")</f>
        <v>#REF!</v>
      </c>
      <c r="O359" s="8"/>
      <c r="P359" s="8"/>
    </row>
    <row r="360" customFormat="false" ht="15.75" hidden="false" customHeight="true" outlineLevel="0" collapsed="false">
      <c r="A360" s="7" t="s">
        <v>764</v>
      </c>
      <c r="B360" s="8" t="s">
        <v>739</v>
      </c>
      <c r="C360" s="8" t="n">
        <v>2023</v>
      </c>
      <c r="D360" s="9" t="s">
        <v>765</v>
      </c>
      <c r="E360" s="7" t="s">
        <v>406</v>
      </c>
      <c r="F360" s="10" t="n">
        <f aca="false">IF(ISBLANK($G360),,VLOOKUP($G360, Rarities!$A$1:$B869, 2, FALSE()))</f>
        <v>3</v>
      </c>
      <c r="G360" s="8" t="s">
        <v>53</v>
      </c>
      <c r="H360" s="8" t="str">
        <f aca="false">VLOOKUP(B360,Manufacturers!A$1:B869,2)</f>
        <v>US</v>
      </c>
      <c r="I360" s="11" t="n">
        <v>300000</v>
      </c>
      <c r="J360" s="8"/>
      <c r="K360" s="8"/>
      <c r="L360" s="12"/>
      <c r="M360" s="11"/>
      <c r="N360" s="11"/>
      <c r="O360" s="8"/>
      <c r="P360" s="8"/>
    </row>
    <row r="361" customFormat="false" ht="15.75" hidden="false" customHeight="true" outlineLevel="0" collapsed="false">
      <c r="A361" s="7" t="s">
        <v>766</v>
      </c>
      <c r="B361" s="8" t="s">
        <v>767</v>
      </c>
      <c r="C361" s="8" t="n">
        <v>1975</v>
      </c>
      <c r="D361" s="9" t="s">
        <v>768</v>
      </c>
      <c r="E361" s="7" t="s">
        <v>222</v>
      </c>
      <c r="F361" s="10" t="n">
        <f aca="false">IF(ISBLANK($G361),,VLOOKUP($G361, Rarities!$A$1:$B869, 2, FALSE()))</f>
        <v>2</v>
      </c>
      <c r="G361" s="8" t="s">
        <v>36</v>
      </c>
      <c r="H361" s="8" t="str">
        <f aca="false">VLOOKUP(B361,Manufacturers!A$1:B869,2)</f>
        <v>US</v>
      </c>
      <c r="I361" s="11" t="n">
        <v>100000</v>
      </c>
      <c r="J361" s="8"/>
      <c r="K361" s="8" t="n">
        <v>1</v>
      </c>
      <c r="L361" s="12" t="n">
        <v>9</v>
      </c>
      <c r="M361" s="11" t="e">
        <f aca="false">IF(AND(ISNUMBER(L361),L361&gt;0),(3*J361+K361)*#REF!/L361,"-")</f>
        <v>#REF!</v>
      </c>
      <c r="N361" s="11" t="e">
        <f aca="false">IF(AND(#REF!,ISNUMBER(L361),L361&gt;0),((3*J361+K361)*#REF!-I361)/L361,"-")</f>
        <v>#REF!</v>
      </c>
      <c r="O361" s="8"/>
      <c r="P361" s="8"/>
    </row>
    <row r="362" customFormat="false" ht="15.75" hidden="false" customHeight="true" outlineLevel="0" collapsed="false">
      <c r="A362" s="7" t="s">
        <v>769</v>
      </c>
      <c r="B362" s="8" t="s">
        <v>767</v>
      </c>
      <c r="C362" s="8" t="n">
        <v>2010</v>
      </c>
      <c r="D362" s="9" t="s">
        <v>770</v>
      </c>
      <c r="E362" s="7" t="s">
        <v>111</v>
      </c>
      <c r="F362" s="10" t="n">
        <f aca="false">IF(ISBLANK($G362),,VLOOKUP($G362, Rarities!$A$1:$B869, 2, FALSE()))</f>
        <v>2</v>
      </c>
      <c r="G362" s="8" t="s">
        <v>36</v>
      </c>
      <c r="H362" s="8" t="str">
        <f aca="false">VLOOKUP(B362,Manufacturers!A$1:B869,2)</f>
        <v>US</v>
      </c>
      <c r="I362" s="11" t="n">
        <v>400000</v>
      </c>
      <c r="J362" s="8" t="n">
        <v>1</v>
      </c>
      <c r="K362" s="8"/>
      <c r="L362" s="12" t="n">
        <v>10</v>
      </c>
      <c r="M362" s="11" t="e">
        <f aca="false">IF(AND(ISNUMBER(L362),L362&gt;0),(3*J362+K362)*#REF!/L362,"-")</f>
        <v>#REF!</v>
      </c>
      <c r="N362" s="11" t="e">
        <f aca="false">IF(AND(#REF!,ISNUMBER(L362),L362&gt;0),((3*J362+K362)*#REF!-I362)/L362,"-")</f>
        <v>#REF!</v>
      </c>
      <c r="O362" s="8"/>
      <c r="P362" s="8"/>
    </row>
    <row r="363" customFormat="false" ht="15.75" hidden="false" customHeight="true" outlineLevel="0" collapsed="false">
      <c r="A363" s="8" t="s">
        <v>771</v>
      </c>
      <c r="B363" s="8" t="s">
        <v>767</v>
      </c>
      <c r="C363" s="8" t="n">
        <v>2014</v>
      </c>
      <c r="D363" s="9" t="s">
        <v>772</v>
      </c>
      <c r="E363" s="7" t="s">
        <v>139</v>
      </c>
      <c r="F363" s="10" t="n">
        <f aca="false">IF(ISBLANK($G363),,VLOOKUP($G363, Rarities!$A$1:$B869, 2, FALSE()))</f>
        <v>3</v>
      </c>
      <c r="G363" s="8" t="s">
        <v>53</v>
      </c>
      <c r="H363" s="8" t="str">
        <f aca="false">VLOOKUP(B363,Manufacturers!A$1:B869,2)</f>
        <v>US</v>
      </c>
      <c r="I363" s="11" t="n">
        <v>40000</v>
      </c>
      <c r="J363" s="8"/>
      <c r="K363" s="8"/>
      <c r="L363" s="12"/>
      <c r="M363" s="11"/>
      <c r="N363" s="11"/>
      <c r="O363" s="8"/>
      <c r="P363" s="8"/>
    </row>
    <row r="364" customFormat="false" ht="15.75" hidden="false" customHeight="true" outlineLevel="0" collapsed="false">
      <c r="A364" s="7" t="s">
        <v>773</v>
      </c>
      <c r="B364" s="8" t="s">
        <v>767</v>
      </c>
      <c r="C364" s="8" t="n">
        <v>2021</v>
      </c>
      <c r="D364" s="9" t="s">
        <v>774</v>
      </c>
      <c r="E364" s="7" t="s">
        <v>406</v>
      </c>
      <c r="F364" s="10" t="n">
        <f aca="false">IF(ISBLANK($G364),,VLOOKUP($G364, Rarities!$A$1:$B869, 2, FALSE()))</f>
        <v>3</v>
      </c>
      <c r="G364" s="8" t="s">
        <v>53</v>
      </c>
      <c r="H364" s="8" t="str">
        <f aca="false">VLOOKUP(B364,Manufacturers!A$1:B869,2)</f>
        <v>US</v>
      </c>
      <c r="I364" s="11" t="n">
        <v>300000</v>
      </c>
      <c r="J364" s="8"/>
      <c r="K364" s="8"/>
      <c r="L364" s="12"/>
      <c r="M364" s="11"/>
      <c r="N364" s="11"/>
      <c r="O364" s="8"/>
      <c r="P364" s="8"/>
    </row>
    <row r="365" customFormat="false" ht="15.75" hidden="false" customHeight="true" outlineLevel="0" collapsed="false">
      <c r="A365" s="7" t="s">
        <v>775</v>
      </c>
      <c r="B365" s="8" t="s">
        <v>776</v>
      </c>
      <c r="C365" s="8" t="n">
        <v>2018</v>
      </c>
      <c r="D365" s="9" t="s">
        <v>777</v>
      </c>
      <c r="E365" s="7" t="s">
        <v>67</v>
      </c>
      <c r="F365" s="10" t="n">
        <f aca="false">IF(ISBLANK($G365),,VLOOKUP($G365, Rarities!$A$1:$B869, 2, FALSE()))</f>
        <v>3</v>
      </c>
      <c r="G365" s="8" t="s">
        <v>53</v>
      </c>
      <c r="H365" s="8" t="str">
        <f aca="false">VLOOKUP(B365,Manufacturers!A$1:B869,2)</f>
        <v>US</v>
      </c>
      <c r="I365" s="11" t="n">
        <v>500000</v>
      </c>
      <c r="J365" s="8"/>
      <c r="K365" s="8" t="n">
        <v>2</v>
      </c>
      <c r="L365" s="12" t="n">
        <v>16</v>
      </c>
      <c r="M365" s="11" t="e">
        <f aca="false">IF(AND(ISNUMBER(L365),L365&gt;0),(3*J365+K365)*#REF!/L365,"-")</f>
        <v>#REF!</v>
      </c>
      <c r="N365" s="11" t="e">
        <f aca="false">IF(AND(#REF!,ISNUMBER(L365),L365&gt;0),((3*J365+K365)*#REF!-I365)/L365,"-")</f>
        <v>#REF!</v>
      </c>
      <c r="O365" s="8"/>
      <c r="P365" s="8"/>
    </row>
    <row r="366" customFormat="false" ht="15.75" hidden="false" customHeight="true" outlineLevel="0" collapsed="false">
      <c r="A366" s="7" t="s">
        <v>778</v>
      </c>
      <c r="B366" s="8" t="s">
        <v>779</v>
      </c>
      <c r="C366" s="8" t="n">
        <v>2019</v>
      </c>
      <c r="D366" s="9" t="s">
        <v>780</v>
      </c>
      <c r="E366" s="7" t="s">
        <v>111</v>
      </c>
      <c r="F366" s="10" t="n">
        <f aca="false">IF(ISBLANK($G366),,VLOOKUP($G366, Rarities!$A$1:$B869, 2, FALSE()))</f>
        <v>3</v>
      </c>
      <c r="G366" s="8" t="s">
        <v>53</v>
      </c>
      <c r="H366" s="8" t="str">
        <f aca="false">VLOOKUP(B366,Manufacturers!A$1:B869,2)</f>
        <v>GB</v>
      </c>
      <c r="I366" s="11" t="n">
        <v>500000</v>
      </c>
      <c r="J366" s="8"/>
      <c r="K366" s="8"/>
      <c r="L366" s="12"/>
      <c r="M366" s="11"/>
      <c r="N366" s="11"/>
      <c r="O366" s="8"/>
      <c r="P366" s="8"/>
    </row>
    <row r="367" customFormat="false" ht="15.75" hidden="false" customHeight="true" outlineLevel="0" collapsed="false">
      <c r="A367" s="7" t="s">
        <v>781</v>
      </c>
      <c r="B367" s="8" t="s">
        <v>782</v>
      </c>
      <c r="C367" s="8" t="n">
        <v>1970</v>
      </c>
      <c r="D367" s="9" t="s">
        <v>783</v>
      </c>
      <c r="E367" s="7" t="s">
        <v>353</v>
      </c>
      <c r="F367" s="10" t="n">
        <f aca="false">IF(ISBLANK($G367),,VLOOKUP($G367, Rarities!$A$1:$B869, 2, FALSE()))</f>
        <v>4</v>
      </c>
      <c r="G367" s="8" t="s">
        <v>41</v>
      </c>
      <c r="H367" s="8" t="str">
        <f aca="false">VLOOKUP(B367,Manufacturers!A$1:B869,2)</f>
        <v>US</v>
      </c>
      <c r="I367" s="11" t="n">
        <v>75000</v>
      </c>
      <c r="J367" s="8"/>
      <c r="K367" s="8" t="n">
        <v>1</v>
      </c>
      <c r="L367" s="12" t="n">
        <v>9</v>
      </c>
      <c r="M367" s="11" t="e">
        <f aca="false">IF(AND(ISNUMBER(L367),L367&gt;0),(3*J367+K367)*#REF!/L367,"-")</f>
        <v>#REF!</v>
      </c>
      <c r="N367" s="11" t="e">
        <f aca="false">IF(AND(#REF!,ISNUMBER(L367),L367&gt;0),((3*J367+K367)*#REF!-I367)/L367,"-")</f>
        <v>#REF!</v>
      </c>
      <c r="O367" s="8"/>
      <c r="P367" s="8"/>
    </row>
    <row r="368" customFormat="false" ht="15.75" hidden="false" customHeight="true" outlineLevel="0" collapsed="false">
      <c r="A368" s="7" t="s">
        <v>784</v>
      </c>
      <c r="B368" s="8" t="s">
        <v>782</v>
      </c>
      <c r="C368" s="8" t="n">
        <v>1983</v>
      </c>
      <c r="D368" s="9" t="s">
        <v>785</v>
      </c>
      <c r="E368" s="7" t="s">
        <v>350</v>
      </c>
      <c r="F368" s="10" t="n">
        <f aca="false">IF(ISBLANK($G368),,VLOOKUP($G368, Rarities!$A$1:$B869, 2, FALSE()))</f>
        <v>1</v>
      </c>
      <c r="G368" s="8" t="s">
        <v>17</v>
      </c>
      <c r="H368" s="8" t="str">
        <f aca="false">VLOOKUP(B368,Manufacturers!A$1:B869,2)</f>
        <v>US</v>
      </c>
      <c r="I368" s="11" t="n">
        <v>25000</v>
      </c>
      <c r="J368" s="8"/>
      <c r="K368" s="8" t="n">
        <v>1</v>
      </c>
      <c r="L368" s="12" t="n">
        <v>9</v>
      </c>
      <c r="M368" s="11" t="e">
        <f aca="false">IF(AND(ISNUMBER(L368),L368&gt;0),(3*J368+K368)*#REF!/L368,"-")</f>
        <v>#REF!</v>
      </c>
      <c r="N368" s="11" t="e">
        <f aca="false">IF(AND(#REF!,ISNUMBER(L368),L368&gt;0),((3*J368+K368)*#REF!-I368)/L368,"-")</f>
        <v>#REF!</v>
      </c>
      <c r="O368" s="8"/>
      <c r="P368" s="8"/>
    </row>
    <row r="369" customFormat="false" ht="15.75" hidden="false" customHeight="true" outlineLevel="0" collapsed="false">
      <c r="A369" s="7" t="s">
        <v>786</v>
      </c>
      <c r="B369" s="8" t="s">
        <v>782</v>
      </c>
      <c r="C369" s="8" t="n">
        <v>1991</v>
      </c>
      <c r="D369" s="9" t="s">
        <v>787</v>
      </c>
      <c r="E369" s="7" t="s">
        <v>350</v>
      </c>
      <c r="F369" s="10" t="n">
        <f aca="false">IF(ISBLANK($G369),,VLOOKUP($G369, Rarities!$A$1:$B869, 2, FALSE()))</f>
        <v>3</v>
      </c>
      <c r="G369" s="8" t="s">
        <v>53</v>
      </c>
      <c r="H369" s="8" t="str">
        <f aca="false">VLOOKUP(B369,Manufacturers!A$1:B869,2)</f>
        <v>US</v>
      </c>
      <c r="I369" s="11" t="n">
        <v>250000</v>
      </c>
      <c r="J369" s="8"/>
      <c r="K369" s="8"/>
      <c r="L369" s="12"/>
      <c r="M369" s="11"/>
      <c r="N369" s="11"/>
      <c r="O369" s="8"/>
      <c r="P369" s="8"/>
    </row>
    <row r="370" customFormat="false" ht="15.75" hidden="false" customHeight="true" outlineLevel="0" collapsed="false">
      <c r="A370" s="7" t="s">
        <v>788</v>
      </c>
      <c r="B370" s="8" t="s">
        <v>782</v>
      </c>
      <c r="C370" s="8" t="n">
        <v>1992</v>
      </c>
      <c r="D370" s="9" t="s">
        <v>789</v>
      </c>
      <c r="E370" s="7" t="s">
        <v>350</v>
      </c>
      <c r="F370" s="10" t="n">
        <f aca="false">IF(ISBLANK($G370),,VLOOKUP($G370, Rarities!$A$1:$B869, 2, FALSE()))</f>
        <v>3</v>
      </c>
      <c r="G370" s="8" t="s">
        <v>53</v>
      </c>
      <c r="H370" s="8" t="str">
        <f aca="false">VLOOKUP(B370,Manufacturers!A$1:B869,2)</f>
        <v>US</v>
      </c>
      <c r="I370" s="11" t="n">
        <v>250000</v>
      </c>
      <c r="J370" s="8"/>
      <c r="K370" s="8"/>
      <c r="L370" s="12"/>
      <c r="M370" s="11"/>
      <c r="N370" s="11"/>
      <c r="O370" s="8"/>
      <c r="P370" s="8"/>
    </row>
    <row r="371" customFormat="false" ht="15.75" hidden="false" customHeight="true" outlineLevel="0" collapsed="false">
      <c r="A371" s="7" t="s">
        <v>790</v>
      </c>
      <c r="B371" s="8" t="s">
        <v>782</v>
      </c>
      <c r="C371" s="8" t="n">
        <v>2022</v>
      </c>
      <c r="D371" s="9" t="str">
        <f aca="false">"'Barbie Movie' HUMMER EV Pickup"</f>
        <v>'Barbie Movie' HUMMER EV Pickup</v>
      </c>
      <c r="E371" s="7" t="s">
        <v>353</v>
      </c>
      <c r="F371" s="10" t="n">
        <f aca="false">IF(ISBLANK($G371),,VLOOKUP($G371, Rarities!$A$1:$B869, 2, FALSE()))</f>
        <v>3</v>
      </c>
      <c r="G371" s="8" t="s">
        <v>53</v>
      </c>
      <c r="H371" s="8" t="str">
        <f aca="false">VLOOKUP(B371,Manufacturers!A$1:B869,2)</f>
        <v>US</v>
      </c>
      <c r="I371" s="11" t="n">
        <v>250000</v>
      </c>
      <c r="J371" s="8"/>
      <c r="K371" s="8"/>
      <c r="L371" s="12"/>
      <c r="M371" s="11"/>
      <c r="N371" s="11"/>
      <c r="O371" s="8"/>
      <c r="P371" s="8"/>
    </row>
    <row r="372" customFormat="false" ht="15.75" hidden="false" customHeight="true" outlineLevel="0" collapsed="false">
      <c r="A372" s="7" t="s">
        <v>791</v>
      </c>
      <c r="B372" s="8" t="s">
        <v>782</v>
      </c>
      <c r="C372" s="8" t="n">
        <v>2022</v>
      </c>
      <c r="D372" s="9" t="s">
        <v>792</v>
      </c>
      <c r="E372" s="7" t="s">
        <v>353</v>
      </c>
      <c r="F372" s="10" t="n">
        <f aca="false">IF(ISBLANK($G372),,VLOOKUP($G372, Rarities!$A$1:$B869, 2, FALSE()))</f>
        <v>3</v>
      </c>
      <c r="G372" s="8" t="s">
        <v>53</v>
      </c>
      <c r="H372" s="8" t="str">
        <f aca="false">VLOOKUP(B372,Manufacturers!A$1:B869,2)</f>
        <v>US</v>
      </c>
      <c r="I372" s="11" t="n">
        <v>250000</v>
      </c>
      <c r="J372" s="8"/>
      <c r="K372" s="8"/>
      <c r="L372" s="12"/>
      <c r="M372" s="11"/>
      <c r="N372" s="11"/>
      <c r="O372" s="8"/>
      <c r="P372" s="8"/>
    </row>
    <row r="373" customFormat="false" ht="15.75" hidden="false" customHeight="true" outlineLevel="0" collapsed="false">
      <c r="A373" s="7" t="s">
        <v>793</v>
      </c>
      <c r="B373" s="8" t="s">
        <v>794</v>
      </c>
      <c r="C373" s="8" t="n">
        <v>2022</v>
      </c>
      <c r="D373" s="9" t="s">
        <v>795</v>
      </c>
      <c r="E373" s="7" t="s">
        <v>118</v>
      </c>
      <c r="F373" s="10" t="n">
        <f aca="false">IF(ISBLANK($G373),,VLOOKUP($G373, Rarities!$A$1:$B869, 2, FALSE()))</f>
        <v>4</v>
      </c>
      <c r="G373" s="8" t="s">
        <v>41</v>
      </c>
      <c r="H373" s="8" t="str">
        <f aca="false">VLOOKUP(B373,Manufacturers!A$1:B869,2)</f>
        <v>GB</v>
      </c>
      <c r="I373" s="11" t="n">
        <v>2840000</v>
      </c>
      <c r="J373" s="8"/>
      <c r="K373" s="8"/>
      <c r="L373" s="12"/>
      <c r="M373" s="11"/>
      <c r="N373" s="11"/>
      <c r="O373" s="8"/>
      <c r="P373" s="8"/>
    </row>
    <row r="374" customFormat="false" ht="15.75" hidden="false" customHeight="true" outlineLevel="0" collapsed="false">
      <c r="A374" s="7" t="s">
        <v>796</v>
      </c>
      <c r="B374" s="8" t="s">
        <v>797</v>
      </c>
      <c r="C374" s="8" t="n">
        <v>1985</v>
      </c>
      <c r="D374" s="9" t="s">
        <v>798</v>
      </c>
      <c r="E374" s="7" t="s">
        <v>295</v>
      </c>
      <c r="F374" s="10" t="n">
        <f aca="false">IF(ISBLANK($G374),,VLOOKUP($G374, Rarities!$A$1:$B869, 2, FALSE()))</f>
        <v>2</v>
      </c>
      <c r="G374" s="8" t="s">
        <v>36</v>
      </c>
      <c r="H374" s="8" t="str">
        <f aca="false">VLOOKUP(B374,Manufacturers!A$1:B869,2)</f>
        <v>AU</v>
      </c>
      <c r="I374" s="11" t="n">
        <v>250000</v>
      </c>
      <c r="J374" s="8"/>
      <c r="K374" s="8"/>
      <c r="L374" s="12"/>
      <c r="M374" s="11"/>
      <c r="N374" s="11"/>
      <c r="O374" s="8"/>
      <c r="P374" s="8"/>
    </row>
    <row r="375" customFormat="false" ht="15.75" hidden="false" customHeight="true" outlineLevel="0" collapsed="false">
      <c r="A375" s="7" t="s">
        <v>799</v>
      </c>
      <c r="B375" s="8" t="s">
        <v>800</v>
      </c>
      <c r="C375" s="8" t="n">
        <v>2012</v>
      </c>
      <c r="D375" s="9" t="s">
        <v>799</v>
      </c>
      <c r="E375" s="7" t="s">
        <v>118</v>
      </c>
      <c r="F375" s="10" t="n">
        <f aca="false">IF(ISBLANK($G375),,VLOOKUP($G375, Rarities!$A$1:$B869, 2, FALSE()))</f>
        <v>4</v>
      </c>
      <c r="G375" s="8" t="s">
        <v>41</v>
      </c>
      <c r="H375" s="8" t="str">
        <f aca="false">VLOOKUP(B375,Manufacturers!A$1:B869,2)</f>
        <v>US</v>
      </c>
      <c r="I375" s="11" t="n">
        <v>1200000</v>
      </c>
      <c r="J375" s="8" t="n">
        <v>1</v>
      </c>
      <c r="K375" s="8" t="n">
        <v>1</v>
      </c>
      <c r="L375" s="12" t="n">
        <v>14</v>
      </c>
      <c r="M375" s="11" t="e">
        <f aca="false">IF(AND(ISNUMBER(L375),L375&gt;0),(3*J375+K375)*#REF!/L375,"-")</f>
        <v>#REF!</v>
      </c>
      <c r="N375" s="11" t="e">
        <f aca="false">IF(AND(#REF!,ISNUMBER(L375),L375&gt;0),((3*J375+K375)*#REF!-I375)/L375,"-")</f>
        <v>#REF!</v>
      </c>
      <c r="O375" s="8"/>
      <c r="P375" s="8"/>
    </row>
    <row r="376" customFormat="false" ht="15.75" hidden="false" customHeight="true" outlineLevel="0" collapsed="false">
      <c r="A376" s="7" t="s">
        <v>801</v>
      </c>
      <c r="B376" s="8" t="s">
        <v>800</v>
      </c>
      <c r="C376" s="8" t="n">
        <v>2019</v>
      </c>
      <c r="D376" s="9" t="s">
        <v>802</v>
      </c>
      <c r="E376" s="7" t="s">
        <v>111</v>
      </c>
      <c r="F376" s="10" t="n">
        <f aca="false">IF(ISBLANK($G376),,VLOOKUP($G376, Rarities!$A$1:$B869, 2, FALSE()))</f>
        <v>4</v>
      </c>
      <c r="G376" s="8" t="s">
        <v>41</v>
      </c>
      <c r="H376" s="8" t="str">
        <f aca="false">VLOOKUP(B376,Manufacturers!A$1:B869,2)</f>
        <v>US</v>
      </c>
      <c r="I376" s="11" t="n">
        <v>250000</v>
      </c>
      <c r="J376" s="8"/>
      <c r="K376" s="8"/>
      <c r="L376" s="12"/>
      <c r="M376" s="11"/>
      <c r="N376" s="11"/>
      <c r="O376" s="8"/>
      <c r="P376" s="8"/>
    </row>
    <row r="377" customFormat="false" ht="15.75" hidden="false" customHeight="true" outlineLevel="0" collapsed="false">
      <c r="A377" s="7" t="s">
        <v>803</v>
      </c>
      <c r="B377" s="8" t="s">
        <v>800</v>
      </c>
      <c r="C377" s="8" t="n">
        <v>2019</v>
      </c>
      <c r="D377" s="8" t="s">
        <v>804</v>
      </c>
      <c r="E377" s="7" t="s">
        <v>353</v>
      </c>
      <c r="F377" s="10" t="n">
        <f aca="false">IF(ISBLANK($G377),,VLOOKUP($G377, Rarities!$A$1:$B869, 2, FALSE()))</f>
        <v>4</v>
      </c>
      <c r="G377" s="8" t="s">
        <v>41</v>
      </c>
      <c r="H377" s="8" t="str">
        <f aca="false">VLOOKUP(B377,Manufacturers!A$1:B869,2)</f>
        <v>US</v>
      </c>
      <c r="I377" s="11" t="n">
        <v>350000</v>
      </c>
      <c r="J377" s="8"/>
      <c r="K377" s="8"/>
      <c r="L377" s="12" t="s">
        <v>244</v>
      </c>
      <c r="M377" s="11" t="str">
        <f aca="false">IF(AND(ISNUMBER(L377),L377&gt;0),(3*J377+K377)*#REF!/L377,"-")</f>
        <v>-</v>
      </c>
      <c r="N377" s="11" t="e">
        <f aca="false">IF(AND(#REF!,ISNUMBER(L377),L377&gt;0),((3*J377+K377)*#REF!-I377)/L377,"-")</f>
        <v>#REF!</v>
      </c>
      <c r="O377" s="8"/>
      <c r="P377" s="8"/>
    </row>
    <row r="378" customFormat="false" ht="15.75" hidden="false" customHeight="true" outlineLevel="0" collapsed="false">
      <c r="A378" s="7" t="s">
        <v>805</v>
      </c>
      <c r="B378" s="8" t="s">
        <v>800</v>
      </c>
      <c r="C378" s="8" t="n">
        <v>2021</v>
      </c>
      <c r="D378" s="9" t="s">
        <v>805</v>
      </c>
      <c r="E378" s="7" t="s">
        <v>118</v>
      </c>
      <c r="F378" s="10" t="n">
        <f aca="false">IF(ISBLANK($G378),,VLOOKUP($G378, Rarities!$A$1:$B869, 2, FALSE()))</f>
        <v>4</v>
      </c>
      <c r="G378" s="8" t="s">
        <v>41</v>
      </c>
      <c r="H378" s="8" t="str">
        <f aca="false">VLOOKUP(B378,Manufacturers!A$1:B869,2)</f>
        <v>US</v>
      </c>
      <c r="I378" s="11" t="n">
        <v>3000000</v>
      </c>
      <c r="J378" s="8"/>
      <c r="K378" s="8"/>
      <c r="L378" s="12"/>
      <c r="M378" s="11"/>
      <c r="N378" s="11"/>
      <c r="O378" s="8"/>
      <c r="P378" s="8"/>
    </row>
    <row r="379" customFormat="false" ht="15.75" hidden="false" customHeight="true" outlineLevel="0" collapsed="false">
      <c r="A379" s="7" t="s">
        <v>806</v>
      </c>
      <c r="B379" s="8" t="s">
        <v>807</v>
      </c>
      <c r="C379" s="8" t="n">
        <v>1973</v>
      </c>
      <c r="D379" s="9" t="s">
        <v>808</v>
      </c>
      <c r="E379" s="7" t="s">
        <v>76</v>
      </c>
      <c r="F379" s="10" t="n">
        <f aca="false">IF(ISBLANK($G379),,VLOOKUP($G379, Rarities!$A$1:$B869, 2, FALSE()))</f>
        <v>1</v>
      </c>
      <c r="G379" s="8" t="s">
        <v>17</v>
      </c>
      <c r="H379" s="8" t="str">
        <f aca="false">VLOOKUP(B379,Manufacturers!A$1:B869,2)</f>
        <v>AU</v>
      </c>
      <c r="I379" s="11" t="n">
        <v>75000</v>
      </c>
      <c r="J379" s="8"/>
      <c r="K379" s="8" t="n">
        <v>1</v>
      </c>
      <c r="L379" s="12" t="n">
        <v>9</v>
      </c>
      <c r="M379" s="11" t="e">
        <f aca="false">IF(AND(ISNUMBER(L379),L379&gt;0),(3*J379+K379)*#REF!/L379,"-")</f>
        <v>#REF!</v>
      </c>
      <c r="N379" s="11" t="e">
        <f aca="false">IF(AND(#REF!,ISNUMBER(L379),L379&gt;0),((3*J379+K379)*#REF!-I379)/L379,"-")</f>
        <v>#REF!</v>
      </c>
      <c r="O379" s="8"/>
      <c r="P379" s="8"/>
    </row>
    <row r="380" customFormat="false" ht="15.75" hidden="false" customHeight="true" outlineLevel="0" collapsed="false">
      <c r="A380" s="7" t="s">
        <v>809</v>
      </c>
      <c r="B380" s="8" t="s">
        <v>807</v>
      </c>
      <c r="C380" s="8" t="n">
        <v>1974</v>
      </c>
      <c r="D380" s="9" t="s">
        <v>810</v>
      </c>
      <c r="E380" s="7" t="s">
        <v>350</v>
      </c>
      <c r="F380" s="10" t="n">
        <f aca="false">IF(ISBLANK($G380),,VLOOKUP($G380, Rarities!$A$1:$B869, 2, FALSE()))</f>
        <v>1</v>
      </c>
      <c r="G380" s="8" t="s">
        <v>17</v>
      </c>
      <c r="H380" s="8" t="str">
        <f aca="false">VLOOKUP(B380,Manufacturers!A$1:B869,2)</f>
        <v>AU</v>
      </c>
      <c r="I380" s="11" t="n">
        <v>55000</v>
      </c>
      <c r="J380" s="8"/>
      <c r="K380" s="8" t="n">
        <v>1</v>
      </c>
      <c r="L380" s="12" t="n">
        <v>9</v>
      </c>
      <c r="M380" s="11" t="e">
        <f aca="false">IF(AND(ISNUMBER(L380),L380&gt;0),(3*J380+K380)*#REF!/L380,"-")</f>
        <v>#REF!</v>
      </c>
      <c r="N380" s="11" t="e">
        <f aca="false">IF(AND(#REF!,ISNUMBER(L380),L380&gt;0),((3*J380+K380)*#REF!-I380)/L380,"-")</f>
        <v>#REF!</v>
      </c>
      <c r="O380" s="8"/>
      <c r="P380" s="8"/>
    </row>
    <row r="381" customFormat="false" ht="15.75" hidden="false" customHeight="true" outlineLevel="0" collapsed="false">
      <c r="A381" s="7" t="s">
        <v>811</v>
      </c>
      <c r="B381" s="8" t="s">
        <v>807</v>
      </c>
      <c r="C381" s="8" t="n">
        <v>1977</v>
      </c>
      <c r="D381" s="9" t="s">
        <v>812</v>
      </c>
      <c r="E381" s="7" t="s">
        <v>76</v>
      </c>
      <c r="F381" s="10" t="n">
        <f aca="false">IF(ISBLANK($G381),,VLOOKUP($G381, Rarities!$A$1:$B869, 2, FALSE()))</f>
        <v>2</v>
      </c>
      <c r="G381" s="8" t="s">
        <v>36</v>
      </c>
      <c r="H381" s="8" t="str">
        <f aca="false">VLOOKUP(B381,Manufacturers!A$1:B869,2)</f>
        <v>AU</v>
      </c>
      <c r="I381" s="11" t="n">
        <v>130000</v>
      </c>
      <c r="J381" s="8"/>
      <c r="K381" s="8" t="n">
        <v>1</v>
      </c>
      <c r="L381" s="12" t="n">
        <v>9</v>
      </c>
      <c r="M381" s="11" t="e">
        <f aca="false">IF(AND(ISNUMBER(L381),L381&gt;0),(3*J381+K381)*#REF!/L381,"-")</f>
        <v>#REF!</v>
      </c>
      <c r="N381" s="11" t="e">
        <f aca="false">IF(AND(#REF!,ISNUMBER(L381),L381&gt;0),((3*J381+K381)*#REF!-I381)/L381,"-")</f>
        <v>#REF!</v>
      </c>
      <c r="O381" s="8"/>
      <c r="P381" s="8"/>
    </row>
    <row r="382" customFormat="false" ht="15.75" hidden="false" customHeight="true" outlineLevel="0" collapsed="false">
      <c r="A382" s="7" t="s">
        <v>813</v>
      </c>
      <c r="B382" s="8" t="s">
        <v>814</v>
      </c>
      <c r="C382" s="8" t="n">
        <v>1974</v>
      </c>
      <c r="D382" s="9" t="s">
        <v>815</v>
      </c>
      <c r="E382" s="7" t="s">
        <v>30</v>
      </c>
      <c r="F382" s="10" t="n">
        <f aca="false">IF(ISBLANK($G382),,VLOOKUP($G382, Rarities!$A$1:$B869, 2, FALSE()))</f>
        <v>1</v>
      </c>
      <c r="G382" s="8" t="s">
        <v>17</v>
      </c>
      <c r="H382" s="8" t="str">
        <f aca="false">VLOOKUP(B382,Manufacturers!A$1:B869,2)</f>
        <v>JP</v>
      </c>
      <c r="I382" s="11" t="n">
        <v>25000</v>
      </c>
      <c r="J382" s="8"/>
      <c r="K382" s="8"/>
      <c r="L382" s="12" t="s">
        <v>244</v>
      </c>
      <c r="M382" s="11" t="str">
        <f aca="false">IF(AND(ISNUMBER(L382),L382&gt;0),(3*J382+K382)*#REF!/L382,"-")</f>
        <v>-</v>
      </c>
      <c r="N382" s="11" t="e">
        <f aca="false">IF(AND(#REF!,ISNUMBER(L382),L382&gt;0),((3*J382+K382)*#REF!-I382)/L382,"-")</f>
        <v>#REF!</v>
      </c>
      <c r="O382" s="8"/>
      <c r="P382" s="8"/>
    </row>
    <row r="383" customFormat="false" ht="15.75" hidden="false" customHeight="true" outlineLevel="0" collapsed="false">
      <c r="A383" s="7" t="s">
        <v>816</v>
      </c>
      <c r="B383" s="8" t="s">
        <v>814</v>
      </c>
      <c r="C383" s="8" t="n">
        <v>1984</v>
      </c>
      <c r="D383" s="9" t="s">
        <v>817</v>
      </c>
      <c r="E383" s="7" t="s">
        <v>30</v>
      </c>
      <c r="F383" s="10" t="n">
        <f aca="false">IF(ISBLANK($G383),,VLOOKUP($G383, Rarities!$A$1:$B869, 2, FALSE()))</f>
        <v>3</v>
      </c>
      <c r="G383" s="8" t="s">
        <v>53</v>
      </c>
      <c r="H383" s="8" t="str">
        <f aca="false">VLOOKUP(B383,Manufacturers!A$1:B869,2)</f>
        <v>JP</v>
      </c>
      <c r="I383" s="11" t="n">
        <v>40000</v>
      </c>
      <c r="J383" s="8"/>
      <c r="K383" s="8" t="n">
        <v>1</v>
      </c>
      <c r="L383" s="12" t="n">
        <v>9</v>
      </c>
      <c r="M383" s="11" t="e">
        <f aca="false">IF(AND(ISNUMBER(L383),L383&gt;0),(3*J383+K383)*#REF!/L383,"-")</f>
        <v>#REF!</v>
      </c>
      <c r="N383" s="11" t="e">
        <f aca="false">IF(AND(#REF!,ISNUMBER(L383),L383&gt;0),((3*J383+K383)*#REF!-I383)/L383,"-")</f>
        <v>#REF!</v>
      </c>
      <c r="O383" s="8"/>
      <c r="P383" s="8"/>
    </row>
    <row r="384" customFormat="false" ht="15.75" hidden="false" customHeight="true" outlineLevel="0" collapsed="false">
      <c r="A384" s="7" t="s">
        <v>818</v>
      </c>
      <c r="B384" s="8" t="s">
        <v>814</v>
      </c>
      <c r="C384" s="8" t="n">
        <v>1991</v>
      </c>
      <c r="D384" s="9" t="s">
        <v>819</v>
      </c>
      <c r="E384" s="7" t="s">
        <v>30</v>
      </c>
      <c r="F384" s="10" t="n">
        <f aca="false">IF(ISBLANK($G384),,VLOOKUP($G384, Rarities!$A$1:$B869, 2, FALSE()))</f>
        <v>1</v>
      </c>
      <c r="G384" s="8" t="s">
        <v>17</v>
      </c>
      <c r="H384" s="8" t="str">
        <f aca="false">VLOOKUP(B384,Manufacturers!A$1:B869,2)</f>
        <v>JP</v>
      </c>
      <c r="I384" s="11" t="n">
        <v>20000</v>
      </c>
      <c r="J384" s="8"/>
      <c r="K384" s="8" t="n">
        <v>1</v>
      </c>
      <c r="L384" s="12" t="n">
        <v>9</v>
      </c>
      <c r="M384" s="11" t="e">
        <f aca="false">IF(AND(ISNUMBER(L384),L384&gt;0),(3*J384+K384)*#REF!/L384,"-")</f>
        <v>#REF!</v>
      </c>
      <c r="N384" s="11" t="e">
        <f aca="false">IF(AND(#REF!,ISNUMBER(L384),L384&gt;0),((3*J384+K384)*#REF!-I384)/L384,"-")</f>
        <v>#REF!</v>
      </c>
      <c r="O384" s="8"/>
      <c r="P384" s="8"/>
    </row>
    <row r="385" customFormat="false" ht="15.75" hidden="false" customHeight="true" outlineLevel="0" collapsed="false">
      <c r="A385" s="7" t="s">
        <v>820</v>
      </c>
      <c r="B385" s="8" t="s">
        <v>814</v>
      </c>
      <c r="C385" s="8" t="n">
        <v>1992</v>
      </c>
      <c r="D385" s="9" t="s">
        <v>821</v>
      </c>
      <c r="E385" s="7" t="s">
        <v>222</v>
      </c>
      <c r="F385" s="10" t="n">
        <f aca="false">IF(ISBLANK($G385),,VLOOKUP($G385, Rarities!$A$1:$B869, 2, FALSE()))</f>
        <v>3</v>
      </c>
      <c r="G385" s="8" t="s">
        <v>53</v>
      </c>
      <c r="H385" s="8" t="str">
        <f aca="false">VLOOKUP(B385,Manufacturers!A$1:B869,2)</f>
        <v>JP</v>
      </c>
      <c r="I385" s="11" t="n">
        <v>90000</v>
      </c>
      <c r="J385" s="8"/>
      <c r="K385" s="8" t="n">
        <v>1</v>
      </c>
      <c r="L385" s="12" t="n">
        <v>9</v>
      </c>
      <c r="M385" s="11" t="e">
        <f aca="false">IF(AND(ISNUMBER(L385),L385&gt;0),(3*J385+K385)*#REF!/L385,"-")</f>
        <v>#REF!</v>
      </c>
      <c r="N385" s="11" t="e">
        <f aca="false">IF(AND(#REF!,ISNUMBER(L385),L385&gt;0),((3*J385+K385)*#REF!-I385)/L385,"-")</f>
        <v>#REF!</v>
      </c>
      <c r="O385" s="8"/>
      <c r="P385" s="8"/>
    </row>
    <row r="386" customFormat="false" ht="15.75" hidden="false" customHeight="true" outlineLevel="0" collapsed="false">
      <c r="A386" s="7" t="s">
        <v>822</v>
      </c>
      <c r="B386" s="8" t="s">
        <v>814</v>
      </c>
      <c r="C386" s="8" t="n">
        <v>1994</v>
      </c>
      <c r="D386" s="9" t="s">
        <v>823</v>
      </c>
      <c r="E386" s="7" t="s">
        <v>30</v>
      </c>
      <c r="F386" s="10" t="n">
        <f aca="false">IF(ISBLANK($G386),,VLOOKUP($G386, Rarities!$A$1:$B869, 2, FALSE()))</f>
        <v>1</v>
      </c>
      <c r="G386" s="8" t="s">
        <v>17</v>
      </c>
      <c r="H386" s="8" t="str">
        <f aca="false">VLOOKUP(B386,Manufacturers!A$1:B869,2)</f>
        <v>JP</v>
      </c>
      <c r="I386" s="11" t="n">
        <v>20000</v>
      </c>
      <c r="J386" s="8"/>
      <c r="K386" s="8" t="n">
        <v>1</v>
      </c>
      <c r="L386" s="12" t="n">
        <v>9</v>
      </c>
      <c r="M386" s="11" t="e">
        <f aca="false">IF(AND(ISNUMBER(L386),L386&gt;0),(3*J386+K386)*#REF!/L386,"-")</f>
        <v>#REF!</v>
      </c>
      <c r="N386" s="11" t="e">
        <f aca="false">IF(AND(#REF!,ISNUMBER(L386),L386&gt;0),((3*J386+K386)*#REF!-I386)/L386,"-")</f>
        <v>#REF!</v>
      </c>
      <c r="O386" s="8"/>
      <c r="P386" s="8"/>
    </row>
    <row r="387" customFormat="false" ht="15.75" hidden="false" customHeight="true" outlineLevel="0" collapsed="false">
      <c r="A387" s="7" t="s">
        <v>824</v>
      </c>
      <c r="B387" s="8" t="s">
        <v>814</v>
      </c>
      <c r="C387" s="8" t="n">
        <v>1997</v>
      </c>
      <c r="D387" s="9" t="s">
        <v>825</v>
      </c>
      <c r="E387" s="7" t="s">
        <v>30</v>
      </c>
      <c r="F387" s="10" t="n">
        <f aca="false">IF(ISBLANK($G387),,VLOOKUP($G387, Rarities!$A$1:$B869, 2, FALSE()))</f>
        <v>1</v>
      </c>
      <c r="G387" s="8" t="s">
        <v>17</v>
      </c>
      <c r="H387" s="8" t="str">
        <f aca="false">VLOOKUP(B387,Manufacturers!A$1:B869,2)</f>
        <v>JP</v>
      </c>
      <c r="I387" s="11" t="n">
        <v>25000</v>
      </c>
      <c r="J387" s="8"/>
      <c r="K387" s="8" t="n">
        <v>1</v>
      </c>
      <c r="L387" s="12" t="n">
        <v>9</v>
      </c>
      <c r="M387" s="11" t="e">
        <f aca="false">IF(AND(ISNUMBER(L387),L387&gt;0),(3*J387+K387)*#REF!/L387,"-")</f>
        <v>#REF!</v>
      </c>
      <c r="N387" s="11" t="e">
        <f aca="false">IF(AND(#REF!,ISNUMBER(L387),L387&gt;0),((3*J387+K387)*#REF!-I387)/L387,"-")</f>
        <v>#REF!</v>
      </c>
      <c r="O387" s="8"/>
      <c r="P387" s="8"/>
    </row>
    <row r="388" customFormat="false" ht="15.75" hidden="false" customHeight="true" outlineLevel="0" collapsed="false">
      <c r="A388" s="7" t="s">
        <v>826</v>
      </c>
      <c r="B388" s="8" t="s">
        <v>814</v>
      </c>
      <c r="C388" s="8" t="n">
        <v>2003</v>
      </c>
      <c r="D388" s="9" t="s">
        <v>827</v>
      </c>
      <c r="E388" s="7" t="s">
        <v>26</v>
      </c>
      <c r="F388" s="10" t="n">
        <f aca="false">IF(ISBLANK($G388),,VLOOKUP($G388, Rarities!$A$1:$B869, 2, FALSE()))</f>
        <v>1</v>
      </c>
      <c r="G388" s="8" t="s">
        <v>17</v>
      </c>
      <c r="H388" s="8" t="str">
        <f aca="false">VLOOKUP(B388,Manufacturers!A$1:B869,2)</f>
        <v>JP</v>
      </c>
      <c r="I388" s="11" t="n">
        <v>25000</v>
      </c>
      <c r="J388" s="8"/>
      <c r="K388" s="8" t="n">
        <v>1</v>
      </c>
      <c r="L388" s="12" t="n">
        <v>9</v>
      </c>
      <c r="M388" s="11" t="e">
        <f aca="false">IF(AND(ISNUMBER(L388),L388&gt;0),(3*J388+K388)*#REF!/L388,"-")</f>
        <v>#REF!</v>
      </c>
      <c r="N388" s="11" t="e">
        <f aca="false">IF(AND(#REF!,ISNUMBER(L388),L388&gt;0),((3*J388+K388)*#REF!-I388)/L388,"-")</f>
        <v>#REF!</v>
      </c>
      <c r="O388" s="8"/>
      <c r="P388" s="8"/>
    </row>
    <row r="389" customFormat="false" ht="15.75" hidden="false" customHeight="true" outlineLevel="0" collapsed="false">
      <c r="A389" s="7" t="s">
        <v>828</v>
      </c>
      <c r="B389" s="8" t="s">
        <v>814</v>
      </c>
      <c r="C389" s="8" t="n">
        <v>2004</v>
      </c>
      <c r="D389" s="9" t="s">
        <v>825</v>
      </c>
      <c r="E389" s="7" t="s">
        <v>30</v>
      </c>
      <c r="F389" s="10" t="n">
        <f aca="false">IF(ISBLANK($G389),,VLOOKUP($G389, Rarities!$A$1:$B869, 2, FALSE()))</f>
        <v>1</v>
      </c>
      <c r="G389" s="8" t="s">
        <v>17</v>
      </c>
      <c r="H389" s="8" t="str">
        <f aca="false">VLOOKUP(B389,Manufacturers!A$1:B869,2)</f>
        <v>JP</v>
      </c>
      <c r="I389" s="11" t="n">
        <v>25000</v>
      </c>
      <c r="J389" s="8"/>
      <c r="K389" s="8" t="n">
        <v>1</v>
      </c>
      <c r="L389" s="12" t="n">
        <v>9</v>
      </c>
      <c r="M389" s="11" t="e">
        <f aca="false">IF(AND(ISNUMBER(L389),L389&gt;0),(3*J389+K389)*#REF!/L389,"-")</f>
        <v>#REF!</v>
      </c>
      <c r="N389" s="11" t="e">
        <f aca="false">IF(AND(#REF!,ISNUMBER(L389),L389&gt;0),((3*J389+K389)*#REF!-I389)/L389,"-")</f>
        <v>#REF!</v>
      </c>
      <c r="O389" s="8"/>
      <c r="P389" s="8"/>
    </row>
    <row r="390" customFormat="false" ht="15.75" hidden="false" customHeight="true" outlineLevel="0" collapsed="false">
      <c r="A390" s="7" t="s">
        <v>829</v>
      </c>
      <c r="B390" s="8" t="s">
        <v>814</v>
      </c>
      <c r="C390" s="8" t="n">
        <v>2005</v>
      </c>
      <c r="D390" s="9" t="s">
        <v>821</v>
      </c>
      <c r="E390" s="7" t="s">
        <v>222</v>
      </c>
      <c r="F390" s="10" t="n">
        <f aca="false">IF(ISBLANK($G390),,VLOOKUP($G390, Rarities!$A$1:$B869, 2, FALSE()))</f>
        <v>3</v>
      </c>
      <c r="G390" s="8" t="s">
        <v>53</v>
      </c>
      <c r="H390" s="8" t="str">
        <f aca="false">VLOOKUP(B390,Manufacturers!A$1:B869,2)</f>
        <v>JP</v>
      </c>
      <c r="I390" s="11" t="n">
        <v>150000</v>
      </c>
      <c r="J390" s="8"/>
      <c r="K390" s="8" t="n">
        <v>1</v>
      </c>
      <c r="L390" s="12" t="n">
        <v>9</v>
      </c>
      <c r="M390" s="11" t="e">
        <f aca="false">IF(AND(ISNUMBER(L390),L390&gt;0),(3*J390+K390)*#REF!/L390,"-")</f>
        <v>#REF!</v>
      </c>
      <c r="N390" s="11" t="e">
        <f aca="false">IF(AND(#REF!,ISNUMBER(L390),L390&gt;0),((3*J390+K390)*#REF!-I390)/L390,"-")</f>
        <v>#REF!</v>
      </c>
      <c r="O390" s="8"/>
      <c r="P390" s="8"/>
    </row>
    <row r="391" customFormat="false" ht="15.75" hidden="false" customHeight="true" outlineLevel="0" collapsed="false">
      <c r="A391" s="7" t="s">
        <v>830</v>
      </c>
      <c r="B391" s="8" t="s">
        <v>814</v>
      </c>
      <c r="C391" s="8" t="n">
        <v>2005</v>
      </c>
      <c r="D391" s="9" t="s">
        <v>831</v>
      </c>
      <c r="E391" s="7" t="s">
        <v>222</v>
      </c>
      <c r="F391" s="10" t="n">
        <f aca="false">IF(ISBLANK($G391),,VLOOKUP($G391, Rarities!$A$1:$B869, 2, FALSE()))</f>
        <v>3</v>
      </c>
      <c r="G391" s="8" t="s">
        <v>53</v>
      </c>
      <c r="H391" s="8" t="str">
        <f aca="false">VLOOKUP(B391,Manufacturers!A$1:B869,2)</f>
        <v>JP</v>
      </c>
      <c r="I391" s="11" t="n">
        <v>500000</v>
      </c>
      <c r="J391" s="8"/>
      <c r="K391" s="8" t="n">
        <v>1</v>
      </c>
      <c r="L391" s="12" t="n">
        <v>9</v>
      </c>
      <c r="M391" s="11" t="e">
        <f aca="false">IF(AND(ISNUMBER(L391),L391&gt;0),(3*J391+K391)*#REF!/L391,"-")</f>
        <v>#REF!</v>
      </c>
      <c r="N391" s="11" t="e">
        <f aca="false">IF(AND(#REF!,ISNUMBER(L391),L391&gt;0),((3*J391+K391)*#REF!-I391)/L391,"-")</f>
        <v>#REF!</v>
      </c>
      <c r="O391" s="8"/>
      <c r="P391" s="8"/>
    </row>
    <row r="392" customFormat="false" ht="15.75" hidden="false" customHeight="true" outlineLevel="0" collapsed="false">
      <c r="A392" s="7" t="s">
        <v>832</v>
      </c>
      <c r="B392" s="8" t="s">
        <v>814</v>
      </c>
      <c r="C392" s="8" t="n">
        <v>2007</v>
      </c>
      <c r="D392" s="9" t="s">
        <v>825</v>
      </c>
      <c r="E392" s="7" t="s">
        <v>23</v>
      </c>
      <c r="F392" s="10" t="n">
        <f aca="false">IF(ISBLANK($G392),,VLOOKUP($G392, Rarities!$A$1:$B869, 2, FALSE()))</f>
        <v>1</v>
      </c>
      <c r="G392" s="8" t="s">
        <v>17</v>
      </c>
      <c r="H392" s="8" t="str">
        <f aca="false">VLOOKUP(B392,Manufacturers!A$1:B869,2)</f>
        <v>JP</v>
      </c>
      <c r="I392" s="11" t="n">
        <v>20000</v>
      </c>
      <c r="J392" s="8"/>
      <c r="K392" s="8" t="n">
        <v>1</v>
      </c>
      <c r="L392" s="12" t="n">
        <v>9</v>
      </c>
      <c r="M392" s="11" t="e">
        <f aca="false">IF(AND(ISNUMBER(L392),L392&gt;0),(3*J392+K392)*#REF!/L392,"-")</f>
        <v>#REF!</v>
      </c>
      <c r="N392" s="11" t="e">
        <f aca="false">IF(AND(#REF!,ISNUMBER(L392),L392&gt;0),((3*J392+K392)*#REF!-I392)/L392,"-")</f>
        <v>#REF!</v>
      </c>
      <c r="O392" s="8"/>
      <c r="P392" s="8"/>
    </row>
    <row r="393" customFormat="false" ht="15.75" hidden="false" customHeight="true" outlineLevel="0" collapsed="false">
      <c r="A393" s="7" t="s">
        <v>833</v>
      </c>
      <c r="B393" s="8" t="s">
        <v>814</v>
      </c>
      <c r="C393" s="8" t="n">
        <v>2009</v>
      </c>
      <c r="D393" s="9" t="s">
        <v>834</v>
      </c>
      <c r="E393" s="7" t="s">
        <v>26</v>
      </c>
      <c r="F393" s="10" t="n">
        <f aca="false">IF(ISBLANK($G393),,VLOOKUP($G393, Rarities!$A$1:$B869, 2, FALSE()))</f>
        <v>1</v>
      </c>
      <c r="G393" s="8" t="s">
        <v>17</v>
      </c>
      <c r="H393" s="8" t="str">
        <f aca="false">VLOOKUP(B393,Manufacturers!A$1:B869,2)</f>
        <v>JP</v>
      </c>
      <c r="I393" s="11" t="n">
        <v>25000</v>
      </c>
      <c r="J393" s="8"/>
      <c r="K393" s="8" t="n">
        <v>1</v>
      </c>
      <c r="L393" s="12" t="n">
        <v>9</v>
      </c>
      <c r="M393" s="11" t="e">
        <f aca="false">IF(AND(ISNUMBER(L393),L393&gt;0),(3*J393+K393)*#REF!/L393,"-")</f>
        <v>#REF!</v>
      </c>
      <c r="N393" s="11" t="e">
        <f aca="false">IF(AND(#REF!,ISNUMBER(L393),L393&gt;0),((3*J393+K393)*#REF!-I393)/L393,"-")</f>
        <v>#REF!</v>
      </c>
      <c r="O393" s="8"/>
      <c r="P393" s="8"/>
    </row>
    <row r="394" customFormat="false" ht="15.75" hidden="false" customHeight="true" outlineLevel="0" collapsed="false">
      <c r="A394" s="7" t="s">
        <v>835</v>
      </c>
      <c r="B394" s="8" t="s">
        <v>814</v>
      </c>
      <c r="C394" s="8" t="n">
        <v>2015</v>
      </c>
      <c r="D394" s="9" t="s">
        <v>836</v>
      </c>
      <c r="E394" s="7" t="s">
        <v>72</v>
      </c>
      <c r="F394" s="10" t="n">
        <f aca="false">IF(ISBLANK($G394),,VLOOKUP($G394, Rarities!$A$1:$B869, 2, FALSE()))</f>
        <v>3</v>
      </c>
      <c r="G394" s="8" t="s">
        <v>53</v>
      </c>
      <c r="H394" s="8" t="str">
        <f aca="false">VLOOKUP(B394,Manufacturers!A$1:B869,2)</f>
        <v>JP</v>
      </c>
      <c r="I394" s="11" t="n">
        <v>500000</v>
      </c>
      <c r="J394" s="8"/>
      <c r="K394" s="8"/>
      <c r="L394" s="12"/>
      <c r="M394" s="11"/>
      <c r="N394" s="11"/>
      <c r="O394" s="8"/>
      <c r="P394" s="8"/>
    </row>
    <row r="395" customFormat="false" ht="15.75" hidden="false" customHeight="true" outlineLevel="0" collapsed="false">
      <c r="A395" s="7" t="s">
        <v>837</v>
      </c>
      <c r="B395" s="8" t="s">
        <v>814</v>
      </c>
      <c r="C395" s="8" t="n">
        <v>2016</v>
      </c>
      <c r="D395" s="9" t="s">
        <v>838</v>
      </c>
      <c r="E395" s="7" t="s">
        <v>139</v>
      </c>
      <c r="F395" s="10" t="n">
        <f aca="false">IF(ISBLANK($G395),,VLOOKUP($G395, Rarities!$A$1:$B869, 2, FALSE()))</f>
        <v>3</v>
      </c>
      <c r="G395" s="8" t="s">
        <v>53</v>
      </c>
      <c r="H395" s="8" t="str">
        <f aca="false">VLOOKUP(B395,Manufacturers!A$1:B869,2)</f>
        <v>JP</v>
      </c>
      <c r="I395" s="11" t="n">
        <v>155000</v>
      </c>
      <c r="J395" s="8"/>
      <c r="K395" s="8" t="n">
        <v>1</v>
      </c>
      <c r="L395" s="12" t="n">
        <v>23</v>
      </c>
      <c r="M395" s="11" t="e">
        <f aca="false">IF(AND(ISNUMBER(L395),L395&gt;0),(3*J395+K395)*#REF!/L395,"-")</f>
        <v>#REF!</v>
      </c>
      <c r="N395" s="11" t="e">
        <f aca="false">IF(AND(#REF!,ISNUMBER(L395),L395&gt;0),((3*J395+K395)*#REF!-I395)/L395,"-")</f>
        <v>#REF!</v>
      </c>
      <c r="O395" s="8"/>
      <c r="P395" s="8"/>
    </row>
    <row r="396" customFormat="false" ht="15.75" hidden="false" customHeight="true" outlineLevel="0" collapsed="false">
      <c r="A396" s="7" t="s">
        <v>839</v>
      </c>
      <c r="B396" s="8" t="s">
        <v>814</v>
      </c>
      <c r="C396" s="8" t="n">
        <v>2016</v>
      </c>
      <c r="D396" s="9" t="s">
        <v>825</v>
      </c>
      <c r="E396" s="7" t="s">
        <v>155</v>
      </c>
      <c r="F396" s="10" t="n">
        <f aca="false">IF(ISBLANK($G396),,VLOOKUP($G396, Rarities!$A$1:$B869, 2, FALSE()))</f>
        <v>1</v>
      </c>
      <c r="G396" s="8" t="s">
        <v>17</v>
      </c>
      <c r="H396" s="8" t="str">
        <f aca="false">VLOOKUP(B396,Manufacturers!A$1:B869,2)</f>
        <v>JP</v>
      </c>
      <c r="I396" s="11" t="n">
        <v>38000</v>
      </c>
      <c r="J396" s="8"/>
      <c r="K396" s="8" t="n">
        <v>1</v>
      </c>
      <c r="L396" s="12" t="n">
        <v>9</v>
      </c>
      <c r="M396" s="11" t="e">
        <f aca="false">IF(AND(ISNUMBER(L396),L396&gt;0),(3*J396+K396)*#REF!/L396,"-")</f>
        <v>#REF!</v>
      </c>
      <c r="N396" s="11" t="e">
        <f aca="false">IF(AND(#REF!,ISNUMBER(L396),L396&gt;0),((3*J396+K396)*#REF!-I396)/L396,"-")</f>
        <v>#REF!</v>
      </c>
      <c r="O396" s="8"/>
      <c r="P396" s="8"/>
    </row>
    <row r="397" customFormat="false" ht="15.75" hidden="false" customHeight="true" outlineLevel="0" collapsed="false">
      <c r="A397" s="7" t="s">
        <v>840</v>
      </c>
      <c r="B397" s="8" t="s">
        <v>814</v>
      </c>
      <c r="C397" s="8" t="n">
        <v>2018</v>
      </c>
      <c r="D397" s="9" t="s">
        <v>825</v>
      </c>
      <c r="E397" s="7" t="s">
        <v>155</v>
      </c>
      <c r="F397" s="10" t="n">
        <f aca="false">IF(ISBLANK($G397),,VLOOKUP($G397, Rarities!$A$1:$B869, 2, FALSE()))</f>
        <v>2</v>
      </c>
      <c r="G397" s="8" t="s">
        <v>36</v>
      </c>
      <c r="H397" s="8" t="str">
        <f aca="false">VLOOKUP(B397,Manufacturers!A$1:B869,2)</f>
        <v>JP</v>
      </c>
      <c r="I397" s="11" t="n">
        <v>59000</v>
      </c>
      <c r="J397" s="8"/>
      <c r="K397" s="8" t="n">
        <v>1</v>
      </c>
      <c r="L397" s="12" t="n">
        <v>9</v>
      </c>
      <c r="M397" s="11" t="e">
        <f aca="false">IF(AND(ISNUMBER(L397),L397&gt;0),(3*J397+K397)*#REF!/L397,"-")</f>
        <v>#REF!</v>
      </c>
      <c r="N397" s="11" t="e">
        <f aca="false">IF(AND(#REF!,ISNUMBER(L397),L397&gt;0),((3*J397+K397)*#REF!-I397)/L397,"-")</f>
        <v>#REF!</v>
      </c>
      <c r="O397" s="8"/>
      <c r="P397" s="8"/>
    </row>
    <row r="398" customFormat="false" ht="15.75" hidden="false" customHeight="true" outlineLevel="0" collapsed="false">
      <c r="A398" s="7" t="s">
        <v>841</v>
      </c>
      <c r="B398" s="8" t="s">
        <v>842</v>
      </c>
      <c r="C398" s="8" t="n">
        <v>1955</v>
      </c>
      <c r="D398" s="9" t="s">
        <v>843</v>
      </c>
      <c r="E398" s="7" t="s">
        <v>327</v>
      </c>
      <c r="F398" s="10" t="n">
        <f aca="false">IF(ISBLANK($G398),,VLOOKUP($G398, Rarities!$A$1:$B869, 2, FALSE()))</f>
        <v>2</v>
      </c>
      <c r="G398" s="8" t="s">
        <v>36</v>
      </c>
      <c r="H398" s="8" t="str">
        <f aca="false">VLOOKUP(B398,Manufacturers!A$1:B869,2)</f>
        <v>US</v>
      </c>
      <c r="I398" s="11" t="n">
        <v>76000</v>
      </c>
      <c r="J398" s="8"/>
      <c r="K398" s="8" t="n">
        <v>1</v>
      </c>
      <c r="L398" s="12" t="n">
        <v>9</v>
      </c>
      <c r="M398" s="11" t="e">
        <f aca="false">IF(AND(ISNUMBER(L398),L398&gt;0),(3*J398+K398)*#REF!/L398,"-")</f>
        <v>#REF!</v>
      </c>
      <c r="N398" s="11" t="e">
        <f aca="false">IF(AND(#REF!,ISNUMBER(L398),L398&gt;0),((3*J398+K398)*#REF!-I398)/L398,"-")</f>
        <v>#REF!</v>
      </c>
      <c r="O398" s="8"/>
      <c r="P398" s="8"/>
    </row>
    <row r="399" customFormat="false" ht="15.75" hidden="false" customHeight="true" outlineLevel="0" collapsed="false">
      <c r="A399" s="7" t="s">
        <v>844</v>
      </c>
      <c r="B399" s="8" t="s">
        <v>842</v>
      </c>
      <c r="C399" s="8" t="n">
        <v>1965</v>
      </c>
      <c r="D399" s="9" t="s">
        <v>845</v>
      </c>
      <c r="E399" s="7" t="s">
        <v>406</v>
      </c>
      <c r="F399" s="10" t="n">
        <f aca="false">IF(ISBLANK($G399),,VLOOKUP($G399, Rarities!$A$1:$B869, 2, FALSE()))</f>
        <v>3</v>
      </c>
      <c r="G399" s="8" t="s">
        <v>53</v>
      </c>
      <c r="H399" s="8" t="str">
        <f aca="false">VLOOKUP(B399,Manufacturers!A$1:B869,2)</f>
        <v>US</v>
      </c>
      <c r="I399" s="11" t="n">
        <v>500000</v>
      </c>
      <c r="J399" s="8" t="n">
        <v>1</v>
      </c>
      <c r="K399" s="8"/>
      <c r="L399" s="12" t="n">
        <v>11</v>
      </c>
      <c r="M399" s="11" t="e">
        <f aca="false">IF(AND(ISNUMBER(L399),L399&gt;0),(3*J399+K399)*#REF!/L399,"-")</f>
        <v>#REF!</v>
      </c>
      <c r="N399" s="11" t="e">
        <f aca="false">IF(AND(#REF!,ISNUMBER(L399),L399&gt;0),((3*J399+K399)*#REF!-I399)/L399,"-")</f>
        <v>#REF!</v>
      </c>
      <c r="O399" s="8"/>
      <c r="P399" s="8"/>
    </row>
    <row r="400" customFormat="false" ht="15.75" hidden="false" customHeight="true" outlineLevel="0" collapsed="false">
      <c r="A400" s="7" t="s">
        <v>846</v>
      </c>
      <c r="B400" s="8" t="s">
        <v>842</v>
      </c>
      <c r="C400" s="8" t="n">
        <v>1965</v>
      </c>
      <c r="D400" s="9" t="s">
        <v>847</v>
      </c>
      <c r="E400" s="7" t="s">
        <v>406</v>
      </c>
      <c r="F400" s="10" t="n">
        <f aca="false">IF(ISBLANK($G400),,VLOOKUP($G400, Rarities!$A$1:$B869, 2, FALSE()))</f>
        <v>3</v>
      </c>
      <c r="G400" s="8" t="s">
        <v>53</v>
      </c>
      <c r="H400" s="8" t="str">
        <f aca="false">VLOOKUP(B400,Manufacturers!A$1:B869,2)</f>
        <v>US</v>
      </c>
      <c r="I400" s="11" t="n">
        <v>500000</v>
      </c>
      <c r="J400" s="8" t="n">
        <v>1</v>
      </c>
      <c r="K400" s="8"/>
      <c r="L400" s="12" t="n">
        <v>13</v>
      </c>
      <c r="M400" s="11" t="e">
        <f aca="false">IF(AND(ISNUMBER(L400),L400&gt;0),(3*J400+K400)*#REF!/L400,"-")</f>
        <v>#REF!</v>
      </c>
      <c r="N400" s="11" t="e">
        <f aca="false">IF(AND(#REF!,ISNUMBER(L400),L400&gt;0),((3*J400+K400)*#REF!-I400)/L400,"-")</f>
        <v>#REF!</v>
      </c>
      <c r="O400" s="8"/>
      <c r="P400" s="8"/>
    </row>
    <row r="401" customFormat="false" ht="15.75" hidden="false" customHeight="true" outlineLevel="0" collapsed="false">
      <c r="A401" s="7" t="s">
        <v>848</v>
      </c>
      <c r="B401" s="8" t="s">
        <v>842</v>
      </c>
      <c r="C401" s="8" t="n">
        <v>1972</v>
      </c>
      <c r="D401" s="9" t="s">
        <v>849</v>
      </c>
      <c r="E401" s="7" t="s">
        <v>76</v>
      </c>
      <c r="F401" s="10" t="n">
        <f aca="false">IF(ISBLANK($G401),,VLOOKUP($G401, Rarities!$A$1:$B869, 2, FALSE()))</f>
        <v>2</v>
      </c>
      <c r="G401" s="8" t="s">
        <v>36</v>
      </c>
      <c r="H401" s="8" t="str">
        <f aca="false">VLOOKUP(B401,Manufacturers!A$1:B869,2)</f>
        <v>US</v>
      </c>
      <c r="I401" s="11" t="n">
        <v>50000</v>
      </c>
      <c r="J401" s="8"/>
      <c r="K401" s="8" t="n">
        <v>2</v>
      </c>
      <c r="L401" s="12" t="n">
        <v>14</v>
      </c>
      <c r="M401" s="11" t="e">
        <f aca="false">IF(AND(ISNUMBER(L401),L401&gt;0),(3*J401+K401)*#REF!/L401,"-")</f>
        <v>#REF!</v>
      </c>
      <c r="N401" s="11" t="e">
        <f aca="false">IF(AND(#REF!,ISNUMBER(L401),L401&gt;0),((3*J401+K401)*#REF!-I401)/L401,"-")</f>
        <v>#REF!</v>
      </c>
      <c r="O401" s="8"/>
      <c r="P401" s="8"/>
    </row>
    <row r="402" customFormat="false" ht="15.75" hidden="false" customHeight="true" outlineLevel="0" collapsed="false">
      <c r="A402" s="7" t="s">
        <v>850</v>
      </c>
      <c r="B402" s="8" t="s">
        <v>842</v>
      </c>
      <c r="C402" s="8" t="n">
        <v>1973</v>
      </c>
      <c r="D402" s="9" t="s">
        <v>851</v>
      </c>
      <c r="E402" s="7" t="s">
        <v>852</v>
      </c>
      <c r="F402" s="10" t="n">
        <f aca="false">IF(ISBLANK($G402),,VLOOKUP($G402, Rarities!$A$1:$B869, 2, FALSE()))</f>
        <v>2</v>
      </c>
      <c r="G402" s="8" t="s">
        <v>36</v>
      </c>
      <c r="H402" s="8" t="str">
        <f aca="false">VLOOKUP(B402,Manufacturers!A$1:B869,2)</f>
        <v>US</v>
      </c>
      <c r="I402" s="11" t="n">
        <v>300000</v>
      </c>
      <c r="J402" s="8"/>
      <c r="K402" s="8"/>
      <c r="L402" s="12"/>
      <c r="M402" s="11"/>
      <c r="N402" s="11"/>
      <c r="O402" s="8"/>
      <c r="P402" s="8"/>
    </row>
    <row r="403" customFormat="false" ht="15.75" hidden="false" customHeight="true" outlineLevel="0" collapsed="false">
      <c r="A403" s="7" t="s">
        <v>853</v>
      </c>
      <c r="B403" s="8" t="s">
        <v>842</v>
      </c>
      <c r="C403" s="8" t="n">
        <v>1977</v>
      </c>
      <c r="D403" s="9" t="s">
        <v>854</v>
      </c>
      <c r="E403" s="7" t="s">
        <v>406</v>
      </c>
      <c r="F403" s="10" t="n">
        <f aca="false">IF(ISBLANK($G403),,VLOOKUP($G403, Rarities!$A$1:$B869, 2, FALSE()))</f>
        <v>3</v>
      </c>
      <c r="G403" s="8" t="s">
        <v>53</v>
      </c>
      <c r="H403" s="8" t="str">
        <f aca="false">VLOOKUP(B403,Manufacturers!A$1:B869,2)</f>
        <v>US</v>
      </c>
      <c r="I403" s="11" t="n">
        <v>500000</v>
      </c>
      <c r="J403" s="8"/>
      <c r="K403" s="8" t="n">
        <v>1</v>
      </c>
      <c r="L403" s="12" t="n">
        <v>9</v>
      </c>
      <c r="M403" s="11" t="e">
        <f aca="false">IF(AND(ISNUMBER(L403),L403&gt;0),(3*J403+K403)*#REF!/L403,"-")</f>
        <v>#REF!</v>
      </c>
      <c r="N403" s="11" t="e">
        <f aca="false">IF(AND(#REF!,ISNUMBER(L403),L403&gt;0),((3*J403+K403)*#REF!-I403)/L403,"-")</f>
        <v>#REF!</v>
      </c>
      <c r="O403" s="8"/>
      <c r="P403" s="8"/>
    </row>
    <row r="404" customFormat="false" ht="15.75" hidden="false" customHeight="true" outlineLevel="0" collapsed="false">
      <c r="A404" s="7" t="s">
        <v>855</v>
      </c>
      <c r="B404" s="8" t="s">
        <v>842</v>
      </c>
      <c r="C404" s="8" t="n">
        <v>1978</v>
      </c>
      <c r="D404" s="9" t="s">
        <v>856</v>
      </c>
      <c r="E404" s="7" t="s">
        <v>139</v>
      </c>
      <c r="F404" s="10" t="n">
        <f aca="false">IF(ISBLANK($G404),,VLOOKUP($G404, Rarities!$A$1:$B869, 2, FALSE()))</f>
        <v>3</v>
      </c>
      <c r="G404" s="8" t="s">
        <v>53</v>
      </c>
      <c r="H404" s="8" t="str">
        <f aca="false">VLOOKUP(B404,Manufacturers!A$1:B869,2)</f>
        <v>US</v>
      </c>
      <c r="I404" s="11" t="n">
        <v>300000</v>
      </c>
      <c r="J404" s="8" t="n">
        <v>1</v>
      </c>
      <c r="K404" s="8"/>
      <c r="L404" s="12" t="n">
        <v>11</v>
      </c>
      <c r="M404" s="11" t="e">
        <f aca="false">IF(AND(ISNUMBER(L404),L404&gt;0),(3*J404+K404)*#REF!/L404,"-")</f>
        <v>#REF!</v>
      </c>
      <c r="N404" s="11" t="e">
        <f aca="false">IF(AND(#REF!,ISNUMBER(L404),L404&gt;0),((3*J404+K404)*#REF!-I404)/L404,"-")</f>
        <v>#REF!</v>
      </c>
      <c r="O404" s="8"/>
      <c r="P404" s="8"/>
    </row>
    <row r="405" customFormat="false" ht="15.75" hidden="false" customHeight="true" outlineLevel="0" collapsed="false">
      <c r="A405" s="7" t="s">
        <v>857</v>
      </c>
      <c r="B405" s="8" t="s">
        <v>842</v>
      </c>
      <c r="C405" s="8" t="n">
        <v>1986</v>
      </c>
      <c r="D405" s="9" t="s">
        <v>858</v>
      </c>
      <c r="E405" s="7" t="s">
        <v>139</v>
      </c>
      <c r="F405" s="10" t="n">
        <f aca="false">IF(ISBLANK($G405),,VLOOKUP($G405, Rarities!$A$1:$B869, 2, FALSE()))</f>
        <v>3</v>
      </c>
      <c r="G405" s="8" t="s">
        <v>53</v>
      </c>
      <c r="H405" s="8" t="str">
        <f aca="false">VLOOKUP(B405,Manufacturers!A$1:B869,2)</f>
        <v>US</v>
      </c>
      <c r="I405" s="11" t="n">
        <v>500000</v>
      </c>
      <c r="J405" s="8" t="n">
        <v>1</v>
      </c>
      <c r="K405" s="8"/>
      <c r="L405" s="12" t="n">
        <v>13</v>
      </c>
      <c r="M405" s="11" t="e">
        <f aca="false">IF(AND(ISNUMBER(L405),L405&gt;0),(3*J405+K405)*#REF!/L405,"-")</f>
        <v>#REF!</v>
      </c>
      <c r="N405" s="11" t="e">
        <f aca="false">IF(AND(#REF!,ISNUMBER(L405),L405&gt;0),((3*J405+K405)*#REF!-I405)/L405,"-")</f>
        <v>#REF!</v>
      </c>
      <c r="O405" s="8"/>
      <c r="P405" s="8"/>
    </row>
    <row r="406" customFormat="false" ht="15.75" hidden="false" customHeight="true" outlineLevel="0" collapsed="false">
      <c r="A406" s="7" t="s">
        <v>859</v>
      </c>
      <c r="B406" s="8" t="s">
        <v>842</v>
      </c>
      <c r="C406" s="8" t="n">
        <v>1991</v>
      </c>
      <c r="D406" s="9" t="s">
        <v>860</v>
      </c>
      <c r="E406" s="7" t="s">
        <v>139</v>
      </c>
      <c r="F406" s="10" t="n">
        <f aca="false">IF(ISBLANK($G406),,VLOOKUP($G406, Rarities!$A$1:$B869, 2, FALSE()))</f>
        <v>3</v>
      </c>
      <c r="G406" s="8" t="s">
        <v>53</v>
      </c>
      <c r="H406" s="8" t="str">
        <f aca="false">VLOOKUP(B406,Manufacturers!A$1:B869,2)</f>
        <v>US</v>
      </c>
      <c r="I406" s="11" t="n">
        <v>500000</v>
      </c>
      <c r="J406" s="8"/>
      <c r="K406" s="8" t="n">
        <v>1</v>
      </c>
      <c r="L406" s="12" t="n">
        <v>23</v>
      </c>
      <c r="M406" s="11" t="e">
        <f aca="false">IF(AND(ISNUMBER(L406),L406&gt;0),(3*J406+K406)*#REF!/L406,"-")</f>
        <v>#REF!</v>
      </c>
      <c r="N406" s="11" t="e">
        <f aca="false">IF(AND(#REF!,ISNUMBER(L406),L406&gt;0),((3*J406+K406)*#REF!-I406)/L406,"-")</f>
        <v>#REF!</v>
      </c>
      <c r="O406" s="8"/>
      <c r="P406" s="8"/>
    </row>
    <row r="407" customFormat="false" ht="15.75" hidden="false" customHeight="true" outlineLevel="0" collapsed="false">
      <c r="A407" s="7" t="s">
        <v>861</v>
      </c>
      <c r="B407" s="8" t="s">
        <v>842</v>
      </c>
      <c r="C407" s="8" t="n">
        <v>1991</v>
      </c>
      <c r="D407" s="9" t="s">
        <v>862</v>
      </c>
      <c r="E407" s="7" t="s">
        <v>215</v>
      </c>
      <c r="F407" s="10" t="n">
        <f aca="false">IF(ISBLANK($G407),,VLOOKUP($G407, Rarities!$A$1:$B869, 2, FALSE()))</f>
        <v>2</v>
      </c>
      <c r="G407" s="8" t="s">
        <v>36</v>
      </c>
      <c r="H407" s="8" t="str">
        <f aca="false">VLOOKUP(B407,Manufacturers!A$1:B869,2)</f>
        <v>US</v>
      </c>
      <c r="I407" s="11" t="n">
        <v>160000</v>
      </c>
      <c r="J407" s="8"/>
      <c r="K407" s="8" t="n">
        <v>2</v>
      </c>
      <c r="L407" s="12" t="n">
        <v>15</v>
      </c>
      <c r="M407" s="11" t="e">
        <f aca="false">IF(AND(ISNUMBER(L407),L407&gt;0),(3*J407+K407)*#REF!/L407,"-")</f>
        <v>#REF!</v>
      </c>
      <c r="N407" s="11" t="e">
        <f aca="false">IF(AND(#REF!,ISNUMBER(L407),L407&gt;0),((3*J407+K407)*#REF!-I407)/L407,"-")</f>
        <v>#REF!</v>
      </c>
      <c r="O407" s="8"/>
      <c r="P407" s="8"/>
    </row>
    <row r="408" customFormat="false" ht="15.75" hidden="false" customHeight="true" outlineLevel="0" collapsed="false">
      <c r="A408" s="7" t="s">
        <v>863</v>
      </c>
      <c r="B408" s="8" t="s">
        <v>842</v>
      </c>
      <c r="C408" s="8" t="n">
        <v>1992</v>
      </c>
      <c r="D408" s="9" t="s">
        <v>864</v>
      </c>
      <c r="E408" s="7" t="s">
        <v>406</v>
      </c>
      <c r="F408" s="10" t="n">
        <f aca="false">IF(ISBLANK($G408),,VLOOKUP($G408, Rarities!$A$1:$B869, 2, FALSE()))</f>
        <v>2</v>
      </c>
      <c r="G408" s="8" t="s">
        <v>36</v>
      </c>
      <c r="H408" s="8" t="str">
        <f aca="false">VLOOKUP(B408,Manufacturers!A$1:B869,2)</f>
        <v>US</v>
      </c>
      <c r="I408" s="11" t="n">
        <v>50000</v>
      </c>
      <c r="J408" s="8"/>
      <c r="K408" s="8" t="n">
        <v>1</v>
      </c>
      <c r="L408" s="12" t="n">
        <v>9</v>
      </c>
      <c r="M408" s="11" t="e">
        <f aca="false">IF(AND(ISNUMBER(L408),L408&gt;0),(3*J408+K408)*#REF!/L408,"-")</f>
        <v>#REF!</v>
      </c>
      <c r="N408" s="11" t="e">
        <f aca="false">IF(AND(#REF!,ISNUMBER(L408),L408&gt;0),((3*J408+K408)*#REF!-I408)/L408,"-")</f>
        <v>#REF!</v>
      </c>
      <c r="O408" s="8"/>
      <c r="P408" s="8"/>
    </row>
    <row r="409" customFormat="false" ht="15.75" hidden="false" customHeight="true" outlineLevel="0" collapsed="false">
      <c r="A409" s="7" t="s">
        <v>865</v>
      </c>
      <c r="B409" s="8" t="s">
        <v>842</v>
      </c>
      <c r="C409" s="8" t="n">
        <v>1994</v>
      </c>
      <c r="D409" s="9" t="s">
        <v>866</v>
      </c>
      <c r="E409" s="7" t="s">
        <v>139</v>
      </c>
      <c r="F409" s="10" t="n">
        <f aca="false">IF(ISBLANK($G409),,VLOOKUP($G409, Rarities!$A$1:$B869, 2, FALSE()))</f>
        <v>3</v>
      </c>
      <c r="G409" s="8" t="s">
        <v>53</v>
      </c>
      <c r="H409" s="8" t="str">
        <f aca="false">VLOOKUP(B409,Manufacturers!A$1:B869,2)</f>
        <v>US</v>
      </c>
      <c r="I409" s="11" t="n">
        <v>500000</v>
      </c>
      <c r="J409" s="8"/>
      <c r="K409" s="8" t="n">
        <v>1</v>
      </c>
      <c r="L409" s="12" t="n">
        <v>23</v>
      </c>
      <c r="M409" s="11" t="e">
        <f aca="false">IF(AND(ISNUMBER(L409),L409&gt;0),(3*J409+K409)*#REF!/L409,"-")</f>
        <v>#REF!</v>
      </c>
      <c r="N409" s="11" t="e">
        <f aca="false">IF(AND(#REF!,ISNUMBER(L409),L409&gt;0),((3*J409+K409)*#REF!-I409)/L409,"-")</f>
        <v>#REF!</v>
      </c>
      <c r="O409" s="8"/>
      <c r="P409" s="8"/>
    </row>
    <row r="410" customFormat="false" ht="15.75" hidden="false" customHeight="true" outlineLevel="0" collapsed="false">
      <c r="A410" s="7" t="s">
        <v>867</v>
      </c>
      <c r="B410" s="8" t="s">
        <v>842</v>
      </c>
      <c r="C410" s="8" t="n">
        <v>2016</v>
      </c>
      <c r="D410" s="9" t="s">
        <v>868</v>
      </c>
      <c r="E410" s="7" t="s">
        <v>139</v>
      </c>
      <c r="F410" s="10" t="n">
        <f aca="false">IF(ISBLANK($G410),,VLOOKUP($G410, Rarities!$A$1:$B869, 2, FALSE()))</f>
        <v>4</v>
      </c>
      <c r="G410" s="8" t="s">
        <v>41</v>
      </c>
      <c r="H410" s="8" t="str">
        <f aca="false">VLOOKUP(B410,Manufacturers!A$1:B869,2)</f>
        <v>US</v>
      </c>
      <c r="I410" s="11" t="n">
        <v>500000</v>
      </c>
      <c r="J410" s="8"/>
      <c r="K410" s="8"/>
      <c r="L410" s="12"/>
      <c r="M410" s="11"/>
      <c r="N410" s="11"/>
      <c r="O410" s="8"/>
      <c r="P410" s="8"/>
    </row>
    <row r="411" customFormat="false" ht="15.75" hidden="false" customHeight="true" outlineLevel="0" collapsed="false">
      <c r="A411" s="7" t="s">
        <v>869</v>
      </c>
      <c r="B411" s="8" t="s">
        <v>842</v>
      </c>
      <c r="C411" s="8" t="n">
        <v>2016</v>
      </c>
      <c r="D411" s="9" t="s">
        <v>870</v>
      </c>
      <c r="E411" s="7" t="s">
        <v>139</v>
      </c>
      <c r="F411" s="10" t="n">
        <f aca="false">IF(ISBLANK($G411),,VLOOKUP($G411, Rarities!$A$1:$B869, 2, FALSE()))</f>
        <v>3</v>
      </c>
      <c r="G411" s="8" t="s">
        <v>53</v>
      </c>
      <c r="H411" s="8" t="str">
        <f aca="false">VLOOKUP(B411,Manufacturers!A$1:B869,2)</f>
        <v>US</v>
      </c>
      <c r="I411" s="11" t="n">
        <v>500000</v>
      </c>
      <c r="J411" s="8" t="n">
        <v>1</v>
      </c>
      <c r="K411" s="8"/>
      <c r="L411" s="12" t="n">
        <v>11</v>
      </c>
      <c r="M411" s="11" t="e">
        <f aca="false">IF(AND(ISNUMBER(L411),L411&gt;0),(3*J411+K411)*#REF!/L411,"-")</f>
        <v>#REF!</v>
      </c>
      <c r="N411" s="11" t="e">
        <f aca="false">IF(AND(#REF!,ISNUMBER(L411),L411&gt;0),((3*J411+K411)*#REF!-I411)/L411,"-")</f>
        <v>#REF!</v>
      </c>
      <c r="O411" s="8"/>
      <c r="P411" s="8"/>
    </row>
    <row r="412" customFormat="false" ht="15.75" hidden="false" customHeight="true" outlineLevel="0" collapsed="false">
      <c r="A412" s="7" t="s">
        <v>871</v>
      </c>
      <c r="B412" s="8" t="s">
        <v>872</v>
      </c>
      <c r="C412" s="8" t="n">
        <v>1949</v>
      </c>
      <c r="D412" s="9" t="s">
        <v>873</v>
      </c>
      <c r="E412" s="7" t="s">
        <v>327</v>
      </c>
      <c r="F412" s="10" t="n">
        <f aca="false">IF(ISBLANK($G412),,VLOOKUP($G412, Rarities!$A$1:$B869, 2, FALSE()))</f>
        <v>4</v>
      </c>
      <c r="G412" s="8" t="s">
        <v>41</v>
      </c>
      <c r="H412" s="8" t="str">
        <f aca="false">VLOOKUP(B412,Manufacturers!A$1:B869,2)</f>
        <v>US</v>
      </c>
      <c r="I412" s="11" t="n">
        <v>250000</v>
      </c>
      <c r="J412" s="8"/>
      <c r="K412" s="8"/>
      <c r="L412" s="12"/>
      <c r="M412" s="11"/>
      <c r="N412" s="11"/>
      <c r="O412" s="8"/>
      <c r="P412" s="8"/>
    </row>
    <row r="413" customFormat="false" ht="15.75" hidden="false" customHeight="true" outlineLevel="0" collapsed="false">
      <c r="A413" s="7" t="s">
        <v>874</v>
      </c>
      <c r="B413" s="8" t="s">
        <v>872</v>
      </c>
      <c r="C413" s="8" t="n">
        <v>1957</v>
      </c>
      <c r="D413" s="9" t="s">
        <v>875</v>
      </c>
      <c r="E413" s="7" t="s">
        <v>327</v>
      </c>
      <c r="F413" s="10" t="n">
        <f aca="false">IF(ISBLANK($G413),,VLOOKUP($G413, Rarities!$A$1:$B869, 2, FALSE()))</f>
        <v>4</v>
      </c>
      <c r="G413" s="8" t="s">
        <v>41</v>
      </c>
      <c r="H413" s="8" t="str">
        <f aca="false">VLOOKUP(B413,Manufacturers!A$1:B869,2)</f>
        <v>US</v>
      </c>
      <c r="I413" s="11" t="n">
        <v>250000</v>
      </c>
      <c r="J413" s="8"/>
      <c r="K413" s="8"/>
      <c r="L413" s="12"/>
      <c r="M413" s="11"/>
      <c r="N413" s="11"/>
      <c r="O413" s="8"/>
      <c r="P413" s="8"/>
    </row>
    <row r="414" customFormat="false" ht="15.75" hidden="false" customHeight="true" outlineLevel="0" collapsed="false">
      <c r="A414" s="7" t="s">
        <v>876</v>
      </c>
      <c r="B414" s="8" t="s">
        <v>872</v>
      </c>
      <c r="C414" s="8" t="n">
        <v>1969</v>
      </c>
      <c r="D414" s="9" t="s">
        <v>876</v>
      </c>
      <c r="E414" s="7" t="s">
        <v>327</v>
      </c>
      <c r="F414" s="10" t="n">
        <f aca="false">IF(ISBLANK($G414),,VLOOKUP($G414, Rarities!$A$1:$B869, 2, FALSE()))</f>
        <v>4</v>
      </c>
      <c r="G414" s="8" t="s">
        <v>41</v>
      </c>
      <c r="H414" s="8" t="str">
        <f aca="false">VLOOKUP(B414,Manufacturers!A$1:B869,2)</f>
        <v>US</v>
      </c>
      <c r="I414" s="11" t="n">
        <v>110000</v>
      </c>
      <c r="J414" s="8"/>
      <c r="K414" s="8" t="n">
        <v>1</v>
      </c>
      <c r="L414" s="12" t="n">
        <v>9</v>
      </c>
      <c r="M414" s="11" t="e">
        <f aca="false">IF(AND(ISNUMBER(L414),L414&gt;0),(3*J414+K414)*#REF!/L414,"-")</f>
        <v>#REF!</v>
      </c>
      <c r="N414" s="11" t="e">
        <f aca="false">IF(AND(#REF!,ISNUMBER(L414),L414&gt;0),((3*J414+K414)*#REF!-I414)/L414,"-")</f>
        <v>#REF!</v>
      </c>
      <c r="O414" s="8"/>
      <c r="P414" s="8"/>
    </row>
    <row r="415" customFormat="false" ht="15.75" hidden="false" customHeight="true" outlineLevel="0" collapsed="false">
      <c r="A415" s="7" t="s">
        <v>877</v>
      </c>
      <c r="B415" s="8" t="s">
        <v>872</v>
      </c>
      <c r="C415" s="8" t="n">
        <v>1970</v>
      </c>
      <c r="D415" s="9" t="s">
        <v>878</v>
      </c>
      <c r="E415" s="7" t="s">
        <v>111</v>
      </c>
      <c r="F415" s="10" t="n">
        <f aca="false">IF(ISBLANK($G415),,VLOOKUP($G415, Rarities!$A$1:$B869, 2, FALSE()))</f>
        <v>4</v>
      </c>
      <c r="G415" s="8" t="s">
        <v>41</v>
      </c>
      <c r="H415" s="8" t="str">
        <f aca="false">VLOOKUP(B415,Manufacturers!A$1:B869,2)</f>
        <v>US</v>
      </c>
      <c r="I415" s="11" t="n">
        <v>300000</v>
      </c>
      <c r="J415" s="8"/>
      <c r="K415" s="8"/>
      <c r="L415" s="12"/>
      <c r="M415" s="11"/>
      <c r="N415" s="11"/>
      <c r="O415" s="8"/>
      <c r="P415" s="8"/>
    </row>
    <row r="416" customFormat="false" ht="15.75" hidden="false" customHeight="true" outlineLevel="0" collapsed="false">
      <c r="A416" s="7" t="s">
        <v>879</v>
      </c>
      <c r="B416" s="8" t="s">
        <v>872</v>
      </c>
      <c r="C416" s="8" t="n">
        <v>2000</v>
      </c>
      <c r="D416" s="9" t="s">
        <v>880</v>
      </c>
      <c r="E416" s="7" t="s">
        <v>327</v>
      </c>
      <c r="F416" s="10" t="n">
        <f aca="false">IF(ISBLANK($G416),,VLOOKUP($G416, Rarities!$A$1:$B869, 2, FALSE()))</f>
        <v>4</v>
      </c>
      <c r="G416" s="8" t="s">
        <v>41</v>
      </c>
      <c r="H416" s="8" t="str">
        <f aca="false">VLOOKUP(B416,Manufacturers!A$1:B869,2)</f>
        <v>US</v>
      </c>
      <c r="I416" s="11" t="n">
        <v>500000</v>
      </c>
      <c r="J416" s="8"/>
      <c r="K416" s="8"/>
      <c r="L416" s="12"/>
      <c r="M416" s="11"/>
      <c r="N416" s="11"/>
      <c r="O416" s="8"/>
      <c r="P416" s="8"/>
    </row>
    <row r="417" customFormat="false" ht="15.75" hidden="false" customHeight="true" outlineLevel="0" collapsed="false">
      <c r="A417" s="7" t="s">
        <v>881</v>
      </c>
      <c r="B417" s="8" t="s">
        <v>872</v>
      </c>
      <c r="C417" s="8" t="n">
        <v>2005</v>
      </c>
      <c r="D417" s="9" t="s">
        <v>882</v>
      </c>
      <c r="E417" s="7" t="s">
        <v>111</v>
      </c>
      <c r="F417" s="10" t="n">
        <f aca="false">IF(ISBLANK($G417),,VLOOKUP($G417, Rarities!$A$1:$B869, 2, FALSE()))</f>
        <v>4</v>
      </c>
      <c r="G417" s="8" t="s">
        <v>41</v>
      </c>
      <c r="H417" s="8" t="str">
        <f aca="false">VLOOKUP(B417,Manufacturers!A$1:B869,2)</f>
        <v>US</v>
      </c>
      <c r="I417" s="11" t="n">
        <v>300000</v>
      </c>
      <c r="J417" s="8"/>
      <c r="K417" s="8"/>
      <c r="L417" s="12"/>
      <c r="M417" s="11"/>
      <c r="N417" s="11"/>
      <c r="O417" s="8"/>
      <c r="P417" s="8"/>
    </row>
    <row r="418" customFormat="false" ht="15.75" hidden="false" customHeight="true" outlineLevel="0" collapsed="false">
      <c r="A418" s="7" t="s">
        <v>883</v>
      </c>
      <c r="B418" s="8" t="s">
        <v>872</v>
      </c>
      <c r="C418" s="8" t="n">
        <v>2011</v>
      </c>
      <c r="D418" s="9" t="s">
        <v>883</v>
      </c>
      <c r="E418" s="7" t="s">
        <v>327</v>
      </c>
      <c r="F418" s="10" t="n">
        <f aca="false">IF(ISBLANK($G418),,VLOOKUP($G418, Rarities!$A$1:$B869, 2, FALSE()))</f>
        <v>4</v>
      </c>
      <c r="G418" s="8" t="s">
        <v>41</v>
      </c>
      <c r="H418" s="8" t="str">
        <f aca="false">VLOOKUP(B418,Manufacturers!A$1:B869,2)</f>
        <v>US</v>
      </c>
      <c r="I418" s="11" t="n">
        <v>150000</v>
      </c>
      <c r="J418" s="8"/>
      <c r="K418" s="8" t="n">
        <v>1</v>
      </c>
      <c r="L418" s="12" t="n">
        <v>9</v>
      </c>
      <c r="M418" s="11" t="e">
        <f aca="false">IF(AND(ISNUMBER(L418),L418&gt;0),(3*J418+K418)*#REF!/L418,"-")</f>
        <v>#REF!</v>
      </c>
      <c r="N418" s="11" t="e">
        <f aca="false">IF(AND(#REF!,ISNUMBER(L418),L418&gt;0),((3*J418+K418)*#REF!-I418)/L418,"-")</f>
        <v>#REF!</v>
      </c>
      <c r="O418" s="8"/>
      <c r="P418" s="8"/>
    </row>
    <row r="419" customFormat="false" ht="15.75" hidden="false" customHeight="true" outlineLevel="0" collapsed="false">
      <c r="A419" s="7" t="s">
        <v>884</v>
      </c>
      <c r="B419" s="8" t="s">
        <v>872</v>
      </c>
      <c r="C419" s="8" t="n">
        <v>2012</v>
      </c>
      <c r="D419" s="9" t="s">
        <v>884</v>
      </c>
      <c r="E419" s="7" t="s">
        <v>67</v>
      </c>
      <c r="F419" s="10" t="n">
        <f aca="false">IF(ISBLANK($G419),,VLOOKUP($G419, Rarities!$A$1:$B869, 2, FALSE()))</f>
        <v>4</v>
      </c>
      <c r="G419" s="8" t="s">
        <v>41</v>
      </c>
      <c r="H419" s="8" t="str">
        <f aca="false">VLOOKUP(B419,Manufacturers!A$1:B869,2)</f>
        <v>US</v>
      </c>
      <c r="I419" s="11" t="n">
        <v>300000</v>
      </c>
      <c r="J419" s="8"/>
      <c r="K419" s="8"/>
      <c r="L419" s="12"/>
      <c r="M419" s="11"/>
      <c r="N419" s="11"/>
      <c r="O419" s="8"/>
      <c r="P419" s="8"/>
    </row>
    <row r="420" customFormat="false" ht="15.75" hidden="false" customHeight="true" outlineLevel="0" collapsed="false">
      <c r="A420" s="7" t="s">
        <v>885</v>
      </c>
      <c r="B420" s="8" t="s">
        <v>872</v>
      </c>
      <c r="C420" s="8" t="n">
        <v>2012</v>
      </c>
      <c r="D420" s="9" t="s">
        <v>886</v>
      </c>
      <c r="E420" s="7" t="s">
        <v>86</v>
      </c>
      <c r="F420" s="10" t="n">
        <f aca="false">IF(ISBLANK($G420),,VLOOKUP($G420, Rarities!$A$1:$B869, 2, FALSE()))</f>
        <v>3</v>
      </c>
      <c r="G420" s="8" t="s">
        <v>53</v>
      </c>
      <c r="H420" s="8" t="str">
        <f aca="false">VLOOKUP(B420,Manufacturers!A$1:B869,2)</f>
        <v>US</v>
      </c>
      <c r="I420" s="11" t="n">
        <v>200000</v>
      </c>
      <c r="J420" s="8"/>
      <c r="K420" s="8"/>
      <c r="L420" s="12"/>
      <c r="M420" s="11"/>
      <c r="N420" s="11"/>
      <c r="O420" s="8"/>
      <c r="P420" s="8"/>
    </row>
    <row r="421" customFormat="false" ht="15.75" hidden="false" customHeight="true" outlineLevel="0" collapsed="false">
      <c r="A421" s="7" t="s">
        <v>887</v>
      </c>
      <c r="B421" s="8" t="s">
        <v>872</v>
      </c>
      <c r="C421" s="8" t="n">
        <v>2013</v>
      </c>
      <c r="D421" s="9" t="s">
        <v>887</v>
      </c>
      <c r="E421" s="7" t="s">
        <v>72</v>
      </c>
      <c r="F421" s="10" t="n">
        <f aca="false">IF(ISBLANK($G421),,VLOOKUP($G421, Rarities!$A$1:$B869, 2, FALSE()))</f>
        <v>4</v>
      </c>
      <c r="G421" s="8" t="s">
        <v>41</v>
      </c>
      <c r="H421" s="8" t="str">
        <f aca="false">VLOOKUP(B421,Manufacturers!A$1:B869,2)</f>
        <v>US</v>
      </c>
      <c r="I421" s="11" t="n">
        <v>150000</v>
      </c>
      <c r="J421" s="8"/>
      <c r="K421" s="8"/>
      <c r="L421" s="12"/>
      <c r="M421" s="11"/>
      <c r="N421" s="11"/>
      <c r="O421" s="8"/>
      <c r="P421" s="8"/>
    </row>
    <row r="422" customFormat="false" ht="15.75" hidden="false" customHeight="true" outlineLevel="0" collapsed="false">
      <c r="A422" s="7" t="s">
        <v>888</v>
      </c>
      <c r="B422" s="8" t="s">
        <v>872</v>
      </c>
      <c r="C422" s="8" t="n">
        <v>2018</v>
      </c>
      <c r="D422" s="9" t="s">
        <v>888</v>
      </c>
      <c r="E422" s="7" t="s">
        <v>327</v>
      </c>
      <c r="F422" s="10" t="n">
        <f aca="false">IF(ISBLANK($G422),,VLOOKUP($G422, Rarities!$A$1:$B869, 2, FALSE()))</f>
        <v>4</v>
      </c>
      <c r="G422" s="8" t="s">
        <v>41</v>
      </c>
      <c r="H422" s="8" t="str">
        <f aca="false">VLOOKUP(B422,Manufacturers!A$1:B869,2)</f>
        <v>US</v>
      </c>
      <c r="I422" s="11" t="n">
        <v>250000</v>
      </c>
      <c r="J422" s="8"/>
      <c r="K422" s="8"/>
      <c r="L422" s="12"/>
      <c r="M422" s="11"/>
      <c r="N422" s="11"/>
      <c r="O422" s="8"/>
      <c r="P422" s="8"/>
    </row>
    <row r="423" customFormat="false" ht="15.75" hidden="false" customHeight="true" outlineLevel="0" collapsed="false">
      <c r="A423" s="7" t="s">
        <v>244</v>
      </c>
      <c r="B423" s="8" t="s">
        <v>872</v>
      </c>
      <c r="C423" s="8" t="n">
        <v>2020</v>
      </c>
      <c r="D423" s="9" t="s">
        <v>889</v>
      </c>
      <c r="E423" s="7" t="s">
        <v>244</v>
      </c>
      <c r="F423" s="10" t="n">
        <f aca="false">IF(ISBLANK($G423),,VLOOKUP($G423, Rarities!$A$1:$B869, 2, FALSE()))</f>
        <v>0</v>
      </c>
      <c r="G423" s="8" t="s">
        <v>244</v>
      </c>
      <c r="H423" s="8" t="str">
        <f aca="false">VLOOKUP(B423,Manufacturers!A$1:B869,2)</f>
        <v>US</v>
      </c>
      <c r="I423" s="11" t="s">
        <v>244</v>
      </c>
      <c r="J423" s="8"/>
      <c r="K423" s="8"/>
      <c r="L423" s="12" t="s">
        <v>244</v>
      </c>
      <c r="M423" s="11" t="str">
        <f aca="false">IF(AND(ISNUMBER(L423),L423&gt;0),(3*J423+K423)*#REF!/L423,"-")</f>
        <v>-</v>
      </c>
      <c r="N423" s="11" t="e">
        <f aca="false">IF(AND(#REF!,ISNUMBER(L423),L423&gt;0),((3*J423+K423)*#REF!-I423)/L423,"-")</f>
        <v>#REF!</v>
      </c>
      <c r="O423" s="8"/>
      <c r="P423" s="8"/>
    </row>
    <row r="424" customFormat="false" ht="15.75" hidden="false" customHeight="true" outlineLevel="0" collapsed="false">
      <c r="A424" s="7" t="s">
        <v>890</v>
      </c>
      <c r="B424" s="8" t="s">
        <v>891</v>
      </c>
      <c r="C424" s="8" t="n">
        <v>2014</v>
      </c>
      <c r="D424" s="9" t="s">
        <v>892</v>
      </c>
      <c r="E424" s="7" t="s">
        <v>350</v>
      </c>
      <c r="F424" s="10" t="n">
        <f aca="false">IF(ISBLANK($G424),,VLOOKUP($G424, Rarities!$A$1:$B869, 2, FALSE()))</f>
        <v>2</v>
      </c>
      <c r="G424" s="8" t="s">
        <v>36</v>
      </c>
      <c r="H424" s="8" t="str">
        <f aca="false">VLOOKUP(B424,Manufacturers!A$1:B869,2)</f>
        <v>AU</v>
      </c>
      <c r="I424" s="11" t="n">
        <v>62000</v>
      </c>
      <c r="J424" s="8"/>
      <c r="K424" s="8" t="n">
        <v>1</v>
      </c>
      <c r="L424" s="12" t="n">
        <v>9</v>
      </c>
      <c r="M424" s="11" t="e">
        <f aca="false">IF(AND(ISNUMBER(L424),L424&gt;0),(3*J424+K424)*#REF!/L424,"-")</f>
        <v>#REF!</v>
      </c>
      <c r="N424" s="11" t="e">
        <f aca="false">IF(AND(#REF!,ISNUMBER(L424),L424&gt;0),((3*J424+K424)*#REF!-I424)/L424,"-")</f>
        <v>#REF!</v>
      </c>
      <c r="O424" s="8"/>
      <c r="P424" s="8"/>
    </row>
    <row r="425" customFormat="false" ht="15.75" hidden="false" customHeight="true" outlineLevel="0" collapsed="false">
      <c r="A425" s="7" t="s">
        <v>893</v>
      </c>
      <c r="B425" s="8" t="s">
        <v>891</v>
      </c>
      <c r="C425" s="8" t="n">
        <v>2014</v>
      </c>
      <c r="D425" s="9" t="s">
        <v>894</v>
      </c>
      <c r="E425" s="7" t="s">
        <v>303</v>
      </c>
      <c r="F425" s="10" t="n">
        <f aca="false">IF(ISBLANK($G425),,VLOOKUP($G425, Rarities!$A$1:$B869, 2, FALSE()))</f>
        <v>1</v>
      </c>
      <c r="G425" s="8" t="s">
        <v>17</v>
      </c>
      <c r="H425" s="8" t="str">
        <f aca="false">VLOOKUP(B425,Manufacturers!A$1:B869,2)</f>
        <v>AU</v>
      </c>
      <c r="I425" s="11" t="n">
        <v>75000</v>
      </c>
      <c r="J425" s="8"/>
      <c r="K425" s="8" t="n">
        <v>1</v>
      </c>
      <c r="L425" s="12" t="n">
        <v>9</v>
      </c>
      <c r="M425" s="11" t="e">
        <f aca="false">IF(AND(ISNUMBER(L425),L425&gt;0),(3*J425+K425)*#REF!/L425,"-")</f>
        <v>#REF!</v>
      </c>
      <c r="N425" s="11" t="e">
        <f aca="false">IF(AND(#REF!,ISNUMBER(L425),L425&gt;0),((3*J425+K425)*#REF!-I425)/L425,"-")</f>
        <v>#REF!</v>
      </c>
      <c r="O425" s="8"/>
      <c r="P425" s="8"/>
    </row>
    <row r="426" customFormat="false" ht="15.75" hidden="false" customHeight="true" outlineLevel="0" collapsed="false">
      <c r="A426" s="7" t="s">
        <v>895</v>
      </c>
      <c r="B426" s="8" t="s">
        <v>896</v>
      </c>
      <c r="C426" s="8" t="n">
        <v>2006</v>
      </c>
      <c r="D426" s="9" t="s">
        <v>897</v>
      </c>
      <c r="E426" s="7" t="s">
        <v>353</v>
      </c>
      <c r="F426" s="10" t="n">
        <f aca="false">IF(ISBLANK($G426),,VLOOKUP($G426, Rarities!$A$1:$B869, 2, FALSE()))</f>
        <v>2</v>
      </c>
      <c r="G426" s="8" t="s">
        <v>36</v>
      </c>
      <c r="H426" s="8" t="str">
        <f aca="false">VLOOKUP(B426,Manufacturers!A$1:B869,2)</f>
        <v>US</v>
      </c>
      <c r="I426" s="11" t="n">
        <v>112000</v>
      </c>
      <c r="J426" s="8"/>
      <c r="K426" s="8" t="n">
        <v>1</v>
      </c>
      <c r="L426" s="12" t="n">
        <v>11</v>
      </c>
      <c r="M426" s="11" t="e">
        <f aca="false">IF(AND(ISNUMBER(L426),L426&gt;0),(3*J426+K426)*#REF!/L426,"-")</f>
        <v>#REF!</v>
      </c>
      <c r="N426" s="11" t="e">
        <f aca="false">IF(AND(#REF!,ISNUMBER(L426),L426&gt;0),((3*J426+K426)*#REF!-I426)/L426,"-")</f>
        <v>#REF!</v>
      </c>
      <c r="O426" s="8"/>
      <c r="P426" s="8"/>
    </row>
    <row r="427" customFormat="false" ht="15.75" hidden="false" customHeight="true" outlineLevel="0" collapsed="false">
      <c r="A427" s="7" t="s">
        <v>898</v>
      </c>
      <c r="B427" s="8" t="s">
        <v>899</v>
      </c>
      <c r="C427" s="8" t="n">
        <v>2019</v>
      </c>
      <c r="D427" s="9" t="s">
        <v>898</v>
      </c>
      <c r="E427" s="7" t="s">
        <v>155</v>
      </c>
      <c r="F427" s="10" t="n">
        <f aca="false">IF(ISBLANK($G427),,VLOOKUP($G427, Rarities!$A$1:$B869, 2, FALSE()))</f>
        <v>3</v>
      </c>
      <c r="G427" s="8" t="s">
        <v>53</v>
      </c>
      <c r="H427" s="8" t="str">
        <f aca="false">VLOOKUP(B427,Manufacturers!A$1:B869,2)</f>
        <v>KR</v>
      </c>
      <c r="I427" s="11" t="n">
        <v>30000</v>
      </c>
      <c r="J427" s="8"/>
      <c r="K427" s="8" t="n">
        <v>1</v>
      </c>
      <c r="L427" s="12" t="n">
        <v>9</v>
      </c>
      <c r="M427" s="11" t="e">
        <f aca="false">IF(AND(ISNUMBER(L427),L427&gt;0),(3*J427+K427)*#REF!/L427,"-")</f>
        <v>#REF!</v>
      </c>
      <c r="N427" s="11" t="e">
        <f aca="false">IF(AND(#REF!,ISNUMBER(L427),L427&gt;0),((3*J427+K427)*#REF!-I427)/L427,"-")</f>
        <v>#REF!</v>
      </c>
      <c r="O427" s="8"/>
      <c r="P427" s="8"/>
    </row>
    <row r="428" customFormat="false" ht="15.75" hidden="false" customHeight="true" outlineLevel="0" collapsed="false">
      <c r="A428" s="7" t="s">
        <v>900</v>
      </c>
      <c r="B428" s="8" t="s">
        <v>899</v>
      </c>
      <c r="C428" s="8" t="n">
        <v>2020</v>
      </c>
      <c r="D428" s="9" t="s">
        <v>901</v>
      </c>
      <c r="E428" s="7" t="s">
        <v>155</v>
      </c>
      <c r="F428" s="10" t="n">
        <f aca="false">IF(ISBLANK($G428),,VLOOKUP($G428, Rarities!$A$1:$B869, 2, FALSE()))</f>
        <v>2</v>
      </c>
      <c r="G428" s="8" t="s">
        <v>36</v>
      </c>
      <c r="H428" s="8" t="str">
        <f aca="false">VLOOKUP(B428,Manufacturers!A$1:B869,2)</f>
        <v>KR</v>
      </c>
      <c r="I428" s="11" t="n">
        <v>250000</v>
      </c>
      <c r="J428" s="8"/>
      <c r="K428" s="8"/>
      <c r="L428" s="12"/>
      <c r="M428" s="11"/>
      <c r="N428" s="11"/>
      <c r="O428" s="8"/>
      <c r="P428" s="8"/>
    </row>
    <row r="429" customFormat="false" ht="15.75" hidden="false" customHeight="true" outlineLevel="0" collapsed="false">
      <c r="A429" s="7" t="s">
        <v>902</v>
      </c>
      <c r="B429" s="8" t="s">
        <v>899</v>
      </c>
      <c r="C429" s="8" t="n">
        <v>2021</v>
      </c>
      <c r="D429" s="9" t="s">
        <v>903</v>
      </c>
      <c r="E429" s="7" t="s">
        <v>111</v>
      </c>
      <c r="F429" s="10" t="n">
        <f aca="false">IF(ISBLANK($G429),,VLOOKUP($G429, Rarities!$A$1:$B869, 2, FALSE()))</f>
        <v>2</v>
      </c>
      <c r="G429" s="8" t="s">
        <v>36</v>
      </c>
      <c r="H429" s="8" t="str">
        <f aca="false">VLOOKUP(B429,Manufacturers!A$1:B869,2)</f>
        <v>KR</v>
      </c>
      <c r="I429" s="11" t="n">
        <v>250000</v>
      </c>
      <c r="J429" s="8"/>
      <c r="K429" s="8"/>
      <c r="L429" s="12"/>
      <c r="M429" s="11"/>
      <c r="N429" s="11"/>
      <c r="O429" s="8"/>
      <c r="P429" s="8"/>
    </row>
    <row r="430" customFormat="false" ht="15.75" hidden="false" customHeight="true" outlineLevel="0" collapsed="false">
      <c r="A430" s="7" t="s">
        <v>904</v>
      </c>
      <c r="B430" s="8" t="s">
        <v>899</v>
      </c>
      <c r="C430" s="8" t="n">
        <v>2022</v>
      </c>
      <c r="D430" s="9" t="s">
        <v>905</v>
      </c>
      <c r="E430" s="7" t="s">
        <v>58</v>
      </c>
      <c r="F430" s="10" t="n">
        <f aca="false">IF(ISBLANK($G430),,VLOOKUP($G430, Rarities!$A$1:$B869, 2, FALSE()))</f>
        <v>2</v>
      </c>
      <c r="G430" s="8" t="s">
        <v>36</v>
      </c>
      <c r="H430" s="8" t="str">
        <f aca="false">VLOOKUP(B430,Manufacturers!A$1:B869,2)</f>
        <v>KR</v>
      </c>
      <c r="I430" s="11" t="n">
        <v>250000</v>
      </c>
      <c r="J430" s="8"/>
      <c r="K430" s="8"/>
      <c r="L430" s="12"/>
      <c r="M430" s="11"/>
      <c r="N430" s="11"/>
      <c r="O430" s="8"/>
      <c r="P430" s="8"/>
    </row>
    <row r="431" customFormat="false" ht="15.75" hidden="false" customHeight="true" outlineLevel="0" collapsed="false">
      <c r="A431" s="7" t="s">
        <v>906</v>
      </c>
      <c r="B431" s="8" t="s">
        <v>899</v>
      </c>
      <c r="C431" s="8" t="n">
        <v>2022</v>
      </c>
      <c r="D431" s="9" t="s">
        <v>907</v>
      </c>
      <c r="E431" s="7" t="s">
        <v>125</v>
      </c>
      <c r="F431" s="10" t="n">
        <f aca="false">IF(ISBLANK($G431),,VLOOKUP($G431, Rarities!$A$1:$B869, 2, FALSE()))</f>
        <v>2</v>
      </c>
      <c r="G431" s="8" t="s">
        <v>36</v>
      </c>
      <c r="H431" s="8" t="str">
        <f aca="false">VLOOKUP(B431,Manufacturers!A$1:B869,2)</f>
        <v>KR</v>
      </c>
      <c r="I431" s="11" t="n">
        <v>250000</v>
      </c>
      <c r="J431" s="8"/>
      <c r="K431" s="8"/>
      <c r="L431" s="12"/>
      <c r="M431" s="11"/>
      <c r="N431" s="11"/>
      <c r="O431" s="8"/>
      <c r="P431" s="8"/>
    </row>
    <row r="432" customFormat="false" ht="15.75" hidden="false" customHeight="true" outlineLevel="0" collapsed="false">
      <c r="A432" s="7" t="s">
        <v>908</v>
      </c>
      <c r="B432" s="8" t="s">
        <v>909</v>
      </c>
      <c r="C432" s="8" t="n">
        <v>2015</v>
      </c>
      <c r="D432" s="9" t="s">
        <v>910</v>
      </c>
      <c r="E432" s="7" t="s">
        <v>58</v>
      </c>
      <c r="F432" s="10" t="n">
        <f aca="false">IF(ISBLANK($G432),,VLOOKUP($G432, Rarities!$A$1:$B869, 2, FALSE()))</f>
        <v>1</v>
      </c>
      <c r="G432" s="8" t="s">
        <v>17</v>
      </c>
      <c r="H432" s="8" t="str">
        <f aca="false">VLOOKUP(B432,Manufacturers!A$1:B869,2)</f>
        <v>US</v>
      </c>
      <c r="I432" s="11" t="n">
        <v>50000</v>
      </c>
      <c r="J432" s="8"/>
      <c r="K432" s="8" t="n">
        <v>1</v>
      </c>
      <c r="L432" s="12" t="n">
        <v>9</v>
      </c>
      <c r="M432" s="11" t="e">
        <f aca="false">IF(AND(ISNUMBER(L432),L432&gt;0),(3*J432+K432)*#REF!/L432,"-")</f>
        <v>#REF!</v>
      </c>
      <c r="N432" s="11" t="e">
        <f aca="false">IF(AND(#REF!,ISNUMBER(L432),L432&gt;0),((3*J432+K432)*#REF!-I432)/L432,"-")</f>
        <v>#REF!</v>
      </c>
      <c r="O432" s="8"/>
      <c r="P432" s="8"/>
    </row>
    <row r="433" customFormat="false" ht="15.75" hidden="false" customHeight="true" outlineLevel="0" collapsed="false">
      <c r="A433" s="7" t="s">
        <v>911</v>
      </c>
      <c r="B433" s="8" t="s">
        <v>912</v>
      </c>
      <c r="C433" s="8" t="n">
        <v>1970</v>
      </c>
      <c r="D433" s="9" t="s">
        <v>913</v>
      </c>
      <c r="E433" s="7" t="s">
        <v>353</v>
      </c>
      <c r="F433" s="10" t="n">
        <f aca="false">IF(ISBLANK($G433),,VLOOKUP($G433, Rarities!$A$1:$B869, 2, FALSE()))</f>
        <v>1</v>
      </c>
      <c r="G433" s="8" t="s">
        <v>17</v>
      </c>
      <c r="H433" s="8" t="str">
        <f aca="false">VLOOKUP(B433,Manufacturers!A$1:B869,2)</f>
        <v>US</v>
      </c>
      <c r="I433" s="11" t="n">
        <v>40000</v>
      </c>
      <c r="J433" s="8"/>
      <c r="K433" s="8" t="n">
        <v>1</v>
      </c>
      <c r="L433" s="12" t="n">
        <v>9</v>
      </c>
      <c r="M433" s="11" t="e">
        <f aca="false">IF(AND(ISNUMBER(L433),L433&gt;0),(3*J433+K433)*#REF!/L433,"-")</f>
        <v>#REF!</v>
      </c>
      <c r="N433" s="11" t="e">
        <f aca="false">IF(AND(#REF!,ISNUMBER(L433),L433&gt;0),((3*J433+K433)*#REF!-I433)/L433,"-")</f>
        <v>#REF!</v>
      </c>
      <c r="O433" s="8"/>
      <c r="P433" s="8"/>
    </row>
    <row r="434" customFormat="false" ht="15.75" hidden="false" customHeight="true" outlineLevel="0" collapsed="false">
      <c r="A434" s="7" t="s">
        <v>914</v>
      </c>
      <c r="B434" s="8" t="s">
        <v>915</v>
      </c>
      <c r="C434" s="8" t="n">
        <v>2018</v>
      </c>
      <c r="D434" s="9" t="s">
        <v>916</v>
      </c>
      <c r="E434" s="7" t="s">
        <v>118</v>
      </c>
      <c r="F434" s="10" t="n">
        <f aca="false">IF(ISBLANK($G434),,VLOOKUP($G434, Rarities!$A$1:$B869, 2, FALSE()))</f>
        <v>4</v>
      </c>
      <c r="G434" s="8" t="s">
        <v>41</v>
      </c>
      <c r="H434" s="8" t="str">
        <f aca="false">VLOOKUP(B434,Manufacturers!A$1:B869,2)</f>
        <v>IT</v>
      </c>
      <c r="I434" s="11" t="n">
        <v>2400000</v>
      </c>
      <c r="J434" s="8" t="n">
        <v>2</v>
      </c>
      <c r="K434" s="8" t="n">
        <v>1</v>
      </c>
      <c r="L434" s="12" t="n">
        <v>24</v>
      </c>
      <c r="M434" s="11" t="e">
        <f aca="false">IF(AND(ISNUMBER(L434),L434&gt;0),(3*J434+K434)*#REF!/L434,"-")</f>
        <v>#REF!</v>
      </c>
      <c r="N434" s="11" t="e">
        <f aca="false">IF(AND(#REF!,ISNUMBER(L434),L434&gt;0),((3*J434+K434)*#REF!-I434)/L434,"-")</f>
        <v>#REF!</v>
      </c>
      <c r="O434" s="8"/>
      <c r="P434" s="8"/>
    </row>
    <row r="435" customFormat="false" ht="15.75" hidden="false" customHeight="true" outlineLevel="0" collapsed="false">
      <c r="A435" s="7" t="s">
        <v>917</v>
      </c>
      <c r="B435" s="8" t="s">
        <v>915</v>
      </c>
      <c r="C435" s="8" t="n">
        <v>2019</v>
      </c>
      <c r="D435" s="9" t="s">
        <v>918</v>
      </c>
      <c r="E435" s="7" t="s">
        <v>52</v>
      </c>
      <c r="F435" s="10" t="n">
        <f aca="false">IF(ISBLANK($G435),,VLOOKUP($G435, Rarities!$A$1:$B869, 2, FALSE()))</f>
        <v>2</v>
      </c>
      <c r="G435" s="8" t="s">
        <v>36</v>
      </c>
      <c r="H435" s="8" t="str">
        <f aca="false">VLOOKUP(B435,Manufacturers!A$1:B869,2)</f>
        <v>IT</v>
      </c>
      <c r="I435" s="11" t="n">
        <v>150000</v>
      </c>
      <c r="J435" s="8"/>
      <c r="K435" s="8"/>
      <c r="L435" s="12"/>
      <c r="M435" s="11"/>
      <c r="N435" s="11"/>
      <c r="O435" s="8"/>
      <c r="P435" s="8"/>
    </row>
    <row r="436" customFormat="false" ht="15.75" hidden="false" customHeight="true" outlineLevel="0" collapsed="false">
      <c r="A436" s="7" t="s">
        <v>919</v>
      </c>
      <c r="B436" s="8" t="s">
        <v>920</v>
      </c>
      <c r="C436" s="8" t="n">
        <v>1953</v>
      </c>
      <c r="D436" s="9" t="s">
        <v>921</v>
      </c>
      <c r="E436" s="7" t="s">
        <v>40</v>
      </c>
      <c r="F436" s="10" t="n">
        <f aca="false">IF(ISBLANK($G436),,VLOOKUP($G436, Rarities!$A$1:$B869, 2, FALSE()))</f>
        <v>4</v>
      </c>
      <c r="G436" s="8" t="s">
        <v>41</v>
      </c>
      <c r="H436" s="8" t="str">
        <f aca="false">VLOOKUP(B436,Manufacturers!A$1:B869,2)</f>
        <v>GB</v>
      </c>
      <c r="I436" s="11" t="n">
        <v>5000000</v>
      </c>
      <c r="J436" s="8"/>
      <c r="K436" s="8"/>
      <c r="L436" s="12"/>
      <c r="M436" s="11"/>
      <c r="N436" s="11"/>
      <c r="O436" s="8"/>
      <c r="P436" s="8"/>
    </row>
    <row r="437" customFormat="false" ht="15.75" hidden="false" customHeight="true" outlineLevel="0" collapsed="false">
      <c r="A437" s="7" t="s">
        <v>922</v>
      </c>
      <c r="B437" s="8" t="s">
        <v>920</v>
      </c>
      <c r="C437" s="8" t="n">
        <v>1956</v>
      </c>
      <c r="D437" s="9" t="s">
        <v>923</v>
      </c>
      <c r="E437" s="7" t="s">
        <v>40</v>
      </c>
      <c r="F437" s="10" t="n">
        <f aca="false">IF(ISBLANK($G437),,VLOOKUP($G437, Rarities!$A$1:$B869, 2, FALSE()))</f>
        <v>4</v>
      </c>
      <c r="G437" s="8" t="s">
        <v>41</v>
      </c>
      <c r="H437" s="8" t="str">
        <f aca="false">VLOOKUP(B437,Manufacturers!A$1:B869,2)</f>
        <v>GB</v>
      </c>
      <c r="I437" s="11" t="n">
        <v>22000000</v>
      </c>
      <c r="J437" s="8" t="n">
        <v>1</v>
      </c>
      <c r="K437" s="8"/>
      <c r="L437" s="12" t="n">
        <v>10</v>
      </c>
      <c r="M437" s="11" t="e">
        <f aca="false">IF(AND(ISNUMBER(L437),L437&gt;0),(3*J437+K437)*#REF!/L437,"-")</f>
        <v>#REF!</v>
      </c>
      <c r="N437" s="11" t="e">
        <f aca="false">IF(AND(#REF!,ISNUMBER(L437),L437&gt;0),((3*J437+K437)*#REF!-I437)/L437,"-")</f>
        <v>#REF!</v>
      </c>
      <c r="O437" s="8"/>
      <c r="P437" s="8"/>
    </row>
    <row r="438" customFormat="false" ht="15.75" hidden="false" customHeight="true" outlineLevel="0" collapsed="false">
      <c r="A438" s="7" t="s">
        <v>924</v>
      </c>
      <c r="B438" s="8" t="s">
        <v>920</v>
      </c>
      <c r="C438" s="8" t="n">
        <v>1959</v>
      </c>
      <c r="D438" s="9" t="s">
        <v>925</v>
      </c>
      <c r="E438" s="7" t="s">
        <v>40</v>
      </c>
      <c r="F438" s="10" t="n">
        <f aca="false">IF(ISBLANK($G438),,VLOOKUP($G438, Rarities!$A$1:$B869, 2, FALSE()))</f>
        <v>3</v>
      </c>
      <c r="G438" s="8" t="s">
        <v>53</v>
      </c>
      <c r="H438" s="8" t="str">
        <f aca="false">VLOOKUP(B438,Manufacturers!A$1:B869,2)</f>
        <v>GB</v>
      </c>
      <c r="I438" s="11" t="n">
        <v>80000</v>
      </c>
      <c r="J438" s="8"/>
      <c r="K438" s="8" t="n">
        <v>1</v>
      </c>
      <c r="L438" s="12" t="n">
        <v>9</v>
      </c>
      <c r="M438" s="11" t="e">
        <f aca="false">IF(AND(ISNUMBER(L438),L438&gt;0),(3*J438+K438)*#REF!/L438,"-")</f>
        <v>#REF!</v>
      </c>
      <c r="N438" s="11" t="e">
        <f aca="false">IF(AND(#REF!,ISNUMBER(L438),L438&gt;0),((3*J438+K438)*#REF!-I438)/L438,"-")</f>
        <v>#REF!</v>
      </c>
      <c r="O438" s="8"/>
      <c r="P438" s="8"/>
    </row>
    <row r="439" customFormat="false" ht="15.75" hidden="false" customHeight="true" outlineLevel="0" collapsed="false">
      <c r="A439" s="7" t="s">
        <v>926</v>
      </c>
      <c r="B439" s="8" t="s">
        <v>920</v>
      </c>
      <c r="C439" s="8" t="n">
        <v>1961</v>
      </c>
      <c r="D439" s="9" t="s">
        <v>927</v>
      </c>
      <c r="E439" s="7" t="s">
        <v>44</v>
      </c>
      <c r="F439" s="10" t="n">
        <f aca="false">IF(ISBLANK($G439),,VLOOKUP($G439, Rarities!$A$1:$B869, 2, FALSE()))</f>
        <v>3</v>
      </c>
      <c r="G439" s="8" t="s">
        <v>53</v>
      </c>
      <c r="H439" s="8" t="str">
        <f aca="false">VLOOKUP(B439,Manufacturers!A$1:B869,2)</f>
        <v>GB</v>
      </c>
      <c r="I439" s="11" t="n">
        <v>150000</v>
      </c>
      <c r="J439" s="8"/>
      <c r="K439" s="8" t="n">
        <v>3</v>
      </c>
      <c r="L439" s="12" t="n">
        <v>28</v>
      </c>
      <c r="M439" s="11" t="e">
        <f aca="false">IF(AND(ISNUMBER(L439),L439&gt;0),(3*J439+K439)*#REF!/L439,"-")</f>
        <v>#REF!</v>
      </c>
      <c r="N439" s="11" t="e">
        <f aca="false">IF(AND(#REF!,ISNUMBER(L439),L439&gt;0),((3*J439+K439)*#REF!-I439)/L439,"-")</f>
        <v>#REF!</v>
      </c>
      <c r="O439" s="8"/>
      <c r="P439" s="8"/>
    </row>
    <row r="440" customFormat="false" ht="15.75" hidden="false" customHeight="true" outlineLevel="0" collapsed="false">
      <c r="A440" s="7" t="s">
        <v>928</v>
      </c>
      <c r="B440" s="8" t="s">
        <v>920</v>
      </c>
      <c r="C440" s="8" t="n">
        <v>1964</v>
      </c>
      <c r="D440" s="9" t="s">
        <v>929</v>
      </c>
      <c r="E440" s="7" t="s">
        <v>40</v>
      </c>
      <c r="F440" s="10" t="n">
        <f aca="false">IF(ISBLANK($G440),,VLOOKUP($G440, Rarities!$A$1:$B869, 2, FALSE()))</f>
        <v>4</v>
      </c>
      <c r="G440" s="8" t="s">
        <v>41</v>
      </c>
      <c r="H440" s="8" t="str">
        <f aca="false">VLOOKUP(B440,Manufacturers!A$1:B869,2)</f>
        <v>GB</v>
      </c>
      <c r="I440" s="11" t="n">
        <v>7500000</v>
      </c>
      <c r="J440" s="8" t="n">
        <v>1</v>
      </c>
      <c r="K440" s="8"/>
      <c r="L440" s="12" t="n">
        <v>10</v>
      </c>
      <c r="M440" s="11" t="e">
        <f aca="false">IF(AND(ISNUMBER(L440),L440&gt;0),(3*J440+K440)*#REF!/L440,"-")</f>
        <v>#REF!</v>
      </c>
      <c r="N440" s="11" t="e">
        <f aca="false">IF(AND(#REF!,ISNUMBER(L440),L440&gt;0),((3*J440+K440)*#REF!-I440)/L440,"-")</f>
        <v>#REF!</v>
      </c>
      <c r="O440" s="8"/>
      <c r="P440" s="8"/>
    </row>
    <row r="441" customFormat="false" ht="15.75" hidden="false" customHeight="true" outlineLevel="0" collapsed="false">
      <c r="A441" s="7" t="s">
        <v>930</v>
      </c>
      <c r="B441" s="8" t="s">
        <v>920</v>
      </c>
      <c r="C441" s="8" t="n">
        <v>1966</v>
      </c>
      <c r="D441" s="9" t="s">
        <v>931</v>
      </c>
      <c r="E441" s="7" t="s">
        <v>40</v>
      </c>
      <c r="F441" s="10" t="n">
        <f aca="false">IF(ISBLANK($G441),,VLOOKUP($G441, Rarities!$A$1:$B869, 2, FALSE()))</f>
        <v>2</v>
      </c>
      <c r="G441" s="8" t="s">
        <v>36</v>
      </c>
      <c r="H441" s="8" t="str">
        <f aca="false">VLOOKUP(B441,Manufacturers!A$1:B869,2)</f>
        <v>GB</v>
      </c>
      <c r="I441" s="11" t="n">
        <v>18000000</v>
      </c>
      <c r="J441" s="8" t="n">
        <v>1</v>
      </c>
      <c r="K441" s="8"/>
      <c r="L441" s="12" t="n">
        <v>10</v>
      </c>
      <c r="M441" s="11" t="e">
        <f aca="false">IF(AND(ISNUMBER(L441),L441&gt;0),(3*J441+K441)*#REF!/L441,"-")</f>
        <v>#REF!</v>
      </c>
      <c r="N441" s="11" t="e">
        <f aca="false">IF(AND(#REF!,ISNUMBER(L441),L441&gt;0),((3*J441+K441)*#REF!-I441)/L441,"-")</f>
        <v>#REF!</v>
      </c>
      <c r="O441" s="8"/>
      <c r="P441" s="8"/>
    </row>
    <row r="442" customFormat="false" ht="15.75" hidden="false" customHeight="true" outlineLevel="0" collapsed="false">
      <c r="A442" s="7" t="s">
        <v>932</v>
      </c>
      <c r="B442" s="8" t="s">
        <v>920</v>
      </c>
      <c r="C442" s="8" t="n">
        <v>1991</v>
      </c>
      <c r="D442" s="9" t="s">
        <v>933</v>
      </c>
      <c r="E442" s="7" t="s">
        <v>215</v>
      </c>
      <c r="F442" s="10" t="n">
        <f aca="false">IF(ISBLANK($G442),,VLOOKUP($G442, Rarities!$A$1:$B869, 2, FALSE()))</f>
        <v>4</v>
      </c>
      <c r="G442" s="8" t="s">
        <v>41</v>
      </c>
      <c r="H442" s="8" t="str">
        <f aca="false">VLOOKUP(B442,Manufacturers!A$1:B869,2)</f>
        <v>GB</v>
      </c>
      <c r="I442" s="11" t="n">
        <v>500000</v>
      </c>
      <c r="J442" s="8"/>
      <c r="K442" s="8" t="n">
        <v>3</v>
      </c>
      <c r="L442" s="12" t="n">
        <v>13</v>
      </c>
      <c r="M442" s="11" t="e">
        <f aca="false">IF(AND(ISNUMBER(L442),L442&gt;0),(3*J442+K442)*#REF!/L442,"-")</f>
        <v>#REF!</v>
      </c>
      <c r="N442" s="11" t="e">
        <f aca="false">IF(AND(#REF!,ISNUMBER(L442),L442&gt;0),((3*J442+K442)*#REF!-I442)/L442,"-")</f>
        <v>#REF!</v>
      </c>
      <c r="O442" s="8"/>
      <c r="P442" s="8"/>
    </row>
    <row r="443" customFormat="false" ht="15.75" hidden="false" customHeight="true" outlineLevel="0" collapsed="false">
      <c r="A443" s="7" t="s">
        <v>934</v>
      </c>
      <c r="B443" s="8" t="s">
        <v>920</v>
      </c>
      <c r="C443" s="8" t="n">
        <v>1993</v>
      </c>
      <c r="D443" s="9" t="s">
        <v>935</v>
      </c>
      <c r="E443" s="7" t="s">
        <v>215</v>
      </c>
      <c r="F443" s="10" t="n">
        <f aca="false">IF(ISBLANK($G443),,VLOOKUP($G443, Rarities!$A$1:$B869, 2, FALSE()))</f>
        <v>4</v>
      </c>
      <c r="G443" s="8" t="s">
        <v>41</v>
      </c>
      <c r="H443" s="8" t="str">
        <f aca="false">VLOOKUP(B443,Manufacturers!A$1:B869,2)</f>
        <v>GB</v>
      </c>
      <c r="I443" s="11" t="n">
        <v>350000</v>
      </c>
      <c r="J443" s="8"/>
      <c r="K443" s="8" t="n">
        <v>1</v>
      </c>
      <c r="L443" s="12" t="n">
        <v>9</v>
      </c>
      <c r="M443" s="11" t="e">
        <f aca="false">IF(AND(ISNUMBER(L443),L443&gt;0),(3*J443+K443)*#REF!/L443,"-")</f>
        <v>#REF!</v>
      </c>
      <c r="N443" s="11" t="e">
        <f aca="false">IF(AND(#REF!,ISNUMBER(L443),L443&gt;0),((3*J443+K443)*#REF!-I443)/L443,"-")</f>
        <v>#REF!</v>
      </c>
      <c r="O443" s="8"/>
      <c r="P443" s="8"/>
    </row>
    <row r="444" customFormat="false" ht="15.75" hidden="false" customHeight="true" outlineLevel="0" collapsed="false">
      <c r="A444" s="7" t="s">
        <v>936</v>
      </c>
      <c r="B444" s="8" t="s">
        <v>920</v>
      </c>
      <c r="C444" s="8" t="n">
        <v>1993</v>
      </c>
      <c r="D444" s="9" t="s">
        <v>937</v>
      </c>
      <c r="E444" s="7" t="s">
        <v>215</v>
      </c>
      <c r="F444" s="10" t="n">
        <f aca="false">IF(ISBLANK($G444),,VLOOKUP($G444, Rarities!$A$1:$B869, 2, FALSE()))</f>
        <v>2</v>
      </c>
      <c r="G444" s="8" t="s">
        <v>36</v>
      </c>
      <c r="H444" s="8" t="str">
        <f aca="false">VLOOKUP(B444,Manufacturers!A$1:B869,2)</f>
        <v>GB</v>
      </c>
      <c r="I444" s="11" t="n">
        <v>400000</v>
      </c>
      <c r="J444" s="8"/>
      <c r="K444" s="8" t="n">
        <v>3</v>
      </c>
      <c r="L444" s="12" t="n">
        <v>13</v>
      </c>
      <c r="M444" s="11" t="e">
        <f aca="false">IF(AND(ISNUMBER(L444),L444&gt;0),(3*J444+K444)*#REF!/L444,"-")</f>
        <v>#REF!</v>
      </c>
      <c r="N444" s="11" t="e">
        <f aca="false">IF(AND(#REF!,ISNUMBER(L444),L444&gt;0),((3*J444+K444)*#REF!-I444)/L444,"-")</f>
        <v>#REF!</v>
      </c>
      <c r="O444" s="8"/>
      <c r="P444" s="8"/>
    </row>
    <row r="445" customFormat="false" ht="15.75" hidden="false" customHeight="true" outlineLevel="0" collapsed="false">
      <c r="A445" s="7" t="s">
        <v>938</v>
      </c>
      <c r="B445" s="8" t="s">
        <v>920</v>
      </c>
      <c r="C445" s="8" t="n">
        <v>2010</v>
      </c>
      <c r="D445" s="9" t="s">
        <v>939</v>
      </c>
      <c r="E445" s="7" t="s">
        <v>35</v>
      </c>
      <c r="F445" s="10" t="n">
        <f aca="false">IF(ISBLANK($G445),,VLOOKUP($G445, Rarities!$A$1:$B869, 2, FALSE()))</f>
        <v>4</v>
      </c>
      <c r="G445" s="8" t="s">
        <v>41</v>
      </c>
      <c r="H445" s="8" t="str">
        <f aca="false">VLOOKUP(B445,Manufacturers!A$1:B869,2)</f>
        <v>GB</v>
      </c>
      <c r="I445" s="11" t="n">
        <v>1500000</v>
      </c>
      <c r="J445" s="8"/>
      <c r="K445" s="8" t="n">
        <v>1</v>
      </c>
      <c r="L445" s="12" t="n">
        <v>9</v>
      </c>
      <c r="M445" s="11" t="e">
        <f aca="false">IF(AND(ISNUMBER(L445),L445&gt;0),(3*J445+K445)*#REF!/L445,"-")</f>
        <v>#REF!</v>
      </c>
      <c r="N445" s="11" t="e">
        <f aca="false">IF(AND(#REF!,ISNUMBER(L445),L445&gt;0),((3*J445+K445)*#REF!-I445)/L445,"-")</f>
        <v>#REF!</v>
      </c>
      <c r="O445" s="8"/>
      <c r="P445" s="8"/>
    </row>
    <row r="446" customFormat="false" ht="15.75" hidden="false" customHeight="true" outlineLevel="0" collapsed="false">
      <c r="A446" s="7" t="s">
        <v>940</v>
      </c>
      <c r="B446" s="8" t="s">
        <v>920</v>
      </c>
      <c r="C446" s="8" t="n">
        <v>2012</v>
      </c>
      <c r="D446" s="9" t="s">
        <v>941</v>
      </c>
      <c r="E446" s="7" t="s">
        <v>52</v>
      </c>
      <c r="F446" s="10" t="n">
        <f aca="false">IF(ISBLANK($G446),,VLOOKUP($G446, Rarities!$A$1:$B869, 2, FALSE()))</f>
        <v>2</v>
      </c>
      <c r="G446" s="8" t="s">
        <v>36</v>
      </c>
      <c r="H446" s="8" t="str">
        <f aca="false">VLOOKUP(B446,Manufacturers!A$1:B869,2)</f>
        <v>GB</v>
      </c>
      <c r="I446" s="11" t="n">
        <v>100000</v>
      </c>
      <c r="J446" s="8"/>
      <c r="K446" s="8" t="n">
        <v>1</v>
      </c>
      <c r="L446" s="12" t="n">
        <v>9</v>
      </c>
      <c r="M446" s="11" t="e">
        <f aca="false">IF(AND(ISNUMBER(L446),L446&gt;0),(3*J446+K446)*#REF!/L446,"-")</f>
        <v>#REF!</v>
      </c>
      <c r="N446" s="11" t="e">
        <f aca="false">IF(AND(#REF!,ISNUMBER(L446),L446&gt;0),((3*J446+K446)*#REF!-I446)/L446,"-")</f>
        <v>#REF!</v>
      </c>
      <c r="O446" s="8"/>
      <c r="P446" s="8"/>
    </row>
    <row r="447" customFormat="false" ht="15.75" hidden="false" customHeight="true" outlineLevel="0" collapsed="false">
      <c r="A447" s="7" t="s">
        <v>942</v>
      </c>
      <c r="B447" s="8" t="s">
        <v>920</v>
      </c>
      <c r="C447" s="8" t="n">
        <v>2015</v>
      </c>
      <c r="D447" s="9" t="s">
        <v>943</v>
      </c>
      <c r="E447" s="7" t="s">
        <v>52</v>
      </c>
      <c r="F447" s="10" t="n">
        <f aca="false">IF(ISBLANK($G447),,VLOOKUP($G447, Rarities!$A$1:$B869, 2, FALSE()))</f>
        <v>3</v>
      </c>
      <c r="G447" s="8" t="s">
        <v>53</v>
      </c>
      <c r="H447" s="8" t="str">
        <f aca="false">VLOOKUP(B447,Manufacturers!A$1:B869,2)</f>
        <v>GB</v>
      </c>
      <c r="I447" s="11" t="n">
        <v>110000</v>
      </c>
      <c r="J447" s="8"/>
      <c r="K447" s="8" t="n">
        <v>1</v>
      </c>
      <c r="L447" s="12" t="n">
        <v>9</v>
      </c>
      <c r="M447" s="11" t="e">
        <f aca="false">IF(AND(ISNUMBER(L447),L447&gt;0),(3*J447+K447)*#REF!/L447,"-")</f>
        <v>#REF!</v>
      </c>
      <c r="N447" s="11" t="e">
        <f aca="false">IF(AND(#REF!,ISNUMBER(L447),L447&gt;0),((3*J447+K447)*#REF!-I447)/L447,"-")</f>
        <v>#REF!</v>
      </c>
      <c r="O447" s="8"/>
      <c r="P447" s="8"/>
    </row>
    <row r="448" customFormat="false" ht="15.75" hidden="false" customHeight="true" outlineLevel="0" collapsed="false">
      <c r="A448" s="7" t="s">
        <v>944</v>
      </c>
      <c r="B448" s="8" t="s">
        <v>920</v>
      </c>
      <c r="C448" s="8" t="n">
        <v>2015</v>
      </c>
      <c r="D448" s="9" t="s">
        <v>945</v>
      </c>
      <c r="E448" s="7" t="s">
        <v>111</v>
      </c>
      <c r="F448" s="10" t="n">
        <f aca="false">IF(ISBLANK($G448),,VLOOKUP($G448, Rarities!$A$1:$B869, 2, FALSE()))</f>
        <v>3</v>
      </c>
      <c r="G448" s="8" t="s">
        <v>53</v>
      </c>
      <c r="H448" s="8" t="str">
        <f aca="false">VLOOKUP(B448,Manufacturers!A$1:B869,2)</f>
        <v>GB</v>
      </c>
      <c r="I448" s="11" t="n">
        <v>250000</v>
      </c>
      <c r="J448" s="8"/>
      <c r="K448" s="8" t="n">
        <v>1</v>
      </c>
      <c r="L448" s="12" t="n">
        <v>9</v>
      </c>
      <c r="M448" s="11" t="e">
        <f aca="false">IF(AND(ISNUMBER(L448),L448&gt;0),(3*J448+K448)*#REF!/L448,"-")</f>
        <v>#REF!</v>
      </c>
      <c r="N448" s="11" t="e">
        <f aca="false">IF(AND(#REF!,ISNUMBER(L448),L448&gt;0),((3*J448+K448)*#REF!-I448)/L448,"-")</f>
        <v>#REF!</v>
      </c>
      <c r="O448" s="8"/>
      <c r="P448" s="8"/>
    </row>
    <row r="449" customFormat="false" ht="15.75" hidden="false" customHeight="true" outlineLevel="0" collapsed="false">
      <c r="A449" s="7" t="s">
        <v>946</v>
      </c>
      <c r="B449" s="8" t="s">
        <v>920</v>
      </c>
      <c r="C449" s="8" t="n">
        <v>2015</v>
      </c>
      <c r="D449" s="9" t="s">
        <v>947</v>
      </c>
      <c r="E449" s="7" t="s">
        <v>58</v>
      </c>
      <c r="F449" s="10" t="n">
        <f aca="false">IF(ISBLANK($G449),,VLOOKUP($G449, Rarities!$A$1:$B869, 2, FALSE()))</f>
        <v>2</v>
      </c>
      <c r="G449" s="8" t="s">
        <v>36</v>
      </c>
      <c r="H449" s="8" t="str">
        <f aca="false">VLOOKUP(B449,Manufacturers!A$1:B869,2)</f>
        <v>GB</v>
      </c>
      <c r="I449" s="11" t="n">
        <v>110000</v>
      </c>
      <c r="J449" s="8"/>
      <c r="K449" s="8" t="n">
        <v>1</v>
      </c>
      <c r="L449" s="12" t="n">
        <v>9</v>
      </c>
      <c r="M449" s="11" t="e">
        <f aca="false">IF(AND(ISNUMBER(L449),L449&gt;0),(3*J449+K449)*#REF!/L449,"-")</f>
        <v>#REF!</v>
      </c>
      <c r="N449" s="11" t="e">
        <f aca="false">IF(AND(#REF!,ISNUMBER(L449),L449&gt;0),((3*J449+K449)*#REF!-I449)/L449,"-")</f>
        <v>#REF!</v>
      </c>
      <c r="O449" s="8"/>
      <c r="P449" s="8"/>
    </row>
    <row r="450" customFormat="false" ht="15.75" hidden="false" customHeight="true" outlineLevel="0" collapsed="false">
      <c r="A450" s="7" t="s">
        <v>948</v>
      </c>
      <c r="B450" s="8" t="s">
        <v>920</v>
      </c>
      <c r="C450" s="8" t="n">
        <v>2015</v>
      </c>
      <c r="D450" s="9" t="s">
        <v>949</v>
      </c>
      <c r="E450" s="7" t="s">
        <v>58</v>
      </c>
      <c r="F450" s="10" t="n">
        <f aca="false">IF(ISBLANK($G450),,VLOOKUP($G450, Rarities!$A$1:$B869, 2, FALSE()))</f>
        <v>1</v>
      </c>
      <c r="G450" s="8" t="s">
        <v>17</v>
      </c>
      <c r="H450" s="8" t="str">
        <f aca="false">VLOOKUP(B450,Manufacturers!A$1:B869,2)</f>
        <v>GB</v>
      </c>
      <c r="I450" s="11" t="n">
        <v>57000</v>
      </c>
      <c r="J450" s="8"/>
      <c r="K450" s="8" t="n">
        <v>1</v>
      </c>
      <c r="L450" s="12" t="n">
        <v>9</v>
      </c>
      <c r="M450" s="11" t="e">
        <f aca="false">IF(AND(ISNUMBER(L450),L450&gt;0),(3*J450+K450)*#REF!/L450,"-")</f>
        <v>#REF!</v>
      </c>
      <c r="N450" s="11" t="e">
        <f aca="false">IF(AND(#REF!,ISNUMBER(L450),L450&gt;0),((3*J450+K450)*#REF!-I450)/L450,"-")</f>
        <v>#REF!</v>
      </c>
      <c r="O450" s="8"/>
      <c r="P450" s="8"/>
    </row>
    <row r="451" customFormat="false" ht="15.75" hidden="false" customHeight="true" outlineLevel="0" collapsed="false">
      <c r="A451" s="7" t="s">
        <v>950</v>
      </c>
      <c r="B451" s="8" t="s">
        <v>920</v>
      </c>
      <c r="C451" s="8" t="n">
        <v>2016</v>
      </c>
      <c r="D451" s="9" t="s">
        <v>951</v>
      </c>
      <c r="E451" s="7" t="s">
        <v>111</v>
      </c>
      <c r="F451" s="10" t="n">
        <f aca="false">IF(ISBLANK($G451),,VLOOKUP($G451, Rarities!$A$1:$B869, 2, FALSE()))</f>
        <v>3</v>
      </c>
      <c r="G451" s="8" t="s">
        <v>53</v>
      </c>
      <c r="H451" s="8" t="str">
        <f aca="false">VLOOKUP(B451,Manufacturers!A$1:B869,2)</f>
        <v>GB</v>
      </c>
      <c r="I451" s="11" t="n">
        <v>190000</v>
      </c>
      <c r="J451" s="8"/>
      <c r="K451" s="8" t="n">
        <v>1</v>
      </c>
      <c r="L451" s="12" t="n">
        <v>9</v>
      </c>
      <c r="M451" s="11" t="e">
        <f aca="false">IF(AND(ISNUMBER(L451),L451&gt;0),(3*J451+K451)*#REF!/L451,"-")</f>
        <v>#REF!</v>
      </c>
      <c r="N451" s="11" t="e">
        <f aca="false">IF(AND(#REF!,ISNUMBER(L451),L451&gt;0),((3*J451+K451)*#REF!-I451)/L451,"-")</f>
        <v>#REF!</v>
      </c>
      <c r="O451" s="8"/>
      <c r="P451" s="8"/>
    </row>
    <row r="452" customFormat="false" ht="15.75" hidden="false" customHeight="true" outlineLevel="0" collapsed="false">
      <c r="A452" s="7" t="s">
        <v>952</v>
      </c>
      <c r="B452" s="8" t="s">
        <v>920</v>
      </c>
      <c r="C452" s="8" t="n">
        <v>2017</v>
      </c>
      <c r="D452" s="9" t="s">
        <v>953</v>
      </c>
      <c r="E452" s="7" t="s">
        <v>125</v>
      </c>
      <c r="F452" s="10" t="n">
        <f aca="false">IF(ISBLANK($G452),,VLOOKUP($G452, Rarities!$A$1:$B869, 2, FALSE()))</f>
        <v>1</v>
      </c>
      <c r="G452" s="8" t="s">
        <v>17</v>
      </c>
      <c r="H452" s="8" t="str">
        <f aca="false">VLOOKUP(B452,Manufacturers!A$1:B869,2)</f>
        <v>GB</v>
      </c>
      <c r="I452" s="11" t="n">
        <v>55000</v>
      </c>
      <c r="J452" s="8"/>
      <c r="K452" s="8" t="n">
        <v>1</v>
      </c>
      <c r="L452" s="12" t="n">
        <v>11</v>
      </c>
      <c r="M452" s="11" t="e">
        <f aca="false">IF(AND(ISNUMBER(L452),L452&gt;0),(3*J452+K452)*#REF!/L452,"-")</f>
        <v>#REF!</v>
      </c>
      <c r="N452" s="11" t="e">
        <f aca="false">IF(AND(#REF!,ISNUMBER(L452),L452&gt;0),((3*J452+K452)*#REF!-I452)/L452,"-")</f>
        <v>#REF!</v>
      </c>
      <c r="O452" s="8"/>
      <c r="P452" s="8"/>
    </row>
    <row r="453" customFormat="false" ht="15.75" hidden="false" customHeight="true" outlineLevel="0" collapsed="false">
      <c r="A453" s="7" t="s">
        <v>954</v>
      </c>
      <c r="B453" s="8" t="s">
        <v>920</v>
      </c>
      <c r="C453" s="8" t="n">
        <v>2018</v>
      </c>
      <c r="D453" s="9" t="s">
        <v>955</v>
      </c>
      <c r="E453" s="7" t="s">
        <v>125</v>
      </c>
      <c r="F453" s="10" t="n">
        <f aca="false">IF(ISBLANK($G453),,VLOOKUP($G453, Rarities!$A$1:$B869, 2, FALSE()))</f>
        <v>2</v>
      </c>
      <c r="G453" s="8" t="s">
        <v>36</v>
      </c>
      <c r="H453" s="8" t="str">
        <f aca="false">VLOOKUP(B453,Manufacturers!A$1:B869,2)</f>
        <v>GB</v>
      </c>
      <c r="I453" s="11" t="n">
        <v>87000</v>
      </c>
      <c r="J453" s="8"/>
      <c r="K453" s="8" t="n">
        <v>1</v>
      </c>
      <c r="L453" s="12" t="n">
        <v>11</v>
      </c>
      <c r="M453" s="11" t="e">
        <f aca="false">IF(AND(ISNUMBER(L453),L453&gt;0),(3*J453+K453)*#REF!/L453,"-")</f>
        <v>#REF!</v>
      </c>
      <c r="N453" s="11" t="e">
        <f aca="false">IF(AND(#REF!,ISNUMBER(L453),L453&gt;0),((3*J453+K453)*#REF!-I453)/L453,"-")</f>
        <v>#REF!</v>
      </c>
      <c r="O453" s="8"/>
      <c r="P453" s="8"/>
    </row>
    <row r="454" customFormat="false" ht="15.75" hidden="false" customHeight="true" outlineLevel="0" collapsed="false">
      <c r="A454" s="7" t="s">
        <v>956</v>
      </c>
      <c r="B454" s="8" t="s">
        <v>920</v>
      </c>
      <c r="C454" s="8" t="n">
        <v>2019</v>
      </c>
      <c r="D454" s="9" t="s">
        <v>957</v>
      </c>
      <c r="E454" s="7" t="s">
        <v>111</v>
      </c>
      <c r="F454" s="10" t="n">
        <f aca="false">IF(ISBLANK($G454),,VLOOKUP($G454, Rarities!$A$1:$B869, 2, FALSE()))</f>
        <v>2</v>
      </c>
      <c r="G454" s="8" t="s">
        <v>36</v>
      </c>
      <c r="H454" s="8" t="str">
        <f aca="false">VLOOKUP(B454,Manufacturers!A$1:B869,2)</f>
        <v>GB</v>
      </c>
      <c r="I454" s="11" t="n">
        <v>200000</v>
      </c>
      <c r="J454" s="8"/>
      <c r="K454" s="8"/>
      <c r="L454" s="12"/>
      <c r="M454" s="11"/>
      <c r="N454" s="11"/>
      <c r="O454" s="8"/>
      <c r="P454" s="8"/>
    </row>
    <row r="455" customFormat="false" ht="15.75" hidden="false" customHeight="true" outlineLevel="0" collapsed="false">
      <c r="A455" s="7" t="s">
        <v>958</v>
      </c>
      <c r="B455" s="8" t="s">
        <v>920</v>
      </c>
      <c r="C455" s="8" t="n">
        <v>2020</v>
      </c>
      <c r="D455" s="9" t="s">
        <v>959</v>
      </c>
      <c r="E455" s="7" t="s">
        <v>52</v>
      </c>
      <c r="F455" s="10" t="n">
        <f aca="false">IF(ISBLANK($G455),,VLOOKUP($G455, Rarities!$A$1:$B869, 2, FALSE()))</f>
        <v>2</v>
      </c>
      <c r="G455" s="8" t="s">
        <v>36</v>
      </c>
      <c r="H455" s="8" t="str">
        <f aca="false">VLOOKUP(B455,Manufacturers!A$1:B869,2)</f>
        <v>GB</v>
      </c>
      <c r="I455" s="11" t="n">
        <v>250000</v>
      </c>
      <c r="J455" s="8"/>
      <c r="K455" s="8"/>
      <c r="L455" s="12"/>
      <c r="M455" s="11"/>
      <c r="N455" s="11"/>
      <c r="O455" s="8"/>
      <c r="P455" s="8"/>
    </row>
    <row r="456" customFormat="false" ht="15.75" hidden="false" customHeight="true" outlineLevel="0" collapsed="false">
      <c r="A456" s="7" t="s">
        <v>960</v>
      </c>
      <c r="B456" s="8" t="s">
        <v>961</v>
      </c>
      <c r="C456" s="8" t="n">
        <v>1976</v>
      </c>
      <c r="D456" s="9" t="s">
        <v>962</v>
      </c>
      <c r="E456" s="7" t="s">
        <v>353</v>
      </c>
      <c r="F456" s="10" t="n">
        <f aca="false">IF(ISBLANK($G456),,VLOOKUP($G456, Rarities!$A$1:$B869, 2, FALSE()))</f>
        <v>1</v>
      </c>
      <c r="G456" s="8" t="s">
        <v>17</v>
      </c>
      <c r="H456" s="8" t="str">
        <f aca="false">VLOOKUP(B456,Manufacturers!A$1:B869,2)</f>
        <v>US</v>
      </c>
      <c r="I456" s="11" t="n">
        <v>60000</v>
      </c>
      <c r="J456" s="8"/>
      <c r="K456" s="8" t="n">
        <v>1</v>
      </c>
      <c r="L456" s="12" t="n">
        <v>9</v>
      </c>
      <c r="M456" s="11" t="e">
        <f aca="false">IF(AND(ISNUMBER(L456),L456&gt;0),(3*J456+K456)*#REF!/L456,"-")</f>
        <v>#REF!</v>
      </c>
      <c r="N456" s="11" t="e">
        <f aca="false">IF(AND(#REF!,ISNUMBER(L456),L456&gt;0),((3*J456+K456)*#REF!-I456)/L456,"-")</f>
        <v>#REF!</v>
      </c>
      <c r="O456" s="8"/>
      <c r="P456" s="8"/>
    </row>
    <row r="457" customFormat="false" ht="15.75" hidden="false" customHeight="true" outlineLevel="0" collapsed="false">
      <c r="A457" s="7" t="s">
        <v>963</v>
      </c>
      <c r="B457" s="8" t="s">
        <v>961</v>
      </c>
      <c r="C457" s="8" t="n">
        <v>2012</v>
      </c>
      <c r="D457" s="9" t="s">
        <v>964</v>
      </c>
      <c r="E457" s="7" t="s">
        <v>353</v>
      </c>
      <c r="F457" s="10" t="n">
        <f aca="false">IF(ISBLANK($G457),,VLOOKUP($G457, Rarities!$A$1:$B869, 2, FALSE()))</f>
        <v>1</v>
      </c>
      <c r="G457" s="8" t="s">
        <v>17</v>
      </c>
      <c r="H457" s="8" t="str">
        <f aca="false">VLOOKUP(B457,Manufacturers!A$1:B869,2)</f>
        <v>US</v>
      </c>
      <c r="I457" s="11" t="n">
        <v>50000</v>
      </c>
      <c r="J457" s="8"/>
      <c r="K457" s="8" t="n">
        <v>1</v>
      </c>
      <c r="L457" s="12" t="n">
        <v>9</v>
      </c>
      <c r="M457" s="11" t="e">
        <f aca="false">IF(AND(ISNUMBER(L457),L457&gt;0),(3*J457+K457)*#REF!/L457,"-")</f>
        <v>#REF!</v>
      </c>
      <c r="N457" s="11" t="e">
        <f aca="false">IF(AND(#REF!,ISNUMBER(L457),L457&gt;0),((3*J457+K457)*#REF!-I457)/L457,"-")</f>
        <v>#REF!</v>
      </c>
      <c r="O457" s="8"/>
      <c r="P457" s="8"/>
    </row>
    <row r="458" customFormat="false" ht="15.75" hidden="false" customHeight="true" outlineLevel="0" collapsed="false">
      <c r="A458" s="7" t="s">
        <v>244</v>
      </c>
      <c r="B458" s="8" t="s">
        <v>961</v>
      </c>
      <c r="C458" s="8" t="n">
        <v>2012</v>
      </c>
      <c r="D458" s="9" t="s">
        <v>964</v>
      </c>
      <c r="E458" s="7" t="s">
        <v>244</v>
      </c>
      <c r="F458" s="10" t="n">
        <f aca="false">IF(ISBLANK($G458),,VLOOKUP($G458, Rarities!$A$1:$B869, 2, FALSE()))</f>
        <v>0</v>
      </c>
      <c r="G458" s="8" t="s">
        <v>244</v>
      </c>
      <c r="H458" s="8" t="str">
        <f aca="false">VLOOKUP(B458,Manufacturers!A$1:B869,2)</f>
        <v>US</v>
      </c>
      <c r="I458" s="11" t="s">
        <v>244</v>
      </c>
      <c r="J458" s="8"/>
      <c r="K458" s="8"/>
      <c r="L458" s="12" t="s">
        <v>244</v>
      </c>
      <c r="M458" s="11" t="str">
        <f aca="false">IF(AND(ISNUMBER(L458),L458&gt;0),(3*J458+K458)*#REF!/L458,"-")</f>
        <v>-</v>
      </c>
      <c r="N458" s="11" t="e">
        <f aca="false">IF(AND(#REF!,ISNUMBER(L458),L458&gt;0),((3*J458+K458)*#REF!-I458)/L458,"-")</f>
        <v>#REF!</v>
      </c>
      <c r="O458" s="8"/>
      <c r="P458" s="8"/>
    </row>
    <row r="459" customFormat="false" ht="15.75" hidden="false" customHeight="true" outlineLevel="0" collapsed="false">
      <c r="A459" s="7" t="s">
        <v>965</v>
      </c>
      <c r="B459" s="8" t="s">
        <v>961</v>
      </c>
      <c r="C459" s="8" t="n">
        <v>2014</v>
      </c>
      <c r="D459" s="9" t="s">
        <v>966</v>
      </c>
      <c r="E459" s="7" t="s">
        <v>125</v>
      </c>
      <c r="F459" s="10" t="n">
        <f aca="false">IF(ISBLANK($G459),,VLOOKUP($G459, Rarities!$A$1:$B869, 2, FALSE()))</f>
        <v>1</v>
      </c>
      <c r="G459" s="8" t="s">
        <v>17</v>
      </c>
      <c r="H459" s="8" t="str">
        <f aca="false">VLOOKUP(B459,Manufacturers!A$1:B869,2)</f>
        <v>US</v>
      </c>
      <c r="I459" s="11" t="n">
        <v>80000</v>
      </c>
      <c r="J459" s="8"/>
      <c r="K459" s="8" t="n">
        <v>1</v>
      </c>
      <c r="L459" s="12" t="n">
        <v>11</v>
      </c>
      <c r="M459" s="11" t="e">
        <f aca="false">IF(AND(ISNUMBER(L459),L459&gt;0),(3*J459+K459)*#REF!/L459,"-")</f>
        <v>#REF!</v>
      </c>
      <c r="N459" s="11" t="e">
        <f aca="false">IF(AND(#REF!,ISNUMBER(L459),L459&gt;0),((3*J459+K459)*#REF!-I459)/L459,"-")</f>
        <v>#REF!</v>
      </c>
      <c r="O459" s="8"/>
      <c r="P459" s="8"/>
    </row>
    <row r="460" customFormat="false" ht="15.75" hidden="false" customHeight="true" outlineLevel="0" collapsed="false">
      <c r="A460" s="7" t="s">
        <v>967</v>
      </c>
      <c r="B460" s="8" t="s">
        <v>961</v>
      </c>
      <c r="C460" s="8" t="n">
        <v>2016</v>
      </c>
      <c r="D460" s="9" t="s">
        <v>968</v>
      </c>
      <c r="E460" s="7" t="s">
        <v>72</v>
      </c>
      <c r="F460" s="10" t="n">
        <f aca="false">IF(ISBLANK($G460),,VLOOKUP($G460, Rarities!$A$1:$B869, 2, FALSE()))</f>
        <v>2</v>
      </c>
      <c r="G460" s="8" t="s">
        <v>36</v>
      </c>
      <c r="H460" s="8" t="str">
        <f aca="false">VLOOKUP(B460,Manufacturers!A$1:B869,2)</f>
        <v>US</v>
      </c>
      <c r="I460" s="11" t="n">
        <v>75000</v>
      </c>
      <c r="J460" s="8" t="n">
        <v>1</v>
      </c>
      <c r="K460" s="8"/>
      <c r="L460" s="12" t="n">
        <v>20</v>
      </c>
      <c r="M460" s="11" t="e">
        <f aca="false">IF(AND(ISNUMBER(L460),L460&gt;0),(3*J460+K460)*#REF!/L460,"-")</f>
        <v>#REF!</v>
      </c>
      <c r="N460" s="11" t="e">
        <f aca="false">IF(AND(#REF!,ISNUMBER(L460),L460&gt;0),((3*J460+K460)*#REF!-I460)/L460,"-")</f>
        <v>#REF!</v>
      </c>
      <c r="O460" s="8"/>
      <c r="P460" s="8"/>
    </row>
    <row r="461" customFormat="false" ht="15.75" hidden="false" customHeight="true" outlineLevel="0" collapsed="false">
      <c r="A461" s="7" t="s">
        <v>969</v>
      </c>
      <c r="B461" s="8" t="s">
        <v>961</v>
      </c>
      <c r="C461" s="8" t="n">
        <v>2018</v>
      </c>
      <c r="D461" s="9" t="s">
        <v>970</v>
      </c>
      <c r="E461" s="7" t="s">
        <v>125</v>
      </c>
      <c r="F461" s="10" t="n">
        <f aca="false">IF(ISBLANK($G461),,VLOOKUP($G461, Rarities!$A$1:$B869, 2, FALSE()))</f>
        <v>1</v>
      </c>
      <c r="G461" s="8" t="s">
        <v>17</v>
      </c>
      <c r="H461" s="8" t="str">
        <f aca="false">VLOOKUP(B461,Manufacturers!A$1:B869,2)</f>
        <v>US</v>
      </c>
      <c r="I461" s="11" t="n">
        <v>73000</v>
      </c>
      <c r="J461" s="8"/>
      <c r="K461" s="8" t="n">
        <v>1</v>
      </c>
      <c r="L461" s="12" t="n">
        <v>11</v>
      </c>
      <c r="M461" s="11" t="e">
        <f aca="false">IF(AND(ISNUMBER(L461),L461&gt;0),(3*J461+K461)*#REF!/L461,"-")</f>
        <v>#REF!</v>
      </c>
      <c r="N461" s="11" t="e">
        <f aca="false">IF(AND(#REF!,ISNUMBER(L461),L461&gt;0),((3*J461+K461)*#REF!-I461)/L461,"-")</f>
        <v>#REF!</v>
      </c>
      <c r="O461" s="8"/>
      <c r="P461" s="8"/>
    </row>
    <row r="462" customFormat="false" ht="15.75" hidden="false" customHeight="true" outlineLevel="0" collapsed="false">
      <c r="A462" s="7" t="s">
        <v>971</v>
      </c>
      <c r="B462" s="8" t="s">
        <v>961</v>
      </c>
      <c r="C462" s="8" t="n">
        <v>2020</v>
      </c>
      <c r="D462" s="9" t="s">
        <v>972</v>
      </c>
      <c r="E462" s="7" t="s">
        <v>353</v>
      </c>
      <c r="F462" s="10" t="n">
        <f aca="false">IF(ISBLANK($G462),,VLOOKUP($G462, Rarities!$A$1:$B869, 2, FALSE()))</f>
        <v>1</v>
      </c>
      <c r="G462" s="8" t="s">
        <v>17</v>
      </c>
      <c r="H462" s="8" t="str">
        <f aca="false">VLOOKUP(B462,Manufacturers!A$1:B869,2)</f>
        <v>US</v>
      </c>
      <c r="I462" s="11" t="n">
        <v>45000</v>
      </c>
      <c r="J462" s="8"/>
      <c r="K462" s="8"/>
      <c r="L462" s="12" t="s">
        <v>244</v>
      </c>
      <c r="M462" s="11" t="str">
        <f aca="false">IF(AND(ISNUMBER(L462),L462&gt;0),(3*J462+K462)*#REF!/L462,"-")</f>
        <v>-</v>
      </c>
      <c r="N462" s="11" t="e">
        <f aca="false">IF(AND(#REF!,ISNUMBER(L462),L462&gt;0),((3*J462+K462)*#REF!-I462)/L462,"-")</f>
        <v>#REF!</v>
      </c>
      <c r="O462" s="8"/>
      <c r="P462" s="8"/>
    </row>
    <row r="463" customFormat="false" ht="15.75" hidden="false" customHeight="true" outlineLevel="0" collapsed="false">
      <c r="A463" s="7" t="s">
        <v>973</v>
      </c>
      <c r="B463" s="8" t="s">
        <v>974</v>
      </c>
      <c r="C463" s="8" t="n">
        <v>2019</v>
      </c>
      <c r="D463" s="9" t="s">
        <v>975</v>
      </c>
      <c r="E463" s="7" t="s">
        <v>72</v>
      </c>
      <c r="F463" s="10" t="n">
        <f aca="false">IF(ISBLANK($G463),,VLOOKUP($G463, Rarities!$A$1:$B869, 2, FALSE()))</f>
        <v>3</v>
      </c>
      <c r="G463" s="8" t="s">
        <v>53</v>
      </c>
      <c r="H463" s="8" t="str">
        <f aca="false">VLOOKUP(B463,Manufacturers!A$1:B869,2)</f>
        <v>US</v>
      </c>
      <c r="I463" s="11" t="n">
        <v>350000</v>
      </c>
      <c r="J463" s="8"/>
      <c r="K463" s="8"/>
      <c r="L463" s="12"/>
      <c r="M463" s="11"/>
      <c r="N463" s="11"/>
      <c r="O463" s="8"/>
      <c r="P463" s="8"/>
    </row>
    <row r="464" customFormat="false" ht="15.75" hidden="false" customHeight="true" outlineLevel="0" collapsed="false">
      <c r="A464" s="7" t="s">
        <v>976</v>
      </c>
      <c r="B464" s="8" t="s">
        <v>974</v>
      </c>
      <c r="C464" s="8" t="n">
        <v>2020</v>
      </c>
      <c r="D464" s="9" t="s">
        <v>977</v>
      </c>
      <c r="E464" s="7" t="s">
        <v>67</v>
      </c>
      <c r="F464" s="10" t="n">
        <f aca="false">IF(ISBLANK($G464),,VLOOKUP($G464, Rarities!$A$1:$B869, 2, FALSE()))</f>
        <v>2</v>
      </c>
      <c r="G464" s="8" t="s">
        <v>36</v>
      </c>
      <c r="H464" s="8" t="str">
        <f aca="false">VLOOKUP(B464,Manufacturers!A$1:B869,2)</f>
        <v>US</v>
      </c>
      <c r="I464" s="11" t="n">
        <v>150000</v>
      </c>
      <c r="J464" s="8"/>
      <c r="K464" s="8"/>
      <c r="L464" s="12"/>
      <c r="M464" s="11"/>
      <c r="N464" s="11"/>
      <c r="O464" s="8"/>
      <c r="P464" s="8"/>
    </row>
    <row r="465" customFormat="false" ht="15.75" hidden="false" customHeight="true" outlineLevel="0" collapsed="false">
      <c r="A465" s="7" t="s">
        <v>978</v>
      </c>
      <c r="B465" s="8" t="s">
        <v>979</v>
      </c>
      <c r="C465" s="8" t="n">
        <v>2002</v>
      </c>
      <c r="D465" s="9" t="s">
        <v>980</v>
      </c>
      <c r="E465" s="7" t="s">
        <v>118</v>
      </c>
      <c r="F465" s="10" t="n">
        <f aca="false">IF(ISBLANK($G465),,VLOOKUP($G465, Rarities!$A$1:$B869, 2, FALSE()))</f>
        <v>3</v>
      </c>
      <c r="G465" s="8" t="s">
        <v>53</v>
      </c>
      <c r="H465" s="8" t="str">
        <f aca="false">VLOOKUP(B465,Manufacturers!A$1:B869,2)</f>
        <v>SE</v>
      </c>
      <c r="I465" s="11" t="n">
        <v>400000</v>
      </c>
      <c r="J465" s="8" t="n">
        <v>2</v>
      </c>
      <c r="K465" s="8" t="n">
        <v>1</v>
      </c>
      <c r="L465" s="12" t="n">
        <v>24</v>
      </c>
      <c r="M465" s="11" t="e">
        <f aca="false">IF(AND(ISNUMBER(L465),L465&gt;0),(3*J465+K465)*#REF!/L465,"-")</f>
        <v>#REF!</v>
      </c>
      <c r="N465" s="11" t="e">
        <f aca="false">IF(AND(#REF!,ISNUMBER(L465),L465&gt;0),((3*J465+K465)*#REF!-I465)/L465,"-")</f>
        <v>#REF!</v>
      </c>
      <c r="O465" s="8"/>
      <c r="P465" s="8"/>
    </row>
    <row r="466" customFormat="false" ht="15.75" hidden="false" customHeight="true" outlineLevel="0" collapsed="false">
      <c r="A466" s="7" t="s">
        <v>981</v>
      </c>
      <c r="B466" s="8" t="s">
        <v>979</v>
      </c>
      <c r="C466" s="8" t="n">
        <v>2006</v>
      </c>
      <c r="D466" s="9" t="s">
        <v>982</v>
      </c>
      <c r="E466" s="7" t="s">
        <v>118</v>
      </c>
      <c r="F466" s="10" t="n">
        <f aca="false">IF(ISBLANK($G466),,VLOOKUP($G466, Rarities!$A$1:$B869, 2, FALSE()))</f>
        <v>4</v>
      </c>
      <c r="G466" s="8" t="s">
        <v>41</v>
      </c>
      <c r="H466" s="8" t="str">
        <f aca="false">VLOOKUP(B466,Manufacturers!A$1:B869,2)</f>
        <v>SE</v>
      </c>
      <c r="I466" s="11" t="n">
        <v>600000</v>
      </c>
      <c r="J466" s="8"/>
      <c r="K466" s="8"/>
      <c r="L466" s="12"/>
      <c r="M466" s="11"/>
      <c r="N466" s="11"/>
      <c r="O466" s="8"/>
      <c r="P466" s="8"/>
    </row>
    <row r="467" customFormat="false" ht="15.75" hidden="false" customHeight="true" outlineLevel="0" collapsed="false">
      <c r="A467" s="7" t="s">
        <v>983</v>
      </c>
      <c r="B467" s="8" t="s">
        <v>979</v>
      </c>
      <c r="C467" s="8" t="n">
        <v>2008</v>
      </c>
      <c r="D467" s="9" t="s">
        <v>984</v>
      </c>
      <c r="E467" s="7" t="s">
        <v>86</v>
      </c>
      <c r="F467" s="10" t="n">
        <f aca="false">IF(ISBLANK($G467),,VLOOKUP($G467, Rarities!$A$1:$B869, 2, FALSE()))</f>
        <v>4</v>
      </c>
      <c r="G467" s="8" t="s">
        <v>41</v>
      </c>
      <c r="H467" s="8" t="str">
        <f aca="false">VLOOKUP(B467,Manufacturers!A$1:B869,2)</f>
        <v>SE</v>
      </c>
      <c r="I467" s="11" t="n">
        <v>1000000</v>
      </c>
      <c r="J467" s="8"/>
      <c r="K467" s="8" t="n">
        <v>2</v>
      </c>
      <c r="L467" s="12" t="n">
        <v>11</v>
      </c>
      <c r="M467" s="11" t="e">
        <f aca="false">IF(AND(ISNUMBER(L467),L467&gt;0),(3*J467+K467)*#REF!/L467,"-")</f>
        <v>#REF!</v>
      </c>
      <c r="N467" s="11" t="e">
        <f aca="false">IF(AND(#REF!,ISNUMBER(L467),L467&gt;0),((3*J467+K467)*#REF!-I467)/L467,"-")</f>
        <v>#REF!</v>
      </c>
      <c r="O467" s="8"/>
      <c r="P467" s="8"/>
    </row>
    <row r="468" customFormat="false" ht="15.75" hidden="false" customHeight="true" outlineLevel="0" collapsed="false">
      <c r="A468" s="7" t="s">
        <v>985</v>
      </c>
      <c r="B468" s="8" t="s">
        <v>979</v>
      </c>
      <c r="C468" s="8" t="n">
        <v>2011</v>
      </c>
      <c r="D468" s="9" t="s">
        <v>986</v>
      </c>
      <c r="E468" s="7" t="s">
        <v>118</v>
      </c>
      <c r="F468" s="10" t="n">
        <f aca="false">IF(ISBLANK($G468),,VLOOKUP($G468, Rarities!$A$1:$B869, 2, FALSE()))</f>
        <v>4</v>
      </c>
      <c r="G468" s="8" t="s">
        <v>41</v>
      </c>
      <c r="H468" s="8" t="str">
        <f aca="false">VLOOKUP(B468,Manufacturers!A$1:B869,2)</f>
        <v>SE</v>
      </c>
      <c r="I468" s="11" t="n">
        <v>1500000</v>
      </c>
      <c r="J468" s="8"/>
      <c r="K468" s="8"/>
      <c r="L468" s="12"/>
      <c r="M468" s="11"/>
      <c r="N468" s="11"/>
      <c r="O468" s="8"/>
      <c r="P468" s="8"/>
    </row>
    <row r="469" customFormat="false" ht="15.75" hidden="false" customHeight="true" outlineLevel="0" collapsed="false">
      <c r="A469" s="7" t="s">
        <v>987</v>
      </c>
      <c r="B469" s="8" t="s">
        <v>979</v>
      </c>
      <c r="C469" s="8" t="n">
        <v>2015</v>
      </c>
      <c r="D469" s="9" t="s">
        <v>988</v>
      </c>
      <c r="E469" s="7" t="s">
        <v>118</v>
      </c>
      <c r="F469" s="10" t="n">
        <f aca="false">IF(ISBLANK($G469),,VLOOKUP($G469, Rarities!$A$1:$B869, 2, FALSE()))</f>
        <v>4</v>
      </c>
      <c r="G469" s="8" t="s">
        <v>41</v>
      </c>
      <c r="H469" s="8" t="str">
        <f aca="false">VLOOKUP(B469,Manufacturers!A$1:B869,2)</f>
        <v>SE</v>
      </c>
      <c r="I469" s="11" t="n">
        <v>2800000</v>
      </c>
      <c r="J469" s="8" t="n">
        <v>2</v>
      </c>
      <c r="K469" s="8" t="n">
        <v>1</v>
      </c>
      <c r="L469" s="12" t="n">
        <v>21</v>
      </c>
      <c r="M469" s="11" t="e">
        <f aca="false">IF(AND(ISNUMBER(L469),L469&gt;0),(3*J469+K469)*#REF!/L469,"-")</f>
        <v>#REF!</v>
      </c>
      <c r="N469" s="11" t="e">
        <f aca="false">IF(AND(#REF!,ISNUMBER(L469),L469&gt;0),((3*J469+K469)*#REF!-I469)/L469,"-")</f>
        <v>#REF!</v>
      </c>
      <c r="O469" s="8"/>
      <c r="P469" s="8"/>
    </row>
    <row r="470" customFormat="false" ht="15.75" hidden="false" customHeight="true" outlineLevel="0" collapsed="false">
      <c r="A470" s="7" t="s">
        <v>989</v>
      </c>
      <c r="B470" s="8" t="s">
        <v>979</v>
      </c>
      <c r="C470" s="8" t="n">
        <v>2016</v>
      </c>
      <c r="D470" s="9" t="s">
        <v>989</v>
      </c>
      <c r="E470" s="7" t="s">
        <v>118</v>
      </c>
      <c r="F470" s="10" t="n">
        <f aca="false">IF(ISBLANK($G470),,VLOOKUP($G470, Rarities!$A$1:$B869, 2, FALSE()))</f>
        <v>4</v>
      </c>
      <c r="G470" s="8" t="s">
        <v>41</v>
      </c>
      <c r="H470" s="8" t="str">
        <f aca="false">VLOOKUP(B470,Manufacturers!A$1:B869,2)</f>
        <v>SE</v>
      </c>
      <c r="I470" s="11" t="n">
        <v>1900000</v>
      </c>
      <c r="J470" s="8" t="n">
        <v>1</v>
      </c>
      <c r="K470" s="8" t="n">
        <v>1</v>
      </c>
      <c r="L470" s="12" t="n">
        <v>14</v>
      </c>
      <c r="M470" s="11" t="e">
        <f aca="false">IF(AND(ISNUMBER(L470),L470&gt;0),(3*J470+K470)*#REF!/L470,"-")</f>
        <v>#REF!</v>
      </c>
      <c r="N470" s="11" t="e">
        <f aca="false">IF(AND(#REF!,ISNUMBER(L470),L470&gt;0),((3*J470+K470)*#REF!-I470)/L470,"-")</f>
        <v>#REF!</v>
      </c>
      <c r="O470" s="8"/>
      <c r="P470" s="8"/>
    </row>
    <row r="471" customFormat="false" ht="15.75" hidden="false" customHeight="true" outlineLevel="0" collapsed="false">
      <c r="A471" s="7" t="s">
        <v>990</v>
      </c>
      <c r="B471" s="8" t="s">
        <v>979</v>
      </c>
      <c r="C471" s="8" t="n">
        <v>2017</v>
      </c>
      <c r="D471" s="9" t="s">
        <v>990</v>
      </c>
      <c r="E471" s="7" t="s">
        <v>118</v>
      </c>
      <c r="F471" s="10" t="n">
        <f aca="false">IF(ISBLANK($G471),,VLOOKUP($G471, Rarities!$A$1:$B869, 2, FALSE()))</f>
        <v>4</v>
      </c>
      <c r="G471" s="8" t="s">
        <v>41</v>
      </c>
      <c r="H471" s="8" t="str">
        <f aca="false">VLOOKUP(B471,Manufacturers!A$1:B869,2)</f>
        <v>SE</v>
      </c>
      <c r="I471" s="11" t="n">
        <v>2000000</v>
      </c>
      <c r="J471" s="8" t="n">
        <v>2</v>
      </c>
      <c r="K471" s="8" t="n">
        <v>1</v>
      </c>
      <c r="L471" s="12" t="n">
        <v>21</v>
      </c>
      <c r="M471" s="11" t="e">
        <f aca="false">IF(AND(ISNUMBER(L471),L471&gt;0),(3*J471+K471)*#REF!/L471,"-")</f>
        <v>#REF!</v>
      </c>
      <c r="N471" s="11" t="e">
        <f aca="false">IF(AND(#REF!,ISNUMBER(L471),L471&gt;0),((3*J471+K471)*#REF!-I471)/L471,"-")</f>
        <v>#REF!</v>
      </c>
      <c r="O471" s="8"/>
      <c r="P471" s="8"/>
    </row>
    <row r="472" customFormat="false" ht="15.75" hidden="false" customHeight="true" outlineLevel="0" collapsed="false">
      <c r="A472" s="7" t="s">
        <v>991</v>
      </c>
      <c r="B472" s="8" t="s">
        <v>979</v>
      </c>
      <c r="C472" s="8" t="n">
        <v>2020</v>
      </c>
      <c r="D472" s="9" t="s">
        <v>992</v>
      </c>
      <c r="E472" s="7" t="s">
        <v>118</v>
      </c>
      <c r="F472" s="10" t="n">
        <f aca="false">IF(ISBLANK($G472),,VLOOKUP($G472, Rarities!$A$1:$B869, 2, FALSE()))</f>
        <v>4</v>
      </c>
      <c r="G472" s="8" t="s">
        <v>41</v>
      </c>
      <c r="H472" s="8" t="str">
        <f aca="false">VLOOKUP(B472,Manufacturers!A$1:B869,2)</f>
        <v>SE</v>
      </c>
      <c r="I472" s="11" t="n">
        <v>2800000</v>
      </c>
      <c r="J472" s="8" t="n">
        <v>1</v>
      </c>
      <c r="K472" s="8" t="n">
        <v>1</v>
      </c>
      <c r="L472" s="12" t="n">
        <v>14</v>
      </c>
      <c r="M472" s="11" t="e">
        <f aca="false">IF(AND(ISNUMBER(L472),L472&gt;0),(3*J472+K472)*#REF!/L472,"-")</f>
        <v>#REF!</v>
      </c>
      <c r="N472" s="11" t="e">
        <f aca="false">IF(AND(#REF!,ISNUMBER(L472),L472&gt;0),((3*J472+K472)*#REF!-I472)/L472,"-")</f>
        <v>#REF!</v>
      </c>
      <c r="O472" s="8"/>
      <c r="P472" s="8"/>
    </row>
    <row r="473" customFormat="false" ht="15.75" hidden="false" customHeight="true" outlineLevel="0" collapsed="false">
      <c r="A473" s="7" t="s">
        <v>993</v>
      </c>
      <c r="B473" s="8" t="s">
        <v>994</v>
      </c>
      <c r="C473" s="8" t="n">
        <v>2013</v>
      </c>
      <c r="D473" s="9" t="s">
        <v>995</v>
      </c>
      <c r="E473" s="7" t="s">
        <v>111</v>
      </c>
      <c r="F473" s="10" t="n">
        <f aca="false">IF(ISBLANK($G473),,VLOOKUP($G473, Rarities!$A$1:$B869, 2, FALSE()))</f>
        <v>2</v>
      </c>
      <c r="G473" s="8" t="s">
        <v>36</v>
      </c>
      <c r="H473" s="8" t="str">
        <f aca="false">VLOOKUP(B473,Manufacturers!A$1:B869,2)</f>
        <v>AT</v>
      </c>
      <c r="I473" s="11" t="n">
        <v>105000</v>
      </c>
      <c r="J473" s="8"/>
      <c r="K473" s="8"/>
      <c r="L473" s="12" t="s">
        <v>244</v>
      </c>
      <c r="M473" s="11" t="str">
        <f aca="false">IF(AND(ISNUMBER(L473),L473&gt;0),(3*J473+K473)*#REF!/L473,"-")</f>
        <v>-</v>
      </c>
      <c r="N473" s="11" t="e">
        <f aca="false">IF(AND(#REF!,ISNUMBER(L473),L473&gt;0),((3*J473+K473)*#REF!-I473)/L473,"-")</f>
        <v>#REF!</v>
      </c>
      <c r="O473" s="8"/>
      <c r="P473" s="8"/>
    </row>
    <row r="474" customFormat="false" ht="15.75" hidden="false" customHeight="true" outlineLevel="0" collapsed="false">
      <c r="A474" s="7" t="s">
        <v>996</v>
      </c>
      <c r="B474" s="8" t="s">
        <v>994</v>
      </c>
      <c r="C474" s="8" t="n">
        <v>2018</v>
      </c>
      <c r="D474" s="9" t="s">
        <v>997</v>
      </c>
      <c r="E474" s="7" t="s">
        <v>86</v>
      </c>
      <c r="F474" s="10" t="n">
        <f aca="false">IF(ISBLANK($G474),,VLOOKUP($G474, Rarities!$A$1:$B869, 2, FALSE()))</f>
        <v>3</v>
      </c>
      <c r="G474" s="8" t="s">
        <v>53</v>
      </c>
      <c r="H474" s="8" t="str">
        <f aca="false">VLOOKUP(B474,Manufacturers!A$1:B869,2)</f>
        <v>AT</v>
      </c>
      <c r="I474" s="11" t="n">
        <v>400000</v>
      </c>
      <c r="J474" s="8"/>
      <c r="K474" s="8"/>
      <c r="L474" s="12"/>
      <c r="M474" s="11"/>
      <c r="N474" s="11"/>
      <c r="O474" s="8"/>
      <c r="P474" s="8"/>
    </row>
    <row r="475" customFormat="false" ht="15.75" hidden="false" customHeight="true" outlineLevel="0" collapsed="false">
      <c r="A475" s="7" t="s">
        <v>998</v>
      </c>
      <c r="B475" s="8" t="s">
        <v>994</v>
      </c>
      <c r="C475" s="8" t="n">
        <v>2020</v>
      </c>
      <c r="D475" s="9" t="s">
        <v>998</v>
      </c>
      <c r="E475" s="7" t="s">
        <v>86</v>
      </c>
      <c r="F475" s="10" t="n">
        <f aca="false">IF(ISBLANK($G475),,VLOOKUP($G475, Rarities!$A$1:$B869, 2, FALSE()))</f>
        <v>3</v>
      </c>
      <c r="G475" s="8" t="s">
        <v>53</v>
      </c>
      <c r="H475" s="8" t="str">
        <f aca="false">VLOOKUP(B475,Manufacturers!A$1:B869,2)</f>
        <v>AT</v>
      </c>
      <c r="I475" s="11" t="n">
        <v>500000</v>
      </c>
      <c r="J475" s="8"/>
      <c r="K475" s="8"/>
      <c r="L475" s="12"/>
      <c r="M475" s="11"/>
      <c r="N475" s="11"/>
      <c r="O475" s="8"/>
      <c r="P475" s="8"/>
    </row>
    <row r="476" customFormat="false" ht="15.75" hidden="false" customHeight="true" outlineLevel="0" collapsed="false">
      <c r="A476" s="7" t="s">
        <v>999</v>
      </c>
      <c r="B476" s="8" t="s">
        <v>1000</v>
      </c>
      <c r="C476" s="8" t="n">
        <v>1967</v>
      </c>
      <c r="D476" s="9" t="s">
        <v>1001</v>
      </c>
      <c r="E476" s="7" t="s">
        <v>44</v>
      </c>
      <c r="F476" s="10" t="n">
        <f aca="false">IF(ISBLANK($G476),,VLOOKUP($G476, Rarities!$A$1:$B869, 2, FALSE()))</f>
        <v>4</v>
      </c>
      <c r="G476" s="8" t="s">
        <v>41</v>
      </c>
      <c r="H476" s="8" t="str">
        <f aca="false">VLOOKUP(B476,Manufacturers!A$1:B869,2)</f>
        <v>IT</v>
      </c>
      <c r="I476" s="11" t="n">
        <v>1000000</v>
      </c>
      <c r="J476" s="8" t="n">
        <v>2</v>
      </c>
      <c r="K476" s="8" t="n">
        <v>1</v>
      </c>
      <c r="L476" s="12" t="n">
        <v>23</v>
      </c>
      <c r="M476" s="11" t="e">
        <f aca="false">IF(AND(ISNUMBER(L476),L476&gt;0),(3*J476+K476)*#REF!/L476,"-")</f>
        <v>#REF!</v>
      </c>
      <c r="N476" s="11" t="e">
        <f aca="false">IF(AND(#REF!,ISNUMBER(L476),L476&gt;0),((3*J476+K476)*#REF!-I476)/L476,"-")</f>
        <v>#REF!</v>
      </c>
      <c r="O476" s="8"/>
      <c r="P476" s="8"/>
    </row>
    <row r="477" customFormat="false" ht="15.75" hidden="false" customHeight="true" outlineLevel="0" collapsed="false">
      <c r="A477" s="7" t="s">
        <v>1002</v>
      </c>
      <c r="B477" s="8" t="s">
        <v>1000</v>
      </c>
      <c r="C477" s="8" t="n">
        <v>1973</v>
      </c>
      <c r="D477" s="9" t="s">
        <v>1003</v>
      </c>
      <c r="E477" s="7" t="s">
        <v>215</v>
      </c>
      <c r="F477" s="10" t="n">
        <f aca="false">IF(ISBLANK($G477),,VLOOKUP($G477, Rarities!$A$1:$B869, 2, FALSE()))</f>
        <v>2</v>
      </c>
      <c r="G477" s="8" t="s">
        <v>36</v>
      </c>
      <c r="H477" s="8" t="str">
        <f aca="false">VLOOKUP(B477,Manufacturers!A$1:B869,2)</f>
        <v>IT</v>
      </c>
      <c r="I477" s="11" t="n">
        <v>110000</v>
      </c>
      <c r="J477" s="8"/>
      <c r="K477" s="8" t="n">
        <v>1</v>
      </c>
      <c r="L477" s="12" t="n">
        <v>9</v>
      </c>
      <c r="M477" s="11" t="e">
        <f aca="false">IF(AND(ISNUMBER(L477),L477&gt;0),(3*J477+K477)*#REF!/L477,"-")</f>
        <v>#REF!</v>
      </c>
      <c r="N477" s="11" t="e">
        <f aca="false">IF(AND(#REF!,ISNUMBER(L477),L477&gt;0),((3*J477+K477)*#REF!-I477)/L477,"-")</f>
        <v>#REF!</v>
      </c>
      <c r="O477" s="8"/>
      <c r="P477" s="8"/>
    </row>
    <row r="478" customFormat="false" ht="15.75" hidden="false" customHeight="true" outlineLevel="0" collapsed="false">
      <c r="A478" s="7" t="s">
        <v>1004</v>
      </c>
      <c r="B478" s="8" t="s">
        <v>1000</v>
      </c>
      <c r="C478" s="8" t="n">
        <v>1986</v>
      </c>
      <c r="D478" s="9" t="s">
        <v>1005</v>
      </c>
      <c r="E478" s="7" t="s">
        <v>353</v>
      </c>
      <c r="F478" s="10" t="n">
        <f aca="false">IF(ISBLANK($G478),,VLOOKUP($G478, Rarities!$A$1:$B869, 2, FALSE()))</f>
        <v>3</v>
      </c>
      <c r="G478" s="8" t="s">
        <v>53</v>
      </c>
      <c r="H478" s="8" t="str">
        <f aca="false">VLOOKUP(B478,Manufacturers!A$1:B869,2)</f>
        <v>IT</v>
      </c>
      <c r="I478" s="11" t="n">
        <v>180000</v>
      </c>
      <c r="J478" s="8" t="n">
        <v>1</v>
      </c>
      <c r="K478" s="8"/>
      <c r="L478" s="12" t="n">
        <v>20</v>
      </c>
      <c r="M478" s="11" t="e">
        <f aca="false">IF(AND(ISNUMBER(L478),L478&gt;0),(3*J478+K478)*#REF!/L478,"-")</f>
        <v>#REF!</v>
      </c>
      <c r="N478" s="11" t="e">
        <f aca="false">IF(AND(#REF!,ISNUMBER(L478),L478&gt;0),((3*J478+K478)*#REF!-I478)/L478,"-")</f>
        <v>#REF!</v>
      </c>
      <c r="O478" s="8"/>
      <c r="P478" s="8"/>
    </row>
    <row r="479" customFormat="false" ht="15.75" hidden="false" customHeight="true" outlineLevel="0" collapsed="false">
      <c r="A479" s="7" t="s">
        <v>1006</v>
      </c>
      <c r="B479" s="8" t="s">
        <v>1000</v>
      </c>
      <c r="C479" s="8" t="n">
        <v>1988</v>
      </c>
      <c r="D479" s="9" t="s">
        <v>1007</v>
      </c>
      <c r="E479" s="7" t="s">
        <v>215</v>
      </c>
      <c r="F479" s="10" t="n">
        <f aca="false">IF(ISBLANK($G479),,VLOOKUP($G479, Rarities!$A$1:$B869, 2, FALSE()))</f>
        <v>3</v>
      </c>
      <c r="G479" s="8" t="s">
        <v>53</v>
      </c>
      <c r="H479" s="8" t="str">
        <f aca="false">VLOOKUP(B479,Manufacturers!A$1:B869,2)</f>
        <v>IT</v>
      </c>
      <c r="I479" s="11" t="n">
        <v>220000</v>
      </c>
      <c r="J479" s="8"/>
      <c r="K479" s="8" t="n">
        <v>1</v>
      </c>
      <c r="L479" s="12" t="n">
        <v>9</v>
      </c>
      <c r="M479" s="11" t="e">
        <f aca="false">IF(AND(ISNUMBER(L479),L479&gt;0),(3*J479+K479)*#REF!/L479,"-")</f>
        <v>#REF!</v>
      </c>
      <c r="N479" s="11" t="e">
        <f aca="false">IF(AND(#REF!,ISNUMBER(L479),L479&gt;0),((3*J479+K479)*#REF!-I479)/L479,"-")</f>
        <v>#REF!</v>
      </c>
      <c r="O479" s="8"/>
      <c r="P479" s="8"/>
    </row>
    <row r="480" customFormat="false" ht="15.75" hidden="false" customHeight="true" outlineLevel="0" collapsed="false">
      <c r="A480" s="7" t="s">
        <v>1008</v>
      </c>
      <c r="B480" s="8" t="s">
        <v>1000</v>
      </c>
      <c r="C480" s="8" t="n">
        <v>1997</v>
      </c>
      <c r="D480" s="9" t="s">
        <v>1009</v>
      </c>
      <c r="E480" s="7" t="s">
        <v>215</v>
      </c>
      <c r="F480" s="10" t="n">
        <f aca="false">IF(ISBLANK($G480),,VLOOKUP($G480, Rarities!$A$1:$B869, 2, FALSE()))</f>
        <v>3</v>
      </c>
      <c r="G480" s="8" t="s">
        <v>53</v>
      </c>
      <c r="H480" s="8" t="str">
        <f aca="false">VLOOKUP(B480,Manufacturers!A$1:B869,2)</f>
        <v>IT</v>
      </c>
      <c r="I480" s="11" t="n">
        <v>174000</v>
      </c>
      <c r="J480" s="8"/>
      <c r="K480" s="8" t="n">
        <v>1</v>
      </c>
      <c r="L480" s="12" t="n">
        <v>9</v>
      </c>
      <c r="M480" s="11" t="e">
        <f aca="false">IF(AND(ISNUMBER(L480),L480&gt;0),(3*J480+K480)*#REF!/L480,"-")</f>
        <v>#REF!</v>
      </c>
      <c r="N480" s="11" t="e">
        <f aca="false">IF(AND(#REF!,ISNUMBER(L480),L480&gt;0),((3*J480+K480)*#REF!-I480)/L480,"-")</f>
        <v>#REF!</v>
      </c>
      <c r="O480" s="8"/>
      <c r="P480" s="8"/>
    </row>
    <row r="481" customFormat="false" ht="15.75" hidden="false" customHeight="true" outlineLevel="0" collapsed="false">
      <c r="A481" s="7" t="s">
        <v>1010</v>
      </c>
      <c r="B481" s="8" t="s">
        <v>1000</v>
      </c>
      <c r="C481" s="8" t="n">
        <v>1999</v>
      </c>
      <c r="D481" s="9" t="s">
        <v>1010</v>
      </c>
      <c r="E481" s="7" t="s">
        <v>86</v>
      </c>
      <c r="F481" s="10" t="n">
        <f aca="false">IF(ISBLANK($G481),,VLOOKUP($G481, Rarities!$A$1:$B869, 2, FALSE()))</f>
        <v>3</v>
      </c>
      <c r="G481" s="8" t="s">
        <v>53</v>
      </c>
      <c r="H481" s="8" t="str">
        <f aca="false">VLOOKUP(B481,Manufacturers!A$1:B869,2)</f>
        <v>IT</v>
      </c>
      <c r="I481" s="11" t="n">
        <v>1000000</v>
      </c>
      <c r="J481" s="8"/>
      <c r="K481" s="8" t="n">
        <v>1</v>
      </c>
      <c r="L481" s="12" t="n">
        <v>9</v>
      </c>
      <c r="M481" s="11" t="e">
        <f aca="false">IF(AND(ISNUMBER(L481),L481&gt;0),(3*J481+K481)*#REF!/L481,"-")</f>
        <v>#REF!</v>
      </c>
      <c r="N481" s="11" t="e">
        <f aca="false">IF(AND(#REF!,ISNUMBER(L481),L481&gt;0),((3*J481+K481)*#REF!-I481)/L481,"-")</f>
        <v>#REF!</v>
      </c>
      <c r="O481" s="8"/>
      <c r="P481" s="8"/>
    </row>
    <row r="482" customFormat="false" ht="15.75" hidden="false" customHeight="true" outlineLevel="0" collapsed="false">
      <c r="A482" s="7" t="s">
        <v>1011</v>
      </c>
      <c r="B482" s="8" t="s">
        <v>1000</v>
      </c>
      <c r="C482" s="8" t="n">
        <v>2008</v>
      </c>
      <c r="D482" s="9" t="s">
        <v>1012</v>
      </c>
      <c r="E482" s="7" t="s">
        <v>35</v>
      </c>
      <c r="F482" s="10" t="n">
        <f aca="false">IF(ISBLANK($G482),,VLOOKUP($G482, Rarities!$A$1:$B869, 2, FALSE()))</f>
        <v>4</v>
      </c>
      <c r="G482" s="8" t="s">
        <v>41</v>
      </c>
      <c r="H482" s="8" t="str">
        <f aca="false">VLOOKUP(B482,Manufacturers!A$1:B869,2)</f>
        <v>IT</v>
      </c>
      <c r="I482" s="11" t="n">
        <v>1375000</v>
      </c>
      <c r="J482" s="8"/>
      <c r="K482" s="8" t="n">
        <v>1</v>
      </c>
      <c r="L482" s="12" t="n">
        <v>9</v>
      </c>
      <c r="M482" s="11" t="e">
        <f aca="false">IF(AND(ISNUMBER(L482),L482&gt;0),(3*J482+K482)*#REF!/L482,"-")</f>
        <v>#REF!</v>
      </c>
      <c r="N482" s="11" t="e">
        <f aca="false">IF(AND(#REF!,ISNUMBER(L482),L482&gt;0),((3*J482+K482)*#REF!-I482)/L482,"-")</f>
        <v>#REF!</v>
      </c>
      <c r="O482" s="8"/>
      <c r="P482" s="8"/>
    </row>
    <row r="483" customFormat="false" ht="15.75" hidden="false" customHeight="true" outlineLevel="0" collapsed="false">
      <c r="A483" s="7" t="s">
        <v>1013</v>
      </c>
      <c r="B483" s="8" t="s">
        <v>1000</v>
      </c>
      <c r="C483" s="8" t="n">
        <v>2010</v>
      </c>
      <c r="D483" s="14" t="s">
        <v>1014</v>
      </c>
      <c r="E483" s="7" t="s">
        <v>35</v>
      </c>
      <c r="F483" s="10" t="n">
        <f aca="false">IF(ISBLANK($G483),,VLOOKUP($G483, Rarities!$A$1:$B869, 2, FALSE()))</f>
        <v>3</v>
      </c>
      <c r="G483" s="8" t="s">
        <v>53</v>
      </c>
      <c r="H483" s="8" t="str">
        <f aca="false">VLOOKUP(B483,Manufacturers!A$1:B869,2)</f>
        <v>IT</v>
      </c>
      <c r="I483" s="11" t="n">
        <v>500000</v>
      </c>
      <c r="J483" s="8" t="n">
        <v>1</v>
      </c>
      <c r="K483" s="8"/>
      <c r="L483" s="12" t="n">
        <v>10</v>
      </c>
      <c r="M483" s="11" t="e">
        <f aca="false">IF(AND(ISNUMBER(L483),L483&gt;0),(3*J483+K483)*#REF!/L483,"-")</f>
        <v>#REF!</v>
      </c>
      <c r="N483" s="11" t="e">
        <f aca="false">IF(AND(#REF!,ISNUMBER(L483),L483&gt;0),((3*J483+K483)*#REF!-I483)/L483,"-")</f>
        <v>#REF!</v>
      </c>
      <c r="O483" s="8"/>
      <c r="P483" s="8"/>
    </row>
    <row r="484" customFormat="false" ht="15.75" hidden="false" customHeight="true" outlineLevel="0" collapsed="false">
      <c r="A484" s="7" t="s">
        <v>1015</v>
      </c>
      <c r="B484" s="8" t="s">
        <v>1000</v>
      </c>
      <c r="C484" s="8" t="n">
        <v>2011</v>
      </c>
      <c r="D484" s="9" t="s">
        <v>1016</v>
      </c>
      <c r="E484" s="7" t="s">
        <v>86</v>
      </c>
      <c r="F484" s="10" t="n">
        <f aca="false">IF(ISBLANK($G484),,VLOOKUP($G484, Rarities!$A$1:$B869, 2, FALSE()))</f>
        <v>5</v>
      </c>
      <c r="G484" s="8" t="s">
        <v>239</v>
      </c>
      <c r="H484" s="8" t="str">
        <f aca="false">VLOOKUP(B484,Manufacturers!A$1:B869,2)</f>
        <v>IT</v>
      </c>
      <c r="I484" s="11" t="n">
        <v>2750000</v>
      </c>
      <c r="J484" s="8"/>
      <c r="K484" s="8" t="n">
        <v>2</v>
      </c>
      <c r="L484" s="12" t="n">
        <v>13</v>
      </c>
      <c r="M484" s="11" t="e">
        <f aca="false">IF(AND(ISNUMBER(L484),L484&gt;0),(3*J484+K484)*#REF!/L484,"-")</f>
        <v>#REF!</v>
      </c>
      <c r="N484" s="11" t="e">
        <f aca="false">IF(AND(#REF!,ISNUMBER(L484),L484&gt;0),((3*J484+K484)*#REF!-I484)/L484,"-")</f>
        <v>#REF!</v>
      </c>
      <c r="O484" s="8"/>
      <c r="P484" s="8"/>
    </row>
    <row r="485" customFormat="false" ht="15.75" hidden="false" customHeight="true" outlineLevel="0" collapsed="false">
      <c r="A485" s="7" t="s">
        <v>1017</v>
      </c>
      <c r="B485" s="8" t="s">
        <v>1000</v>
      </c>
      <c r="C485" s="8" t="n">
        <v>2011</v>
      </c>
      <c r="D485" s="9" t="s">
        <v>1018</v>
      </c>
      <c r="E485" s="7" t="s">
        <v>86</v>
      </c>
      <c r="F485" s="10" t="n">
        <f aca="false">IF(ISBLANK($G485),,VLOOKUP($G485, Rarities!$A$1:$B869, 2, FALSE()))</f>
        <v>4</v>
      </c>
      <c r="G485" s="8" t="s">
        <v>41</v>
      </c>
      <c r="H485" s="8" t="str">
        <f aca="false">VLOOKUP(B485,Manufacturers!A$1:B869,2)</f>
        <v>IT</v>
      </c>
      <c r="I485" s="11" t="n">
        <v>2500000</v>
      </c>
      <c r="J485" s="8"/>
      <c r="K485" s="8" t="n">
        <v>2</v>
      </c>
      <c r="L485" s="12" t="n">
        <v>11</v>
      </c>
      <c r="M485" s="11" t="e">
        <f aca="false">IF(AND(ISNUMBER(L485),L485&gt;0),(3*J485+K485)*#REF!/L485,"-")</f>
        <v>#REF!</v>
      </c>
      <c r="N485" s="11" t="e">
        <f aca="false">IF(AND(#REF!,ISNUMBER(L485),L485&gt;0),((3*J485+K485)*#REF!-I485)/L485,"-")</f>
        <v>#REF!</v>
      </c>
      <c r="O485" s="8"/>
      <c r="P485" s="8"/>
    </row>
    <row r="486" customFormat="false" ht="15.75" hidden="false" customHeight="true" outlineLevel="0" collapsed="false">
      <c r="A486" s="7" t="s">
        <v>1019</v>
      </c>
      <c r="B486" s="8" t="s">
        <v>1000</v>
      </c>
      <c r="C486" s="8" t="n">
        <v>2011</v>
      </c>
      <c r="D486" s="9" t="s">
        <v>1020</v>
      </c>
      <c r="E486" s="7" t="s">
        <v>35</v>
      </c>
      <c r="F486" s="10" t="n">
        <f aca="false">IF(ISBLANK($G486),,VLOOKUP($G486, Rarities!$A$1:$B869, 2, FALSE()))</f>
        <v>3</v>
      </c>
      <c r="G486" s="8" t="s">
        <v>53</v>
      </c>
      <c r="H486" s="8" t="str">
        <f aca="false">VLOOKUP(B486,Manufacturers!A$1:B869,2)</f>
        <v>IT</v>
      </c>
      <c r="I486" s="11" t="n">
        <v>280000</v>
      </c>
      <c r="J486" s="8"/>
      <c r="K486" s="8" t="n">
        <v>1</v>
      </c>
      <c r="L486" s="12" t="n">
        <v>9</v>
      </c>
      <c r="M486" s="11" t="e">
        <f aca="false">IF(AND(ISNUMBER(L486),L486&gt;0),(3*J486+K486)*#REF!/L486,"-")</f>
        <v>#REF!</v>
      </c>
      <c r="N486" s="11" t="e">
        <f aca="false">IF(AND(#REF!,ISNUMBER(L486),L486&gt;0),((3*J486+K486)*#REF!-I486)/L486,"-")</f>
        <v>#REF!</v>
      </c>
      <c r="O486" s="8"/>
      <c r="P486" s="8"/>
    </row>
    <row r="487" customFormat="false" ht="15.75" hidden="false" customHeight="true" outlineLevel="0" collapsed="false">
      <c r="A487" s="7" t="s">
        <v>1021</v>
      </c>
      <c r="B487" s="8" t="s">
        <v>1000</v>
      </c>
      <c r="C487" s="8" t="n">
        <v>2012</v>
      </c>
      <c r="D487" s="9" t="s">
        <v>1021</v>
      </c>
      <c r="E487" s="7" t="s">
        <v>118</v>
      </c>
      <c r="F487" s="10" t="n">
        <f aca="false">IF(ISBLANK($G487),,VLOOKUP($G487, Rarities!$A$1:$B869, 2, FALSE()))</f>
        <v>3</v>
      </c>
      <c r="G487" s="8" t="s">
        <v>53</v>
      </c>
      <c r="H487" s="8" t="str">
        <f aca="false">VLOOKUP(B487,Manufacturers!A$1:B869,2)</f>
        <v>IT</v>
      </c>
      <c r="I487" s="11" t="n">
        <v>2700000</v>
      </c>
      <c r="J487" s="8"/>
      <c r="K487" s="8" t="n">
        <v>1</v>
      </c>
      <c r="L487" s="12" t="n">
        <v>9</v>
      </c>
      <c r="M487" s="11" t="e">
        <f aca="false">IF(AND(ISNUMBER(L487),L487&gt;0),(3*J487+K487)*#REF!/L487,"-")</f>
        <v>#REF!</v>
      </c>
      <c r="N487" s="11" t="e">
        <f aca="false">IF(AND(#REF!,ISNUMBER(L487),L487&gt;0),((3*J487+K487)*#REF!-I487)/L487,"-")</f>
        <v>#REF!</v>
      </c>
      <c r="O487" s="8"/>
      <c r="P487" s="8"/>
    </row>
    <row r="488" customFormat="false" ht="15.75" hidden="false" customHeight="true" outlineLevel="0" collapsed="false">
      <c r="A488" s="7" t="s">
        <v>1022</v>
      </c>
      <c r="B488" s="8" t="s">
        <v>1000</v>
      </c>
      <c r="C488" s="8" t="n">
        <v>2012</v>
      </c>
      <c r="D488" s="9" t="s">
        <v>1023</v>
      </c>
      <c r="E488" s="7" t="s">
        <v>118</v>
      </c>
      <c r="F488" s="10" t="n">
        <f aca="false">IF(ISBLANK($G488),,VLOOKUP($G488, Rarities!$A$1:$B869, 2, FALSE()))</f>
        <v>3</v>
      </c>
      <c r="G488" s="8" t="s">
        <v>53</v>
      </c>
      <c r="H488" s="8" t="str">
        <f aca="false">VLOOKUP(B488,Manufacturers!A$1:B869,2)</f>
        <v>IT</v>
      </c>
      <c r="I488" s="11" t="n">
        <v>380000</v>
      </c>
      <c r="J488" s="8"/>
      <c r="K488" s="8" t="n">
        <v>1</v>
      </c>
      <c r="L488" s="12" t="n">
        <v>9</v>
      </c>
      <c r="M488" s="11" t="e">
        <f aca="false">IF(AND(ISNUMBER(L488),L488&gt;0),(3*J488+K488)*#REF!/L488,"-")</f>
        <v>#REF!</v>
      </c>
      <c r="N488" s="11" t="e">
        <f aca="false">IF(AND(#REF!,ISNUMBER(L488),L488&gt;0),((3*J488+K488)*#REF!-I488)/L488,"-")</f>
        <v>#REF!</v>
      </c>
      <c r="O488" s="8"/>
      <c r="P488" s="8"/>
    </row>
    <row r="489" customFormat="false" ht="15.75" hidden="false" customHeight="true" outlineLevel="0" collapsed="false">
      <c r="A489" s="7" t="s">
        <v>1024</v>
      </c>
      <c r="B489" s="8" t="s">
        <v>1000</v>
      </c>
      <c r="C489" s="8" t="n">
        <v>2012</v>
      </c>
      <c r="D489" s="9" t="s">
        <v>1025</v>
      </c>
      <c r="E489" s="7" t="s">
        <v>35</v>
      </c>
      <c r="F489" s="10" t="n">
        <f aca="false">IF(ISBLANK($G489),,VLOOKUP($G489, Rarities!$A$1:$B869, 2, FALSE()))</f>
        <v>3</v>
      </c>
      <c r="G489" s="8" t="s">
        <v>53</v>
      </c>
      <c r="H489" s="8" t="str">
        <f aca="false">VLOOKUP(B489,Manufacturers!A$1:B869,2)</f>
        <v>IT</v>
      </c>
      <c r="I489" s="11" t="n">
        <v>280000</v>
      </c>
      <c r="J489" s="8"/>
      <c r="K489" s="8" t="n">
        <v>1</v>
      </c>
      <c r="L489" s="12" t="n">
        <v>9</v>
      </c>
      <c r="M489" s="11" t="e">
        <f aca="false">IF(AND(ISNUMBER(L489),L489&gt;0),(3*J489+K489)*#REF!/L489,"-")</f>
        <v>#REF!</v>
      </c>
      <c r="N489" s="11" t="e">
        <f aca="false">IF(AND(#REF!,ISNUMBER(L489),L489&gt;0),((3*J489+K489)*#REF!-I489)/L489,"-")</f>
        <v>#REF!</v>
      </c>
      <c r="O489" s="8"/>
      <c r="P489" s="8"/>
    </row>
    <row r="490" customFormat="false" ht="15.75" hidden="false" customHeight="true" outlineLevel="0" collapsed="false">
      <c r="A490" s="7" t="s">
        <v>1026</v>
      </c>
      <c r="B490" s="8" t="s">
        <v>1000</v>
      </c>
      <c r="C490" s="8" t="n">
        <v>2013</v>
      </c>
      <c r="D490" s="9" t="s">
        <v>1027</v>
      </c>
      <c r="E490" s="7" t="s">
        <v>118</v>
      </c>
      <c r="F490" s="10" t="n">
        <f aca="false">IF(ISBLANK($G490),,VLOOKUP($G490, Rarities!$A$1:$B869, 2, FALSE()))</f>
        <v>4</v>
      </c>
      <c r="G490" s="8" t="s">
        <v>41</v>
      </c>
      <c r="H490" s="8" t="str">
        <f aca="false">VLOOKUP(B490,Manufacturers!A$1:B869,2)</f>
        <v>IT</v>
      </c>
      <c r="I490" s="11" t="n">
        <v>3000000</v>
      </c>
      <c r="J490" s="8" t="n">
        <v>2</v>
      </c>
      <c r="K490" s="8" t="n">
        <v>1</v>
      </c>
      <c r="L490" s="12" t="n">
        <v>24</v>
      </c>
      <c r="M490" s="11" t="e">
        <f aca="false">IF(AND(ISNUMBER(L490),L490&gt;0),(3*J490+K490)*#REF!/L490,"-")</f>
        <v>#REF!</v>
      </c>
      <c r="N490" s="11" t="e">
        <f aca="false">IF(AND(#REF!,ISNUMBER(L490),L490&gt;0),((3*J490+K490)*#REF!-I490)/L490,"-")</f>
        <v>#REF!</v>
      </c>
      <c r="O490" s="8"/>
      <c r="P490" s="8"/>
    </row>
    <row r="491" customFormat="false" ht="15.75" hidden="false" customHeight="true" outlineLevel="0" collapsed="false">
      <c r="A491" s="7" t="s">
        <v>1028</v>
      </c>
      <c r="B491" s="8" t="s">
        <v>1000</v>
      </c>
      <c r="C491" s="8" t="n">
        <v>2014</v>
      </c>
      <c r="D491" s="9" t="s">
        <v>1029</v>
      </c>
      <c r="E491" s="7" t="s">
        <v>35</v>
      </c>
      <c r="F491" s="10" t="n">
        <f aca="false">IF(ISBLANK($G491),,VLOOKUP($G491, Rarities!$A$1:$B869, 2, FALSE()))</f>
        <v>3</v>
      </c>
      <c r="G491" s="8" t="s">
        <v>53</v>
      </c>
      <c r="H491" s="8" t="str">
        <f aca="false">VLOOKUP(B491,Manufacturers!A$1:B869,2)</f>
        <v>IT</v>
      </c>
      <c r="I491" s="11" t="n">
        <v>240000</v>
      </c>
      <c r="J491" s="8"/>
      <c r="K491" s="8" t="n">
        <v>1</v>
      </c>
      <c r="L491" s="12" t="n">
        <v>9</v>
      </c>
      <c r="M491" s="11" t="e">
        <f aca="false">IF(AND(ISNUMBER(L491),L491&gt;0),(3*J491+K491)*#REF!/L491,"-")</f>
        <v>#REF!</v>
      </c>
      <c r="N491" s="11" t="e">
        <f aca="false">IF(AND(#REF!,ISNUMBER(L491),L491&gt;0),((3*J491+K491)*#REF!-I491)/L491,"-")</f>
        <v>#REF!</v>
      </c>
      <c r="O491" s="8"/>
      <c r="P491" s="8"/>
    </row>
    <row r="492" customFormat="false" ht="15.75" hidden="false" customHeight="true" outlineLevel="0" collapsed="false">
      <c r="A492" s="7" t="s">
        <v>1030</v>
      </c>
      <c r="B492" s="8" t="s">
        <v>1000</v>
      </c>
      <c r="C492" s="8" t="n">
        <v>2016</v>
      </c>
      <c r="D492" s="9" t="s">
        <v>1031</v>
      </c>
      <c r="E492" s="7" t="s">
        <v>118</v>
      </c>
      <c r="F492" s="10" t="n">
        <f aca="false">IF(ISBLANK($G492),,VLOOKUP($G492, Rarities!$A$1:$B869, 2, FALSE()))</f>
        <v>4</v>
      </c>
      <c r="G492" s="8" t="s">
        <v>41</v>
      </c>
      <c r="H492" s="8" t="str">
        <f aca="false">VLOOKUP(B492,Manufacturers!A$1:B869,2)</f>
        <v>IT</v>
      </c>
      <c r="I492" s="11" t="n">
        <v>2300000</v>
      </c>
      <c r="J492" s="8"/>
      <c r="K492" s="8" t="n">
        <v>1</v>
      </c>
      <c r="L492" s="12" t="n">
        <v>9</v>
      </c>
      <c r="M492" s="11" t="e">
        <f aca="false">IF(AND(ISNUMBER(L492),L492&gt;0),(3*J492+K492)*#REF!/L492,"-")</f>
        <v>#REF!</v>
      </c>
      <c r="N492" s="11" t="e">
        <f aca="false">IF(AND(#REF!,ISNUMBER(L492),L492&gt;0),((3*J492+K492)*#REF!-I492)/L492,"-")</f>
        <v>#REF!</v>
      </c>
      <c r="O492" s="8"/>
      <c r="P492" s="8"/>
    </row>
    <row r="493" customFormat="false" ht="15.75" hidden="false" customHeight="true" outlineLevel="0" collapsed="false">
      <c r="A493" s="7" t="s">
        <v>1032</v>
      </c>
      <c r="B493" s="8" t="s">
        <v>1000</v>
      </c>
      <c r="C493" s="8" t="n">
        <v>2016</v>
      </c>
      <c r="D493" s="9" t="s">
        <v>1033</v>
      </c>
      <c r="E493" s="7" t="s">
        <v>118</v>
      </c>
      <c r="F493" s="10" t="n">
        <f aca="false">IF(ISBLANK($G493),,VLOOKUP($G493, Rarities!$A$1:$B869, 2, FALSE()))</f>
        <v>3</v>
      </c>
      <c r="G493" s="8" t="s">
        <v>53</v>
      </c>
      <c r="H493" s="8" t="str">
        <f aca="false">VLOOKUP(B493,Manufacturers!A$1:B869,2)</f>
        <v>IT</v>
      </c>
      <c r="I493" s="11" t="n">
        <v>480000</v>
      </c>
      <c r="J493" s="8"/>
      <c r="K493" s="8" t="n">
        <v>1</v>
      </c>
      <c r="L493" s="12" t="n">
        <v>9</v>
      </c>
      <c r="M493" s="11" t="e">
        <f aca="false">IF(AND(ISNUMBER(L493),L493&gt;0),(3*J493+K493)*#REF!/L493,"-")</f>
        <v>#REF!</v>
      </c>
      <c r="N493" s="11" t="e">
        <f aca="false">IF(AND(#REF!,ISNUMBER(L493),L493&gt;0),((3*J493+K493)*#REF!-I493)/L493,"-")</f>
        <v>#REF!</v>
      </c>
      <c r="O493" s="8"/>
      <c r="P493" s="8"/>
    </row>
    <row r="494" customFormat="false" ht="15.75" hidden="false" customHeight="true" outlineLevel="0" collapsed="false">
      <c r="A494" s="7" t="s">
        <v>1034</v>
      </c>
      <c r="B494" s="8" t="s">
        <v>1000</v>
      </c>
      <c r="C494" s="8" t="n">
        <v>2018</v>
      </c>
      <c r="D494" s="9" t="s">
        <v>1035</v>
      </c>
      <c r="E494" s="7" t="s">
        <v>86</v>
      </c>
      <c r="F494" s="10" t="n">
        <f aca="false">IF(ISBLANK($G494),,VLOOKUP($G494, Rarities!$A$1:$B869, 2, FALSE()))</f>
        <v>4</v>
      </c>
      <c r="G494" s="8" t="s">
        <v>41</v>
      </c>
      <c r="H494" s="8" t="str">
        <f aca="false">VLOOKUP(B494,Manufacturers!A$1:B869,2)</f>
        <v>IT</v>
      </c>
      <c r="I494" s="11" t="n">
        <v>400000</v>
      </c>
      <c r="J494" s="8"/>
      <c r="K494" s="8"/>
      <c r="L494" s="12"/>
      <c r="M494" s="11"/>
      <c r="N494" s="11"/>
      <c r="O494" s="8"/>
      <c r="P494" s="8"/>
    </row>
    <row r="495" customFormat="false" ht="15.75" hidden="false" customHeight="true" outlineLevel="0" collapsed="false">
      <c r="A495" s="7" t="s">
        <v>1036</v>
      </c>
      <c r="B495" s="8" t="s">
        <v>1000</v>
      </c>
      <c r="C495" s="8" t="n">
        <v>2018</v>
      </c>
      <c r="D495" s="9" t="s">
        <v>1036</v>
      </c>
      <c r="E495" s="7" t="s">
        <v>118</v>
      </c>
      <c r="F495" s="10" t="n">
        <f aca="false">IF(ISBLANK($G495),,VLOOKUP($G495, Rarities!$A$1:$B869, 2, FALSE()))</f>
        <v>4</v>
      </c>
      <c r="G495" s="8" t="s">
        <v>41</v>
      </c>
      <c r="H495" s="8" t="str">
        <f aca="false">VLOOKUP(B495,Manufacturers!A$1:B869,2)</f>
        <v>IT</v>
      </c>
      <c r="I495" s="11" t="n">
        <v>500000</v>
      </c>
      <c r="J495" s="8" t="n">
        <v>2</v>
      </c>
      <c r="K495" s="8" t="n">
        <v>1</v>
      </c>
      <c r="L495" s="12" t="n">
        <v>24</v>
      </c>
      <c r="M495" s="11" t="e">
        <f aca="false">IF(AND(ISNUMBER(L495),L495&gt;0),(3*J495+K495)*#REF!/L495,"-")</f>
        <v>#REF!</v>
      </c>
      <c r="N495" s="11" t="e">
        <f aca="false">IF(AND(#REF!,ISNUMBER(L495),L495&gt;0),((3*J495+K495)*#REF!-I495)/L495,"-")</f>
        <v>#REF!</v>
      </c>
      <c r="O495" s="8"/>
      <c r="P495" s="8"/>
    </row>
    <row r="496" customFormat="false" ht="15.75" hidden="false" customHeight="true" outlineLevel="0" collapsed="false">
      <c r="A496" s="7" t="s">
        <v>1037</v>
      </c>
      <c r="B496" s="8" t="s">
        <v>1000</v>
      </c>
      <c r="C496" s="8" t="n">
        <v>2018</v>
      </c>
      <c r="D496" s="9" t="s">
        <v>1038</v>
      </c>
      <c r="E496" s="7" t="s">
        <v>111</v>
      </c>
      <c r="F496" s="10" t="n">
        <f aca="false">IF(ISBLANK($G496),,VLOOKUP($G496, Rarities!$A$1:$B869, 2, FALSE()))</f>
        <v>3</v>
      </c>
      <c r="G496" s="8" t="s">
        <v>53</v>
      </c>
      <c r="H496" s="8" t="str">
        <f aca="false">VLOOKUP(B496,Manufacturers!A$1:B869,2)</f>
        <v>IT</v>
      </c>
      <c r="I496" s="11" t="n">
        <v>275000</v>
      </c>
      <c r="J496" s="8" t="n">
        <v>1</v>
      </c>
      <c r="K496" s="8"/>
      <c r="L496" s="12" t="n">
        <v>10</v>
      </c>
      <c r="M496" s="11" t="e">
        <f aca="false">IF(AND(ISNUMBER(L496),L496&gt;0),(3*J496+K496)*#REF!/L496,"-")</f>
        <v>#REF!</v>
      </c>
      <c r="N496" s="11" t="e">
        <f aca="false">IF(AND(#REF!,ISNUMBER(L496),L496&gt;0),((3*J496+K496)*#REF!-I496)/L496,"-")</f>
        <v>#REF!</v>
      </c>
      <c r="O496" s="8"/>
      <c r="P496" s="8"/>
    </row>
    <row r="497" customFormat="false" ht="15.75" hidden="false" customHeight="true" outlineLevel="0" collapsed="false">
      <c r="A497" s="7" t="s">
        <v>1039</v>
      </c>
      <c r="B497" s="8" t="s">
        <v>1000</v>
      </c>
      <c r="C497" s="8" t="n">
        <v>2019</v>
      </c>
      <c r="D497" s="9" t="s">
        <v>1040</v>
      </c>
      <c r="E497" s="7" t="s">
        <v>125</v>
      </c>
      <c r="F497" s="10" t="n">
        <f aca="false">IF(ISBLANK($G497),,VLOOKUP($G497, Rarities!$A$1:$B869, 2, FALSE()))</f>
        <v>2</v>
      </c>
      <c r="G497" s="8" t="s">
        <v>36</v>
      </c>
      <c r="H497" s="8" t="str">
        <f aca="false">VLOOKUP(B497,Manufacturers!A$1:B869,2)</f>
        <v>IT</v>
      </c>
      <c r="I497" s="11" t="n">
        <v>150000</v>
      </c>
      <c r="J497" s="8" t="n">
        <v>1</v>
      </c>
      <c r="K497" s="8"/>
      <c r="L497" s="12" t="n">
        <v>20</v>
      </c>
      <c r="M497" s="11" t="e">
        <f aca="false">IF(AND(ISNUMBER(L497),L497&gt;0),(3*J497+K497)*#REF!/L497,"-")</f>
        <v>#REF!</v>
      </c>
      <c r="N497" s="11" t="e">
        <f aca="false">IF(AND(#REF!,ISNUMBER(L497),L497&gt;0),((3*J497+K497)*#REF!-I497)/L497,"-")</f>
        <v>#REF!</v>
      </c>
      <c r="O497" s="8"/>
      <c r="P497" s="8"/>
    </row>
    <row r="498" customFormat="false" ht="15.75" hidden="false" customHeight="true" outlineLevel="0" collapsed="false">
      <c r="A498" s="7" t="s">
        <v>1041</v>
      </c>
      <c r="B498" s="8" t="s">
        <v>1000</v>
      </c>
      <c r="C498" s="8" t="n">
        <v>2020</v>
      </c>
      <c r="D498" s="9" t="s">
        <v>1042</v>
      </c>
      <c r="E498" s="7" t="s">
        <v>86</v>
      </c>
      <c r="F498" s="10" t="n">
        <f aca="false">IF(ISBLANK($G498),,VLOOKUP($G498, Rarities!$A$1:$B869, 2, FALSE()))</f>
        <v>4</v>
      </c>
      <c r="G498" s="8" t="s">
        <v>41</v>
      </c>
      <c r="H498" s="8" t="str">
        <f aca="false">VLOOKUP(B498,Manufacturers!A$1:B869,2)</f>
        <v>IT</v>
      </c>
      <c r="I498" s="11" t="n">
        <v>5000000</v>
      </c>
      <c r="J498" s="8"/>
      <c r="K498" s="8"/>
      <c r="L498" s="12"/>
      <c r="M498" s="11"/>
      <c r="N498" s="11"/>
      <c r="O498" s="8"/>
      <c r="P498" s="8"/>
    </row>
    <row r="499" customFormat="false" ht="15.75" hidden="false" customHeight="true" outlineLevel="0" collapsed="false">
      <c r="A499" s="7" t="s">
        <v>1043</v>
      </c>
      <c r="B499" s="8" t="s">
        <v>1000</v>
      </c>
      <c r="C499" s="8" t="n">
        <v>2020</v>
      </c>
      <c r="D499" s="9" t="s">
        <v>1043</v>
      </c>
      <c r="E499" s="7" t="s">
        <v>111</v>
      </c>
      <c r="F499" s="10" t="n">
        <f aca="false">IF(ISBLANK($G499),,VLOOKUP($G499, Rarities!$A$1:$B869, 2, FALSE()))</f>
        <v>4</v>
      </c>
      <c r="G499" s="8" t="s">
        <v>41</v>
      </c>
      <c r="H499" s="8" t="str">
        <f aca="false">VLOOKUP(B499,Manufacturers!A$1:B869,2)</f>
        <v>IT</v>
      </c>
      <c r="I499" s="11" t="n">
        <v>450000</v>
      </c>
      <c r="J499" s="8"/>
      <c r="K499" s="8"/>
      <c r="L499" s="12"/>
      <c r="M499" s="11"/>
      <c r="N499" s="11"/>
      <c r="O499" s="8"/>
      <c r="P499" s="8"/>
    </row>
    <row r="500" customFormat="false" ht="15.75" hidden="false" customHeight="true" outlineLevel="0" collapsed="false">
      <c r="A500" s="7" t="s">
        <v>1044</v>
      </c>
      <c r="B500" s="8" t="s">
        <v>1000</v>
      </c>
      <c r="C500" s="8" t="n">
        <v>2020</v>
      </c>
      <c r="D500" s="9" t="s">
        <v>1045</v>
      </c>
      <c r="E500" s="7" t="s">
        <v>118</v>
      </c>
      <c r="F500" s="10" t="n">
        <f aca="false">IF(ISBLANK($G500),,VLOOKUP($G500, Rarities!$A$1:$B869, 2, FALSE()))</f>
        <v>4</v>
      </c>
      <c r="G500" s="8" t="s">
        <v>41</v>
      </c>
      <c r="H500" s="8" t="str">
        <f aca="false">VLOOKUP(B500,Manufacturers!A$1:B869,2)</f>
        <v>IT</v>
      </c>
      <c r="I500" s="11" t="n">
        <v>2500000</v>
      </c>
      <c r="J500" s="8"/>
      <c r="K500" s="8"/>
      <c r="L500" s="12"/>
      <c r="M500" s="11"/>
      <c r="N500" s="11"/>
      <c r="O500" s="8"/>
      <c r="P500" s="8"/>
    </row>
    <row r="501" customFormat="false" ht="15.75" hidden="false" customHeight="true" outlineLevel="0" collapsed="false">
      <c r="A501" s="7" t="s">
        <v>1046</v>
      </c>
      <c r="B501" s="8" t="s">
        <v>1000</v>
      </c>
      <c r="C501" s="8" t="n">
        <v>2020</v>
      </c>
      <c r="D501" s="9" t="s">
        <v>1047</v>
      </c>
      <c r="E501" s="7" t="s">
        <v>118</v>
      </c>
      <c r="F501" s="10" t="n">
        <f aca="false">IF(ISBLANK($G501),,VLOOKUP($G501, Rarities!$A$1:$B869, 2, FALSE()))</f>
        <v>4</v>
      </c>
      <c r="G501" s="8" t="s">
        <v>41</v>
      </c>
      <c r="H501" s="8" t="str">
        <f aca="false">VLOOKUP(B501,Manufacturers!A$1:B869,2)</f>
        <v>IT</v>
      </c>
      <c r="I501" s="11" t="n">
        <v>3500000</v>
      </c>
      <c r="J501" s="8"/>
      <c r="K501" s="8"/>
      <c r="L501" s="12"/>
      <c r="M501" s="11"/>
      <c r="N501" s="11"/>
      <c r="O501" s="8"/>
      <c r="P501" s="8"/>
    </row>
    <row r="502" customFormat="false" ht="15.75" hidden="false" customHeight="true" outlineLevel="0" collapsed="false">
      <c r="A502" s="7" t="s">
        <v>1048</v>
      </c>
      <c r="B502" s="8" t="s">
        <v>1000</v>
      </c>
      <c r="C502" s="8" t="n">
        <v>2020</v>
      </c>
      <c r="D502" s="9" t="s">
        <v>1048</v>
      </c>
      <c r="E502" s="7" t="s">
        <v>35</v>
      </c>
      <c r="F502" s="10" t="n">
        <f aca="false">IF(ISBLANK($G502),,VLOOKUP($G502, Rarities!$A$1:$B869, 2, FALSE()))</f>
        <v>2</v>
      </c>
      <c r="G502" s="8" t="s">
        <v>36</v>
      </c>
      <c r="H502" s="8" t="str">
        <f aca="false">VLOOKUP(B502,Manufacturers!A$1:B869,2)</f>
        <v>IT</v>
      </c>
      <c r="I502" s="11" t="n">
        <v>340000</v>
      </c>
      <c r="J502" s="8" t="n">
        <v>1</v>
      </c>
      <c r="K502" s="8"/>
      <c r="L502" s="12" t="n">
        <v>10</v>
      </c>
      <c r="M502" s="11" t="e">
        <f aca="false">IF(AND(ISNUMBER(L502),L502&gt;0),(3*J502+K502)*#REF!/L502,"-")</f>
        <v>#REF!</v>
      </c>
      <c r="N502" s="13" t="e">
        <f aca="false">IF(AND(#REF!,ISNUMBER(L502),L502&gt;0),((3*J502+K502)*#REF!-I502)/L502,"-")</f>
        <v>#REF!</v>
      </c>
      <c r="O502" s="8"/>
      <c r="P502" s="8"/>
    </row>
    <row r="503" customFormat="false" ht="15.75" hidden="false" customHeight="true" outlineLevel="0" collapsed="false">
      <c r="A503" s="7" t="s">
        <v>1049</v>
      </c>
      <c r="B503" s="8" t="s">
        <v>1000</v>
      </c>
      <c r="C503" s="8" t="n">
        <v>2023</v>
      </c>
      <c r="D503" s="9" t="s">
        <v>1049</v>
      </c>
      <c r="E503" s="7" t="s">
        <v>35</v>
      </c>
      <c r="F503" s="10" t="n">
        <f aca="false">IF(ISBLANK($G503),,VLOOKUP($G503, Rarities!$A$1:$B869, 2, FALSE()))</f>
        <v>4</v>
      </c>
      <c r="G503" s="8" t="s">
        <v>41</v>
      </c>
      <c r="H503" s="8" t="str">
        <f aca="false">VLOOKUP(B503,Manufacturers!A$1:B869,2)</f>
        <v>IT</v>
      </c>
      <c r="I503" s="11" t="n">
        <v>250000</v>
      </c>
      <c r="J503" s="8"/>
      <c r="K503" s="8"/>
      <c r="L503" s="12"/>
      <c r="M503" s="11"/>
      <c r="N503" s="11"/>
      <c r="O503" s="8"/>
      <c r="P503" s="8"/>
    </row>
    <row r="504" customFormat="false" ht="15.75" hidden="false" customHeight="true" outlineLevel="0" collapsed="false">
      <c r="A504" s="7" t="s">
        <v>1050</v>
      </c>
      <c r="B504" s="8" t="s">
        <v>1051</v>
      </c>
      <c r="C504" s="8" t="n">
        <v>1968</v>
      </c>
      <c r="D504" s="9" t="s">
        <v>1052</v>
      </c>
      <c r="E504" s="7" t="s">
        <v>20</v>
      </c>
      <c r="F504" s="10" t="n">
        <f aca="false">IF(ISBLANK($G504),,VLOOKUP($G504, Rarities!$A$1:$B869, 2, FALSE()))</f>
        <v>2</v>
      </c>
      <c r="G504" s="8" t="s">
        <v>36</v>
      </c>
      <c r="H504" s="8" t="str">
        <f aca="false">VLOOKUP(B504,Manufacturers!A$1:B869,2)</f>
        <v>IT</v>
      </c>
      <c r="I504" s="11" t="n">
        <v>250000</v>
      </c>
      <c r="J504" s="8"/>
      <c r="K504" s="8"/>
      <c r="L504" s="12"/>
      <c r="M504" s="11"/>
      <c r="N504" s="11"/>
      <c r="O504" s="8"/>
      <c r="P504" s="8"/>
    </row>
    <row r="505" customFormat="false" ht="15.75" hidden="false" customHeight="true" outlineLevel="0" collapsed="false">
      <c r="A505" s="7" t="s">
        <v>1053</v>
      </c>
      <c r="B505" s="8" t="s">
        <v>1051</v>
      </c>
      <c r="C505" s="8" t="n">
        <v>1974</v>
      </c>
      <c r="D505" s="9" t="s">
        <v>1054</v>
      </c>
      <c r="E505" s="7" t="s">
        <v>20</v>
      </c>
      <c r="F505" s="10" t="n">
        <f aca="false">IF(ISBLANK($G505),,VLOOKUP($G505, Rarities!$A$1:$B869, 2, FALSE()))</f>
        <v>2</v>
      </c>
      <c r="G505" s="8" t="s">
        <v>36</v>
      </c>
      <c r="H505" s="8" t="str">
        <f aca="false">VLOOKUP(B505,Manufacturers!A$1:B869,2)</f>
        <v>IT</v>
      </c>
      <c r="I505" s="11" t="n">
        <v>550000</v>
      </c>
      <c r="J505" s="8"/>
      <c r="K505" s="8"/>
      <c r="L505" s="12"/>
      <c r="M505" s="11"/>
      <c r="N505" s="11"/>
      <c r="O505" s="8"/>
      <c r="P505" s="8"/>
    </row>
    <row r="506" customFormat="false" ht="15.75" hidden="false" customHeight="true" outlineLevel="0" collapsed="false">
      <c r="A506" s="7" t="s">
        <v>1055</v>
      </c>
      <c r="B506" s="8" t="s">
        <v>1051</v>
      </c>
      <c r="C506" s="8" t="n">
        <v>1982</v>
      </c>
      <c r="D506" s="9" t="s">
        <v>1056</v>
      </c>
      <c r="E506" s="7" t="s">
        <v>136</v>
      </c>
      <c r="F506" s="10" t="n">
        <f aca="false">IF(ISBLANK($G506),,VLOOKUP($G506, Rarities!$A$1:$B869, 2, FALSE()))</f>
        <v>2</v>
      </c>
      <c r="G506" s="8" t="s">
        <v>36</v>
      </c>
      <c r="H506" s="8" t="str">
        <f aca="false">VLOOKUP(B506,Manufacturers!A$1:B869,2)</f>
        <v>IT</v>
      </c>
      <c r="I506" s="11" t="n">
        <v>750000</v>
      </c>
      <c r="J506" s="8"/>
      <c r="K506" s="8"/>
      <c r="L506" s="12"/>
      <c r="M506" s="11"/>
      <c r="N506" s="11"/>
      <c r="O506" s="8"/>
      <c r="P506" s="8"/>
    </row>
    <row r="507" customFormat="false" ht="15.75" hidden="false" customHeight="true" outlineLevel="0" collapsed="false">
      <c r="A507" s="7" t="s">
        <v>1057</v>
      </c>
      <c r="B507" s="8" t="s">
        <v>1051</v>
      </c>
      <c r="C507" s="8" t="n">
        <v>1986</v>
      </c>
      <c r="D507" s="9" t="s">
        <v>1058</v>
      </c>
      <c r="E507" s="7" t="s">
        <v>136</v>
      </c>
      <c r="F507" s="10" t="n">
        <f aca="false">IF(ISBLANK($G507),,VLOOKUP($G507, Rarities!$A$1:$B869, 2, FALSE()))</f>
        <v>2</v>
      </c>
      <c r="G507" s="8" t="s">
        <v>36</v>
      </c>
      <c r="H507" s="8" t="str">
        <f aca="false">VLOOKUP(B507,Manufacturers!A$1:B869,2)</f>
        <v>IT</v>
      </c>
      <c r="I507" s="11" t="n">
        <v>1000000</v>
      </c>
      <c r="J507" s="8"/>
      <c r="K507" s="8"/>
      <c r="L507" s="12"/>
      <c r="M507" s="11"/>
      <c r="N507" s="11"/>
      <c r="O507" s="8"/>
      <c r="P507" s="8"/>
    </row>
    <row r="508" customFormat="false" ht="15.75" hidden="false" customHeight="true" outlineLevel="0" collapsed="false">
      <c r="A508" s="15" t="s">
        <v>1059</v>
      </c>
      <c r="B508" s="8" t="s">
        <v>1051</v>
      </c>
      <c r="C508" s="8" t="n">
        <v>1992</v>
      </c>
      <c r="D508" s="9" t="s">
        <v>1060</v>
      </c>
      <c r="E508" s="7" t="s">
        <v>136</v>
      </c>
      <c r="F508" s="10" t="n">
        <f aca="false">IF(ISBLANK($G508),,VLOOKUP($G508, Rarities!$A$1:$B869, 2, FALSE()))</f>
        <v>1</v>
      </c>
      <c r="G508" s="8" t="s">
        <v>17</v>
      </c>
      <c r="H508" s="8" t="str">
        <f aca="false">VLOOKUP(B508,Manufacturers!A$1:B869,2)</f>
        <v>IT</v>
      </c>
      <c r="I508" s="11" t="n">
        <v>100000</v>
      </c>
      <c r="J508" s="8"/>
      <c r="K508" s="8"/>
      <c r="L508" s="12"/>
      <c r="M508" s="11"/>
      <c r="N508" s="11"/>
      <c r="O508" s="8"/>
      <c r="P508" s="8"/>
    </row>
    <row r="509" customFormat="false" ht="15.75" hidden="false" customHeight="true" outlineLevel="0" collapsed="false">
      <c r="A509" s="7" t="s">
        <v>1061</v>
      </c>
      <c r="B509" s="8" t="s">
        <v>1062</v>
      </c>
      <c r="C509" s="8" t="n">
        <v>1972</v>
      </c>
      <c r="D509" s="9" t="s">
        <v>1063</v>
      </c>
      <c r="E509" s="7" t="s">
        <v>353</v>
      </c>
      <c r="F509" s="10" t="n">
        <f aca="false">IF(ISBLANK($G509),,VLOOKUP($G509, Rarities!$A$1:$B869, 2, FALSE()))</f>
        <v>1</v>
      </c>
      <c r="G509" s="8" t="s">
        <v>17</v>
      </c>
      <c r="H509" s="8" t="str">
        <f aca="false">VLOOKUP(B509,Manufacturers!A$1:B869,2)</f>
        <v>GB</v>
      </c>
      <c r="I509" s="11" t="n">
        <v>20000</v>
      </c>
      <c r="J509" s="8"/>
      <c r="K509" s="8" t="n">
        <v>1</v>
      </c>
      <c r="L509" s="12" t="n">
        <v>9</v>
      </c>
      <c r="M509" s="11" t="e">
        <f aca="false">IF(AND(ISNUMBER(L509),L509&gt;0),(3*J509+K509)*#REF!/L509,"-")</f>
        <v>#REF!</v>
      </c>
      <c r="N509" s="11" t="e">
        <f aca="false">IF(AND(#REF!,ISNUMBER(L509),L509&gt;0),((3*J509+K509)*#REF!-I509)/L509,"-")</f>
        <v>#REF!</v>
      </c>
      <c r="O509" s="8"/>
      <c r="P509" s="8"/>
    </row>
    <row r="510" customFormat="false" ht="15.75" hidden="false" customHeight="true" outlineLevel="0" collapsed="false">
      <c r="A510" s="7" t="s">
        <v>1064</v>
      </c>
      <c r="B510" s="8" t="s">
        <v>1062</v>
      </c>
      <c r="C510" s="8" t="n">
        <v>1973</v>
      </c>
      <c r="D510" s="9" t="s">
        <v>1065</v>
      </c>
      <c r="E510" s="7" t="s">
        <v>353</v>
      </c>
      <c r="F510" s="10" t="n">
        <f aca="false">IF(ISBLANK($G510),,VLOOKUP($G510, Rarities!$A$1:$B869, 2, FALSE()))</f>
        <v>1</v>
      </c>
      <c r="G510" s="8" t="s">
        <v>17</v>
      </c>
      <c r="H510" s="8" t="str">
        <f aca="false">VLOOKUP(B510,Manufacturers!A$1:B869,2)</f>
        <v>GB</v>
      </c>
      <c r="I510" s="11" t="n">
        <v>50000</v>
      </c>
      <c r="J510" s="8"/>
      <c r="K510" s="8" t="n">
        <v>1</v>
      </c>
      <c r="L510" s="12" t="n">
        <v>9</v>
      </c>
      <c r="M510" s="11" t="e">
        <f aca="false">IF(AND(ISNUMBER(L510),L510&gt;0),(3*J510+K510)*#REF!/L510,"-")</f>
        <v>#REF!</v>
      </c>
      <c r="N510" s="11" t="e">
        <f aca="false">IF(AND(#REF!,ISNUMBER(L510),L510&gt;0),((3*J510+K510)*#REF!-I510)/L510,"-")</f>
        <v>#REF!</v>
      </c>
      <c r="O510" s="8"/>
      <c r="P510" s="8"/>
    </row>
    <row r="511" customFormat="false" ht="15.75" hidden="false" customHeight="true" outlineLevel="0" collapsed="false">
      <c r="A511" s="7" t="s">
        <v>1066</v>
      </c>
      <c r="B511" s="8" t="s">
        <v>1062</v>
      </c>
      <c r="C511" s="8" t="n">
        <v>1997</v>
      </c>
      <c r="D511" s="9" t="s">
        <v>1067</v>
      </c>
      <c r="E511" s="7" t="s">
        <v>353</v>
      </c>
      <c r="F511" s="10" t="n">
        <f aca="false">IF(ISBLANK($G511),,VLOOKUP($G511, Rarities!$A$1:$B869, 2, FALSE()))</f>
        <v>1</v>
      </c>
      <c r="G511" s="8" t="s">
        <v>17</v>
      </c>
      <c r="H511" s="8" t="str">
        <f aca="false">VLOOKUP(B511,Manufacturers!A$1:B869,2)</f>
        <v>GB</v>
      </c>
      <c r="I511" s="11" t="n">
        <v>30000</v>
      </c>
      <c r="J511" s="8"/>
      <c r="K511" s="8" t="n">
        <v>1</v>
      </c>
      <c r="L511" s="12" t="n">
        <v>9</v>
      </c>
      <c r="M511" s="11" t="e">
        <f aca="false">IF(AND(ISNUMBER(L511),L511&gt;0),(3*J511+K511)*#REF!/L511,"-")</f>
        <v>#REF!</v>
      </c>
      <c r="N511" s="11" t="e">
        <f aca="false">IF(AND(#REF!,ISNUMBER(L511),L511&gt;0),((3*J511+K511)*#REF!-I511)/L511,"-")</f>
        <v>#REF!</v>
      </c>
      <c r="O511" s="8"/>
      <c r="P511" s="8"/>
    </row>
    <row r="512" customFormat="false" ht="15.75" hidden="false" customHeight="true" outlineLevel="0" collapsed="false">
      <c r="A512" s="7" t="s">
        <v>1068</v>
      </c>
      <c r="B512" s="8" t="s">
        <v>1062</v>
      </c>
      <c r="C512" s="8" t="n">
        <v>2015</v>
      </c>
      <c r="D512" s="9" t="s">
        <v>1069</v>
      </c>
      <c r="E512" s="7" t="s">
        <v>125</v>
      </c>
      <c r="F512" s="10" t="n">
        <f aca="false">IF(ISBLANK($G512),,VLOOKUP($G512, Rarities!$A$1:$B869, 2, FALSE()))</f>
        <v>2</v>
      </c>
      <c r="G512" s="8" t="s">
        <v>36</v>
      </c>
      <c r="H512" s="8" t="str">
        <f aca="false">VLOOKUP(B512,Manufacturers!A$1:B869,2)</f>
        <v>GB</v>
      </c>
      <c r="I512" s="11" t="n">
        <v>133000</v>
      </c>
      <c r="J512" s="8"/>
      <c r="K512" s="8" t="n">
        <v>1</v>
      </c>
      <c r="L512" s="12" t="n">
        <v>11</v>
      </c>
      <c r="M512" s="11" t="e">
        <f aca="false">IF(AND(ISNUMBER(L512),L512&gt;0),(3*J512+K512)*#REF!/L512,"-")</f>
        <v>#REF!</v>
      </c>
      <c r="N512" s="11" t="e">
        <f aca="false">IF(AND(#REF!,ISNUMBER(L512),L512&gt;0),((3*J512+K512)*#REF!-I512)/L512,"-")</f>
        <v>#REF!</v>
      </c>
      <c r="O512" s="8"/>
      <c r="P512" s="8"/>
    </row>
    <row r="513" customFormat="false" ht="15.75" hidden="false" customHeight="true" outlineLevel="0" collapsed="false">
      <c r="A513" s="7" t="s">
        <v>1070</v>
      </c>
      <c r="B513" s="8" t="s">
        <v>1062</v>
      </c>
      <c r="C513" s="8" t="n">
        <v>2018</v>
      </c>
      <c r="D513" s="9" t="s">
        <v>1071</v>
      </c>
      <c r="E513" s="7" t="s">
        <v>125</v>
      </c>
      <c r="F513" s="10" t="n">
        <f aca="false">IF(ISBLANK($G513),,VLOOKUP($G513, Rarities!$A$1:$B869, 2, FALSE()))</f>
        <v>2</v>
      </c>
      <c r="G513" s="8" t="s">
        <v>36</v>
      </c>
      <c r="H513" s="8" t="str">
        <f aca="false">VLOOKUP(B513,Manufacturers!A$1:B869,2)</f>
        <v>GB</v>
      </c>
      <c r="I513" s="11" t="n">
        <v>85000</v>
      </c>
      <c r="J513" s="8"/>
      <c r="K513" s="8" t="n">
        <v>1</v>
      </c>
      <c r="L513" s="12" t="n">
        <v>11</v>
      </c>
      <c r="M513" s="11" t="e">
        <f aca="false">IF(AND(ISNUMBER(L513),L513&gt;0),(3*J513+K513)*#REF!/L513,"-")</f>
        <v>#REF!</v>
      </c>
      <c r="N513" s="11" t="e">
        <f aca="false">IF(AND(#REF!,ISNUMBER(L513),L513&gt;0),((3*J513+K513)*#REF!-I513)/L513,"-")</f>
        <v>#REF!</v>
      </c>
      <c r="O513" s="8"/>
      <c r="P513" s="8"/>
    </row>
    <row r="514" customFormat="false" ht="15.75" hidden="false" customHeight="true" outlineLevel="0" collapsed="false">
      <c r="A514" s="7" t="s">
        <v>1072</v>
      </c>
      <c r="B514" s="8" t="s">
        <v>1062</v>
      </c>
      <c r="C514" s="8" t="n">
        <v>2020</v>
      </c>
      <c r="D514" s="9" t="s">
        <v>1073</v>
      </c>
      <c r="E514" s="7" t="s">
        <v>125</v>
      </c>
      <c r="F514" s="10" t="n">
        <f aca="false">IF(ISBLANK($G514),,VLOOKUP($G514, Rarities!$A$1:$B869, 2, FALSE()))</f>
        <v>1</v>
      </c>
      <c r="G514" s="8" t="s">
        <v>17</v>
      </c>
      <c r="H514" s="8" t="str">
        <f aca="false">VLOOKUP(B514,Manufacturers!A$1:B869,2)</f>
        <v>GB</v>
      </c>
      <c r="I514" s="11" t="n">
        <v>80000</v>
      </c>
      <c r="J514" s="8"/>
      <c r="K514" s="8" t="n">
        <v>1</v>
      </c>
      <c r="L514" s="12" t="n">
        <v>9</v>
      </c>
      <c r="M514" s="11" t="e">
        <f aca="false">IF(AND(ISNUMBER(L514),L514&gt;0),(3*J514+K514)*#REF!/L514,"-")</f>
        <v>#REF!</v>
      </c>
      <c r="N514" s="11" t="e">
        <f aca="false">IF(AND(#REF!,ISNUMBER(L514),L514&gt;0),((3*J514+K514)*#REF!-I514)/L514,"-")</f>
        <v>#REF!</v>
      </c>
      <c r="O514" s="8"/>
      <c r="P514" s="8"/>
    </row>
    <row r="515" customFormat="false" ht="15.75" hidden="false" customHeight="true" outlineLevel="0" collapsed="false">
      <c r="A515" s="7" t="s">
        <v>1074</v>
      </c>
      <c r="B515" s="8" t="s">
        <v>1075</v>
      </c>
      <c r="C515" s="8" t="n">
        <v>1997</v>
      </c>
      <c r="D515" s="9" t="s">
        <v>1076</v>
      </c>
      <c r="E515" s="7" t="s">
        <v>222</v>
      </c>
      <c r="F515" s="10" t="n">
        <f aca="false">IF(ISBLANK($G515),,VLOOKUP($G515, Rarities!$A$1:$B869, 2, FALSE()))</f>
        <v>2</v>
      </c>
      <c r="G515" s="8" t="s">
        <v>36</v>
      </c>
      <c r="H515" s="8" t="str">
        <f aca="false">VLOOKUP(B515,Manufacturers!A$1:B869,2)</f>
        <v>US</v>
      </c>
      <c r="I515" s="11" t="n">
        <v>25000</v>
      </c>
      <c r="J515" s="8"/>
      <c r="K515" s="8" t="n">
        <v>2</v>
      </c>
      <c r="L515" s="12" t="n">
        <v>11</v>
      </c>
      <c r="M515" s="11" t="e">
        <f aca="false">IF(AND(ISNUMBER(L515),L515&gt;0),(3*J515+K515)*#REF!/L515,"-")</f>
        <v>#REF!</v>
      </c>
      <c r="N515" s="11" t="e">
        <f aca="false">IF(AND(#REF!,ISNUMBER(L515),L515&gt;0),((3*J515+K515)*#REF!-I515)/L515,"-")</f>
        <v>#REF!</v>
      </c>
      <c r="O515" s="8"/>
      <c r="P515" s="8"/>
    </row>
    <row r="516" customFormat="false" ht="15.75" hidden="false" customHeight="true" outlineLevel="0" collapsed="false">
      <c r="A516" s="7" t="s">
        <v>1077</v>
      </c>
      <c r="B516" s="8" t="s">
        <v>1075</v>
      </c>
      <c r="C516" s="8" t="n">
        <v>2010</v>
      </c>
      <c r="D516" s="9" t="s">
        <v>1078</v>
      </c>
      <c r="E516" s="7" t="s">
        <v>35</v>
      </c>
      <c r="F516" s="10" t="n">
        <f aca="false">IF(ISBLANK($G516),,VLOOKUP($G516, Rarities!$A$1:$B869, 2, FALSE()))</f>
        <v>3</v>
      </c>
      <c r="G516" s="8" t="s">
        <v>53</v>
      </c>
      <c r="H516" s="8" t="str">
        <f aca="false">VLOOKUP(B516,Manufacturers!A$1:B869,2)</f>
        <v>US</v>
      </c>
      <c r="I516" s="11" t="n">
        <v>500000</v>
      </c>
      <c r="J516" s="8" t="n">
        <v>1</v>
      </c>
      <c r="K516" s="8"/>
      <c r="L516" s="12" t="n">
        <v>10</v>
      </c>
      <c r="M516" s="11" t="e">
        <f aca="false">IF(AND(ISNUMBER(L516),L516&gt;0),(3*J516+K516)*#REF!/L516,"-")</f>
        <v>#REF!</v>
      </c>
      <c r="N516" s="11" t="e">
        <f aca="false">IF(AND(#REF!,ISNUMBER(L516),L516&gt;0),((3*J516+K516)*#REF!-I516)/L516,"-")</f>
        <v>#REF!</v>
      </c>
      <c r="O516" s="8"/>
      <c r="P516" s="8"/>
    </row>
    <row r="517" customFormat="false" ht="15.75" hidden="false" customHeight="true" outlineLevel="0" collapsed="false">
      <c r="A517" s="7" t="s">
        <v>1079</v>
      </c>
      <c r="B517" s="8" t="s">
        <v>1075</v>
      </c>
      <c r="C517" s="8" t="n">
        <v>2015</v>
      </c>
      <c r="D517" s="9" t="s">
        <v>1080</v>
      </c>
      <c r="E517" s="7" t="s">
        <v>58</v>
      </c>
      <c r="F517" s="10" t="n">
        <f aca="false">IF(ISBLANK($G517),,VLOOKUP($G517, Rarities!$A$1:$B869, 2, FALSE()))</f>
        <v>2</v>
      </c>
      <c r="G517" s="8" t="s">
        <v>36</v>
      </c>
      <c r="H517" s="8" t="str">
        <f aca="false">VLOOKUP(B517,Manufacturers!A$1:B869,2)</f>
        <v>US</v>
      </c>
      <c r="I517" s="11" t="n">
        <v>75000</v>
      </c>
      <c r="J517" s="8"/>
      <c r="K517" s="8" t="n">
        <v>1</v>
      </c>
      <c r="L517" s="12" t="n">
        <v>9</v>
      </c>
      <c r="M517" s="11" t="e">
        <f aca="false">IF(AND(ISNUMBER(L517),L517&gt;0),(3*J517+K517)*#REF!/L517,"-")</f>
        <v>#REF!</v>
      </c>
      <c r="N517" s="11" t="e">
        <f aca="false">IF(AND(#REF!,ISNUMBER(L517),L517&gt;0),((3*J517+K517)*#REF!-I517)/L517,"-")</f>
        <v>#REF!</v>
      </c>
      <c r="O517" s="8"/>
      <c r="P517" s="8"/>
    </row>
    <row r="518" customFormat="false" ht="15.75" hidden="false" customHeight="true" outlineLevel="0" collapsed="false">
      <c r="A518" s="7" t="s">
        <v>1081</v>
      </c>
      <c r="B518" s="8" t="s">
        <v>1075</v>
      </c>
      <c r="C518" s="8" t="n">
        <v>2020</v>
      </c>
      <c r="D518" s="9" t="s">
        <v>1082</v>
      </c>
      <c r="E518" s="7" t="s">
        <v>86</v>
      </c>
      <c r="F518" s="10" t="n">
        <f aca="false">IF(ISBLANK($G518),,VLOOKUP($G518, Rarities!$A$1:$B869, 2, FALSE()))</f>
        <v>2</v>
      </c>
      <c r="G518" s="8" t="s">
        <v>36</v>
      </c>
      <c r="H518" s="8" t="str">
        <f aca="false">VLOOKUP(B518,Manufacturers!A$1:B869,2)</f>
        <v>US</v>
      </c>
      <c r="I518" s="11" t="n">
        <v>295000</v>
      </c>
      <c r="J518" s="8"/>
      <c r="K518" s="8"/>
      <c r="L518" s="12"/>
      <c r="M518" s="11"/>
      <c r="N518" s="11"/>
      <c r="O518" s="8"/>
      <c r="P518" s="8"/>
    </row>
    <row r="519" customFormat="false" ht="15.75" hidden="false" customHeight="true" outlineLevel="0" collapsed="false">
      <c r="A519" s="7" t="s">
        <v>1083</v>
      </c>
      <c r="B519" s="8" t="s">
        <v>1075</v>
      </c>
      <c r="C519" s="8" t="n">
        <v>2020</v>
      </c>
      <c r="D519" s="9" t="s">
        <v>1084</v>
      </c>
      <c r="E519" s="7" t="s">
        <v>111</v>
      </c>
      <c r="F519" s="10" t="n">
        <f aca="false">IF(ISBLANK($G519),,VLOOKUP($G519, Rarities!$A$1:$B869, 2, FALSE()))</f>
        <v>2</v>
      </c>
      <c r="G519" s="8" t="s">
        <v>36</v>
      </c>
      <c r="H519" s="8" t="str">
        <f aca="false">VLOOKUP(B519,Manufacturers!A$1:B869,2)</f>
        <v>US</v>
      </c>
      <c r="I519" s="11" t="n">
        <v>100000</v>
      </c>
      <c r="J519" s="8"/>
      <c r="K519" s="8"/>
      <c r="L519" s="12"/>
      <c r="M519" s="11"/>
      <c r="N519" s="11"/>
      <c r="O519" s="8"/>
      <c r="P519" s="8"/>
    </row>
    <row r="520" customFormat="false" ht="15.75" hidden="false" customHeight="true" outlineLevel="0" collapsed="false">
      <c r="A520" s="7" t="s">
        <v>1085</v>
      </c>
      <c r="B520" s="8" t="s">
        <v>1075</v>
      </c>
      <c r="C520" s="8" t="n">
        <v>2021</v>
      </c>
      <c r="D520" s="9" t="s">
        <v>1086</v>
      </c>
      <c r="E520" s="7" t="s">
        <v>52</v>
      </c>
      <c r="F520" s="10" t="n">
        <f aca="false">IF(ISBLANK($G520),,VLOOKUP($G520, Rarities!$A$1:$B869, 2, FALSE()))</f>
        <v>2</v>
      </c>
      <c r="G520" s="8" t="s">
        <v>36</v>
      </c>
      <c r="H520" s="8" t="str">
        <f aca="false">VLOOKUP(B520,Manufacturers!A$1:B869,2)</f>
        <v>US</v>
      </c>
      <c r="I520" s="11" t="n">
        <v>250000</v>
      </c>
      <c r="J520" s="8"/>
      <c r="K520" s="8"/>
      <c r="L520" s="12"/>
      <c r="M520" s="11"/>
      <c r="N520" s="11"/>
      <c r="O520" s="8"/>
      <c r="P520" s="8"/>
    </row>
    <row r="521" customFormat="false" ht="15.75" hidden="false" customHeight="true" outlineLevel="0" collapsed="false">
      <c r="A521" s="7" t="s">
        <v>1087</v>
      </c>
      <c r="B521" s="8" t="s">
        <v>1088</v>
      </c>
      <c r="C521" s="8" t="n">
        <v>1962</v>
      </c>
      <c r="D521" s="9" t="s">
        <v>1089</v>
      </c>
      <c r="E521" s="7" t="s">
        <v>327</v>
      </c>
      <c r="F521" s="10" t="n">
        <f aca="false">IF(ISBLANK($G521),,VLOOKUP($G521, Rarities!$A$1:$B869, 2, FALSE()))</f>
        <v>3</v>
      </c>
      <c r="G521" s="8" t="s">
        <v>53</v>
      </c>
      <c r="H521" s="8" t="str">
        <f aca="false">VLOOKUP(B521,Manufacturers!A$1:B869,2)</f>
        <v>US</v>
      </c>
      <c r="I521" s="11" t="n">
        <v>250000</v>
      </c>
      <c r="J521" s="8"/>
      <c r="K521" s="8"/>
      <c r="L521" s="12"/>
      <c r="M521" s="11"/>
      <c r="N521" s="11"/>
      <c r="O521" s="8"/>
      <c r="P521" s="8"/>
    </row>
    <row r="522" customFormat="false" ht="15.75" hidden="false" customHeight="true" outlineLevel="0" collapsed="false">
      <c r="A522" s="7" t="s">
        <v>1090</v>
      </c>
      <c r="B522" s="8" t="s">
        <v>1091</v>
      </c>
      <c r="C522" s="8" t="n">
        <v>2014</v>
      </c>
      <c r="D522" s="9" t="s">
        <v>1090</v>
      </c>
      <c r="E522" s="7" t="s">
        <v>72</v>
      </c>
      <c r="F522" s="10" t="n">
        <f aca="false">IF(ISBLANK($G522),,VLOOKUP($G522, Rarities!$A$1:$B869, 2, FALSE()))</f>
        <v>2</v>
      </c>
      <c r="G522" s="8" t="s">
        <v>36</v>
      </c>
      <c r="H522" s="8" t="str">
        <f aca="false">VLOOKUP(B522,Manufacturers!A$1:B869,2)</f>
        <v>US</v>
      </c>
      <c r="I522" s="11" t="n">
        <v>100000</v>
      </c>
      <c r="J522" s="8"/>
      <c r="K522" s="8" t="n">
        <v>1</v>
      </c>
      <c r="L522" s="12" t="n">
        <v>9</v>
      </c>
      <c r="M522" s="11" t="e">
        <f aca="false">IF(AND(ISNUMBER(L522),L522&gt;0),(3*J522+K522)*#REF!/L522,"-")</f>
        <v>#REF!</v>
      </c>
      <c r="N522" s="11" t="e">
        <f aca="false">IF(AND(#REF!,ISNUMBER(L522),L522&gt;0),((3*J522+K522)*#REF!-I522)/L522,"-")</f>
        <v>#REF!</v>
      </c>
      <c r="O522" s="8"/>
      <c r="P522" s="8"/>
    </row>
    <row r="523" customFormat="false" ht="15.75" hidden="false" customHeight="true" outlineLevel="0" collapsed="false">
      <c r="A523" s="7" t="s">
        <v>1092</v>
      </c>
      <c r="B523" s="8" t="s">
        <v>1093</v>
      </c>
      <c r="C523" s="8" t="n">
        <v>1969</v>
      </c>
      <c r="D523" s="9" t="s">
        <v>1094</v>
      </c>
      <c r="E523" s="7" t="s">
        <v>40</v>
      </c>
      <c r="F523" s="10" t="n">
        <f aca="false">IF(ISBLANK($G523),,VLOOKUP($G523, Rarities!$A$1:$B869, 2, FALSE()))</f>
        <v>3</v>
      </c>
      <c r="G523" s="8" t="s">
        <v>53</v>
      </c>
      <c r="H523" s="8" t="str">
        <f aca="false">VLOOKUP(B523,Manufacturers!A$1:B869,2)</f>
        <v>GB</v>
      </c>
      <c r="I523" s="11" t="n">
        <v>850000</v>
      </c>
      <c r="J523" s="8" t="n">
        <v>2</v>
      </c>
      <c r="K523" s="8" t="n">
        <v>1</v>
      </c>
      <c r="L523" s="12" t="n">
        <v>23</v>
      </c>
      <c r="M523" s="11" t="e">
        <f aca="false">IF(AND(ISNUMBER(L523),L523&gt;0),(3*J523+K523)*#REF!/L523,"-")</f>
        <v>#REF!</v>
      </c>
      <c r="N523" s="11" t="e">
        <f aca="false">IF(AND(#REF!,ISNUMBER(L523),L523&gt;0),((3*J523+K523)*#REF!-I523)/L523,"-")</f>
        <v>#REF!</v>
      </c>
      <c r="O523" s="8"/>
      <c r="P523" s="8"/>
    </row>
    <row r="524" customFormat="false" ht="15.75" hidden="false" customHeight="true" outlineLevel="0" collapsed="false">
      <c r="A524" s="7" t="s">
        <v>1095</v>
      </c>
      <c r="B524" s="8" t="s">
        <v>1096</v>
      </c>
      <c r="C524" s="8" t="n">
        <v>1971</v>
      </c>
      <c r="D524" s="9" t="s">
        <v>1097</v>
      </c>
      <c r="E524" s="7" t="s">
        <v>184</v>
      </c>
      <c r="F524" s="10" t="n">
        <f aca="false">IF(ISBLANK($G524),,VLOOKUP($G524, Rarities!$A$1:$B869, 2, FALSE()))</f>
        <v>1</v>
      </c>
      <c r="G524" s="8" t="s">
        <v>17</v>
      </c>
      <c r="H524" s="8" t="str">
        <f aca="false">VLOOKUP(B524,Manufacturers!A$1:B869,2)</f>
        <v>GB</v>
      </c>
      <c r="I524" s="11" t="n">
        <v>57000</v>
      </c>
      <c r="J524" s="8"/>
      <c r="K524" s="8" t="n">
        <v>1</v>
      </c>
      <c r="L524" s="12" t="n">
        <v>9</v>
      </c>
      <c r="M524" s="11" t="e">
        <f aca="false">IF(AND(ISNUMBER(L524),L524&gt;0),(3*J524+K524)*#REF!/L524,"-")</f>
        <v>#REF!</v>
      </c>
      <c r="N524" s="11" t="e">
        <f aca="false">IF(AND(#REF!,ISNUMBER(L524),L524&gt;0),((3*J524+K524)*#REF!-I524)/L524,"-")</f>
        <v>#REF!</v>
      </c>
      <c r="O524" s="8"/>
      <c r="P524" s="8"/>
    </row>
    <row r="525" customFormat="false" ht="15.75" hidden="false" customHeight="true" outlineLevel="0" collapsed="false">
      <c r="A525" s="7" t="s">
        <v>1098</v>
      </c>
      <c r="B525" s="8" t="s">
        <v>1096</v>
      </c>
      <c r="C525" s="8" t="n">
        <v>1997</v>
      </c>
      <c r="D525" s="9" t="s">
        <v>1099</v>
      </c>
      <c r="E525" s="7" t="s">
        <v>215</v>
      </c>
      <c r="F525" s="10" t="n">
        <f aca="false">IF(ISBLANK($G525),,VLOOKUP($G525, Rarities!$A$1:$B869, 2, FALSE()))</f>
        <v>4</v>
      </c>
      <c r="G525" s="8" t="s">
        <v>41</v>
      </c>
      <c r="H525" s="8" t="str">
        <f aca="false">VLOOKUP(B525,Manufacturers!A$1:B869,2)</f>
        <v>GB</v>
      </c>
      <c r="I525" s="11" t="n">
        <v>1800000</v>
      </c>
      <c r="J525" s="8"/>
      <c r="K525" s="8" t="n">
        <v>2</v>
      </c>
      <c r="L525" s="12" t="n">
        <v>11</v>
      </c>
      <c r="M525" s="11" t="e">
        <f aca="false">IF(AND(ISNUMBER(L525),L525&gt;0),(3*J525+K525)*#REF!/L525,"-")</f>
        <v>#REF!</v>
      </c>
      <c r="N525" s="11" t="e">
        <f aca="false">IF(AND(#REF!,ISNUMBER(L525),L525&gt;0),((3*J525+K525)*#REF!-I525)/L525,"-")</f>
        <v>#REF!</v>
      </c>
      <c r="O525" s="8"/>
      <c r="P525" s="8"/>
    </row>
    <row r="526" customFormat="false" ht="15.75" hidden="false" customHeight="true" outlineLevel="0" collapsed="false">
      <c r="A526" s="7" t="s">
        <v>1100</v>
      </c>
      <c r="B526" s="8" t="s">
        <v>1096</v>
      </c>
      <c r="C526" s="8" t="n">
        <v>1999</v>
      </c>
      <c r="D526" s="9" t="s">
        <v>1101</v>
      </c>
      <c r="E526" s="7" t="s">
        <v>222</v>
      </c>
      <c r="F526" s="10" t="n">
        <f aca="false">IF(ISBLANK($G526),,VLOOKUP($G526, Rarities!$A$1:$B869, 2, FALSE()))</f>
        <v>1</v>
      </c>
      <c r="G526" s="8" t="s">
        <v>17</v>
      </c>
      <c r="H526" s="8" t="str">
        <f aca="false">VLOOKUP(B526,Manufacturers!A$1:B869,2)</f>
        <v>GB</v>
      </c>
      <c r="I526" s="11" t="n">
        <v>81000</v>
      </c>
      <c r="J526" s="8"/>
      <c r="K526" s="8" t="n">
        <v>2</v>
      </c>
      <c r="L526" s="12" t="n">
        <v>11</v>
      </c>
      <c r="M526" s="11" t="e">
        <f aca="false">IF(AND(ISNUMBER(L526),L526&gt;0),(3*J526+K526)*#REF!/L526,"-")</f>
        <v>#REF!</v>
      </c>
      <c r="N526" s="11" t="e">
        <f aca="false">IF(AND(#REF!,ISNUMBER(L526),L526&gt;0),((3*J526+K526)*#REF!-I526)/L526,"-")</f>
        <v>#REF!</v>
      </c>
      <c r="O526" s="8"/>
      <c r="P526" s="8"/>
    </row>
    <row r="527" customFormat="false" ht="15.75" hidden="false" customHeight="true" outlineLevel="0" collapsed="false">
      <c r="A527" s="7" t="s">
        <v>1102</v>
      </c>
      <c r="B527" s="8" t="s">
        <v>1096</v>
      </c>
      <c r="C527" s="8" t="n">
        <v>2000</v>
      </c>
      <c r="D527" s="9" t="s">
        <v>1103</v>
      </c>
      <c r="E527" s="7" t="s">
        <v>111</v>
      </c>
      <c r="F527" s="10" t="n">
        <f aca="false">IF(ISBLANK($G527),,VLOOKUP($G527, Rarities!$A$1:$B869, 2, FALSE()))</f>
        <v>2</v>
      </c>
      <c r="G527" s="8" t="s">
        <v>36</v>
      </c>
      <c r="H527" s="8" t="str">
        <f aca="false">VLOOKUP(B527,Manufacturers!A$1:B869,2)</f>
        <v>GB</v>
      </c>
      <c r="I527" s="11" t="n">
        <v>250000</v>
      </c>
      <c r="J527" s="8"/>
      <c r="K527" s="8"/>
      <c r="L527" s="12"/>
      <c r="M527" s="11"/>
      <c r="N527" s="11"/>
      <c r="O527" s="8"/>
      <c r="P527" s="8"/>
    </row>
    <row r="528" customFormat="false" ht="15.75" hidden="false" customHeight="true" outlineLevel="0" collapsed="false">
      <c r="A528" s="7" t="s">
        <v>1104</v>
      </c>
      <c r="B528" s="8" t="s">
        <v>1096</v>
      </c>
      <c r="C528" s="8" t="n">
        <v>2002</v>
      </c>
      <c r="D528" s="9" t="s">
        <v>1105</v>
      </c>
      <c r="E528" s="7" t="s">
        <v>215</v>
      </c>
      <c r="F528" s="10" t="n">
        <f aca="false">IF(ISBLANK($G528),,VLOOKUP($G528, Rarities!$A$1:$B869, 2, FALSE()))</f>
        <v>2</v>
      </c>
      <c r="G528" s="8" t="s">
        <v>36</v>
      </c>
      <c r="H528" s="8" t="str">
        <f aca="false">VLOOKUP(B528,Manufacturers!A$1:B869,2)</f>
        <v>GB</v>
      </c>
      <c r="I528" s="11" t="n">
        <v>250000</v>
      </c>
      <c r="J528" s="8"/>
      <c r="K528" s="8"/>
      <c r="L528" s="12"/>
      <c r="M528" s="11"/>
      <c r="N528" s="11"/>
      <c r="O528" s="8"/>
      <c r="P528" s="8"/>
    </row>
    <row r="529" customFormat="false" ht="15.75" hidden="false" customHeight="true" outlineLevel="0" collapsed="false">
      <c r="A529" s="7" t="s">
        <v>1106</v>
      </c>
      <c r="B529" s="8" t="s">
        <v>1096</v>
      </c>
      <c r="C529" s="8" t="n">
        <v>2009</v>
      </c>
      <c r="D529" s="9" t="s">
        <v>1107</v>
      </c>
      <c r="E529" s="7" t="s">
        <v>111</v>
      </c>
      <c r="F529" s="10" t="n">
        <f aca="false">IF(ISBLANK($G529),,VLOOKUP($G529, Rarities!$A$1:$B869, 2, FALSE()))</f>
        <v>3</v>
      </c>
      <c r="G529" s="8" t="s">
        <v>53</v>
      </c>
      <c r="H529" s="8" t="str">
        <f aca="false">VLOOKUP(B529,Manufacturers!A$1:B869,2)</f>
        <v>GB</v>
      </c>
      <c r="I529" s="11" t="n">
        <v>250000</v>
      </c>
      <c r="J529" s="8"/>
      <c r="K529" s="8"/>
      <c r="L529" s="12"/>
      <c r="M529" s="11"/>
      <c r="N529" s="11"/>
      <c r="O529" s="8"/>
      <c r="P529" s="8"/>
    </row>
    <row r="530" customFormat="false" ht="15.75" hidden="false" customHeight="true" outlineLevel="0" collapsed="false">
      <c r="A530" s="7" t="s">
        <v>1108</v>
      </c>
      <c r="B530" s="8" t="s">
        <v>1096</v>
      </c>
      <c r="C530" s="8" t="n">
        <v>2012</v>
      </c>
      <c r="D530" s="9" t="s">
        <v>1109</v>
      </c>
      <c r="E530" s="7" t="s">
        <v>26</v>
      </c>
      <c r="F530" s="10" t="n">
        <f aca="false">IF(ISBLANK($G530),,VLOOKUP($G530, Rarities!$A$1:$B869, 2, FALSE()))</f>
        <v>2</v>
      </c>
      <c r="G530" s="8" t="s">
        <v>36</v>
      </c>
      <c r="H530" s="8" t="str">
        <f aca="false">VLOOKUP(B530,Manufacturers!A$1:B869,2)</f>
        <v>GB</v>
      </c>
      <c r="I530" s="11" t="n">
        <v>85000</v>
      </c>
      <c r="J530" s="8"/>
      <c r="K530" s="8" t="n">
        <v>1</v>
      </c>
      <c r="L530" s="12" t="n">
        <v>11</v>
      </c>
      <c r="M530" s="11" t="e">
        <f aca="false">IF(AND(ISNUMBER(L530),L530&gt;0),(3*J530+K530)*#REF!/L530,"-")</f>
        <v>#REF!</v>
      </c>
      <c r="N530" s="11" t="e">
        <f aca="false">IF(AND(#REF!,ISNUMBER(L530),L530&gt;0),((3*J530+K530)*#REF!-I530)/L530,"-")</f>
        <v>#REF!</v>
      </c>
      <c r="O530" s="8"/>
      <c r="P530" s="8"/>
    </row>
    <row r="531" customFormat="false" ht="15.75" hidden="false" customHeight="true" outlineLevel="0" collapsed="false">
      <c r="A531" s="7" t="s">
        <v>1110</v>
      </c>
      <c r="B531" s="8" t="s">
        <v>1096</v>
      </c>
      <c r="C531" s="8" t="n">
        <v>2016</v>
      </c>
      <c r="D531" s="9" t="s">
        <v>1111</v>
      </c>
      <c r="E531" s="7" t="s">
        <v>111</v>
      </c>
      <c r="F531" s="10" t="n">
        <f aca="false">IF(ISBLANK($G531),,VLOOKUP($G531, Rarities!$A$1:$B869, 2, FALSE()))</f>
        <v>3</v>
      </c>
      <c r="G531" s="8" t="s">
        <v>53</v>
      </c>
      <c r="H531" s="8" t="str">
        <f aca="false">VLOOKUP(B531,Manufacturers!A$1:B869,2)</f>
        <v>GB</v>
      </c>
      <c r="I531" s="11" t="n">
        <v>150000</v>
      </c>
      <c r="J531" s="8"/>
      <c r="K531" s="8" t="n">
        <v>1</v>
      </c>
      <c r="L531" s="12" t="n">
        <v>9</v>
      </c>
      <c r="M531" s="11" t="e">
        <f aca="false">IF(AND(ISNUMBER(L531),L531&gt;0),(3*J531+K531)*#REF!/L531,"-")</f>
        <v>#REF!</v>
      </c>
      <c r="N531" s="11" t="e">
        <f aca="false">IF(AND(#REF!,ISNUMBER(L531),L531&gt;0),((3*J531+K531)*#REF!-I531)/L531,"-")</f>
        <v>#REF!</v>
      </c>
      <c r="O531" s="8"/>
      <c r="P531" s="8"/>
    </row>
    <row r="532" customFormat="false" ht="15.75" hidden="false" customHeight="true" outlineLevel="0" collapsed="false">
      <c r="A532" s="7" t="s">
        <v>1112</v>
      </c>
      <c r="B532" s="8" t="s">
        <v>1096</v>
      </c>
      <c r="C532" s="8" t="n">
        <v>2020</v>
      </c>
      <c r="D532" s="9" t="s">
        <v>1113</v>
      </c>
      <c r="E532" s="7" t="s">
        <v>118</v>
      </c>
      <c r="F532" s="10" t="n">
        <f aca="false">IF(ISBLANK($G532),,VLOOKUP($G532, Rarities!$A$1:$B869, 2, FALSE()))</f>
        <v>4</v>
      </c>
      <c r="G532" s="8" t="s">
        <v>41</v>
      </c>
      <c r="H532" s="8" t="str">
        <f aca="false">VLOOKUP(B532,Manufacturers!A$1:B869,2)</f>
        <v>GB</v>
      </c>
      <c r="I532" s="11" t="n">
        <v>2500000</v>
      </c>
      <c r="J532" s="8" t="n">
        <v>1</v>
      </c>
      <c r="K532" s="8" t="n">
        <v>1</v>
      </c>
      <c r="L532" s="12" t="n">
        <v>14</v>
      </c>
      <c r="M532" s="11" t="e">
        <f aca="false">IF(AND(ISNUMBER(L532),L532&gt;0),(3*J532+K532)*#REF!/L532,"-")</f>
        <v>#REF!</v>
      </c>
      <c r="N532" s="11" t="e">
        <f aca="false">IF(AND(#REF!,ISNUMBER(L532),L532&gt;0),((3*J532+K532)*#REF!-I532)/L532,"-")</f>
        <v>#REF!</v>
      </c>
      <c r="O532" s="8"/>
      <c r="P532" s="8"/>
    </row>
    <row r="533" customFormat="false" ht="15.75" hidden="false" customHeight="true" outlineLevel="0" collapsed="false">
      <c r="A533" s="7" t="s">
        <v>1114</v>
      </c>
      <c r="B533" s="8" t="s">
        <v>1096</v>
      </c>
      <c r="C533" s="8" t="n">
        <v>2023</v>
      </c>
      <c r="D533" s="9" t="s">
        <v>1115</v>
      </c>
      <c r="E533" s="7" t="s">
        <v>26</v>
      </c>
      <c r="F533" s="10" t="n">
        <f aca="false">IF(ISBLANK($G533),,VLOOKUP($G533, Rarities!$A$1:$B869, 2, FALSE()))</f>
        <v>2</v>
      </c>
      <c r="G533" s="8" t="s">
        <v>36</v>
      </c>
      <c r="H533" s="8" t="str">
        <f aca="false">VLOOKUP(B533,Manufacturers!A$1:B869,2)</f>
        <v>GB</v>
      </c>
      <c r="I533" s="11" t="n">
        <v>95000</v>
      </c>
      <c r="J533" s="8"/>
      <c r="K533" s="8"/>
      <c r="L533" s="12"/>
      <c r="M533" s="11"/>
      <c r="N533" s="11"/>
      <c r="O533" s="8"/>
      <c r="P533" s="8"/>
    </row>
    <row r="534" customFormat="false" ht="15.75" hidden="false" customHeight="true" outlineLevel="0" collapsed="false">
      <c r="A534" s="7" t="s">
        <v>1116</v>
      </c>
      <c r="B534" s="8" t="s">
        <v>1117</v>
      </c>
      <c r="C534" s="8" t="n">
        <v>2023</v>
      </c>
      <c r="D534" s="9" t="s">
        <v>1118</v>
      </c>
      <c r="E534" s="7" t="s">
        <v>58</v>
      </c>
      <c r="F534" s="10" t="n">
        <f aca="false">IF(ISBLANK($G534),,VLOOKUP($G534, Rarities!$A$1:$B869, 2, FALSE()))</f>
        <v>2</v>
      </c>
      <c r="G534" s="8" t="s">
        <v>36</v>
      </c>
      <c r="H534" s="8" t="str">
        <f aca="false">VLOOKUP(B534,Manufacturers!A$1:B869,2)</f>
        <v>US</v>
      </c>
      <c r="I534" s="11" t="n">
        <v>250000</v>
      </c>
      <c r="J534" s="8"/>
      <c r="K534" s="8"/>
      <c r="L534" s="12"/>
      <c r="M534" s="11"/>
      <c r="N534" s="11"/>
      <c r="O534" s="8"/>
      <c r="P534" s="8"/>
    </row>
    <row r="535" customFormat="false" ht="15.75" hidden="false" customHeight="true" outlineLevel="0" collapsed="false">
      <c r="A535" s="7" t="s">
        <v>1119</v>
      </c>
      <c r="B535" s="8" t="s">
        <v>1120</v>
      </c>
      <c r="C535" s="8" t="n">
        <v>2020</v>
      </c>
      <c r="D535" s="9" t="s">
        <v>1121</v>
      </c>
      <c r="E535" s="7" t="s">
        <v>111</v>
      </c>
      <c r="F535" s="10" t="n">
        <f aca="false">IF(ISBLANK($G535),,VLOOKUP($G535, Rarities!$A$1:$B869, 2, FALSE()))</f>
        <v>2</v>
      </c>
      <c r="G535" s="8" t="s">
        <v>36</v>
      </c>
      <c r="H535" s="8" t="str">
        <f aca="false">VLOOKUP(B535,Manufacturers!A$1:B869,2)</f>
        <v>CN</v>
      </c>
      <c r="I535" s="11" t="n">
        <v>250000</v>
      </c>
      <c r="J535" s="8"/>
      <c r="K535" s="8"/>
      <c r="L535" s="12"/>
      <c r="M535" s="11"/>
      <c r="N535" s="11"/>
      <c r="O535" s="8"/>
      <c r="P535" s="8"/>
    </row>
    <row r="536" customFormat="false" ht="15.75" hidden="false" customHeight="true" outlineLevel="0" collapsed="false">
      <c r="A536" s="7" t="s">
        <v>1122</v>
      </c>
      <c r="B536" s="8" t="s">
        <v>1120</v>
      </c>
      <c r="C536" s="8" t="n">
        <v>2021</v>
      </c>
      <c r="D536" s="9" t="s">
        <v>1123</v>
      </c>
      <c r="E536" s="7" t="s">
        <v>58</v>
      </c>
      <c r="F536" s="10" t="n">
        <f aca="false">IF(ISBLANK($G536),,VLOOKUP($G536, Rarities!$A$1:$B869, 2, FALSE()))</f>
        <v>2</v>
      </c>
      <c r="G536" s="8" t="s">
        <v>36</v>
      </c>
      <c r="H536" s="8" t="str">
        <f aca="false">VLOOKUP(B536,Manufacturers!A$1:B869,2)</f>
        <v>CN</v>
      </c>
      <c r="I536" s="11" t="n">
        <v>250000</v>
      </c>
      <c r="J536" s="8"/>
      <c r="K536" s="8"/>
      <c r="L536" s="12"/>
      <c r="M536" s="11"/>
      <c r="N536" s="11"/>
      <c r="O536" s="8"/>
      <c r="P536" s="8"/>
    </row>
    <row r="537" customFormat="false" ht="15.75" hidden="false" customHeight="true" outlineLevel="0" collapsed="false">
      <c r="A537" s="7" t="s">
        <v>1124</v>
      </c>
      <c r="B537" s="8" t="s">
        <v>1120</v>
      </c>
      <c r="C537" s="8" t="n">
        <v>2022</v>
      </c>
      <c r="D537" s="9" t="s">
        <v>1125</v>
      </c>
      <c r="E537" s="7" t="s">
        <v>23</v>
      </c>
      <c r="F537" s="10" t="n">
        <f aca="false">IF(ISBLANK($G537),,VLOOKUP($G537, Rarities!$A$1:$B869, 2, FALSE()))</f>
        <v>2</v>
      </c>
      <c r="G537" s="8" t="s">
        <v>36</v>
      </c>
      <c r="H537" s="8" t="str">
        <f aca="false">VLOOKUP(B537,Manufacturers!A$1:B869,2)</f>
        <v>CN</v>
      </c>
      <c r="I537" s="11" t="n">
        <v>250000</v>
      </c>
      <c r="J537" s="8"/>
      <c r="K537" s="8"/>
      <c r="L537" s="12"/>
      <c r="M537" s="11"/>
      <c r="N537" s="11"/>
      <c r="O537" s="8"/>
      <c r="P537" s="8"/>
    </row>
    <row r="538" customFormat="false" ht="15.75" hidden="false" customHeight="true" outlineLevel="0" collapsed="false">
      <c r="A538" s="7" t="s">
        <v>1126</v>
      </c>
      <c r="B538" s="8" t="s">
        <v>1120</v>
      </c>
      <c r="C538" s="8" t="n">
        <v>2022</v>
      </c>
      <c r="D538" s="9" t="s">
        <v>1127</v>
      </c>
      <c r="E538" s="7" t="s">
        <v>125</v>
      </c>
      <c r="F538" s="10" t="n">
        <f aca="false">IF(ISBLANK($G538),,VLOOKUP($G538, Rarities!$A$1:$B869, 2, FALSE()))</f>
        <v>2</v>
      </c>
      <c r="G538" s="8" t="s">
        <v>36</v>
      </c>
      <c r="H538" s="8" t="str">
        <f aca="false">VLOOKUP(B538,Manufacturers!A$1:B869,2)</f>
        <v>CN</v>
      </c>
      <c r="I538" s="11" t="n">
        <v>42000</v>
      </c>
      <c r="J538" s="8"/>
      <c r="K538" s="8"/>
      <c r="L538" s="12"/>
      <c r="M538" s="11"/>
      <c r="N538" s="11"/>
      <c r="O538" s="8"/>
      <c r="P538" s="8"/>
    </row>
    <row r="539" customFormat="false" ht="15.75" hidden="false" customHeight="true" outlineLevel="0" collapsed="false">
      <c r="A539" s="7" t="s">
        <v>1128</v>
      </c>
      <c r="B539" s="8" t="s">
        <v>1129</v>
      </c>
      <c r="C539" s="8" t="n">
        <v>1939</v>
      </c>
      <c r="D539" s="9" t="s">
        <v>1130</v>
      </c>
      <c r="E539" s="7" t="s">
        <v>188</v>
      </c>
      <c r="F539" s="10" t="n">
        <f aca="false">IF(ISBLANK($G539),,VLOOKUP($G539, Rarities!$A$1:$B869, 2, FALSE()))</f>
        <v>4</v>
      </c>
      <c r="G539" s="8" t="s">
        <v>41</v>
      </c>
      <c r="H539" s="8" t="str">
        <f aca="false">VLOOKUP(B539,Manufacturers!A$1:B869,2)</f>
        <v>IT</v>
      </c>
      <c r="I539" s="11" t="n">
        <v>10000000</v>
      </c>
      <c r="J539" s="8" t="n">
        <v>2</v>
      </c>
      <c r="K539" s="8"/>
      <c r="L539" s="12" t="n">
        <v>25</v>
      </c>
      <c r="M539" s="11" t="e">
        <f aca="false">IF(AND(ISNUMBER(L539),L539&gt;0),(3*J539+K539)*#REF!/L539,"-")</f>
        <v>#REF!</v>
      </c>
      <c r="N539" s="11" t="e">
        <f aca="false">IF(AND(#REF!,ISNUMBER(L539),L539&gt;0),((3*J539+K539)*#REF!-I539)/L539,"-")</f>
        <v>#REF!</v>
      </c>
      <c r="O539" s="8"/>
      <c r="P539" s="8"/>
    </row>
    <row r="540" customFormat="false" ht="15.75" hidden="false" customHeight="true" outlineLevel="0" collapsed="false">
      <c r="A540" s="7" t="s">
        <v>1131</v>
      </c>
      <c r="B540" s="8" t="s">
        <v>1129</v>
      </c>
      <c r="C540" s="8" t="n">
        <v>2008</v>
      </c>
      <c r="D540" s="9" t="s">
        <v>1132</v>
      </c>
      <c r="E540" s="7" t="s">
        <v>86</v>
      </c>
      <c r="F540" s="10" t="n">
        <f aca="false">IF(ISBLANK($G540),,VLOOKUP($G540, Rarities!$A$1:$B869, 2, FALSE()))</f>
        <v>4</v>
      </c>
      <c r="G540" s="8" t="s">
        <v>41</v>
      </c>
      <c r="H540" s="8" t="str">
        <f aca="false">VLOOKUP(B540,Manufacturers!A$1:B869,2)</f>
        <v>IT</v>
      </c>
      <c r="I540" s="11" t="n">
        <v>2500000</v>
      </c>
      <c r="J540" s="8"/>
      <c r="K540" s="8" t="n">
        <v>2</v>
      </c>
      <c r="L540" s="12" t="n">
        <v>11</v>
      </c>
      <c r="M540" s="11" t="e">
        <f aca="false">IF(AND(ISNUMBER(L540),L540&gt;0),(3*J540+K540)*#REF!/L540,"-")</f>
        <v>#REF!</v>
      </c>
      <c r="N540" s="11" t="e">
        <f aca="false">IF(AND(#REF!,ISNUMBER(L540),L540&gt;0),((3*J540+K540)*#REF!-I540)/L540,"-")</f>
        <v>#REF!</v>
      </c>
      <c r="O540" s="8"/>
      <c r="P540" s="8"/>
    </row>
    <row r="541" customFormat="false" ht="15.75" hidden="false" customHeight="true" outlineLevel="0" collapsed="false">
      <c r="A541" s="7" t="s">
        <v>1133</v>
      </c>
      <c r="B541" s="8" t="s">
        <v>1129</v>
      </c>
      <c r="C541" s="8" t="n">
        <v>2010</v>
      </c>
      <c r="D541" s="9" t="s">
        <v>1134</v>
      </c>
      <c r="E541" s="7" t="s">
        <v>111</v>
      </c>
      <c r="F541" s="10" t="n">
        <f aca="false">IF(ISBLANK($G541),,VLOOKUP($G541, Rarities!$A$1:$B869, 2, FALSE()))</f>
        <v>5</v>
      </c>
      <c r="G541" s="8" t="s">
        <v>239</v>
      </c>
      <c r="H541" s="8" t="str">
        <f aca="false">VLOOKUP(B541,Manufacturers!A$1:B869,2)</f>
        <v>IT</v>
      </c>
      <c r="I541" s="11" t="n">
        <v>500000</v>
      </c>
      <c r="J541" s="8"/>
      <c r="K541" s="8" t="n">
        <v>1</v>
      </c>
      <c r="L541" s="12" t="n">
        <v>11</v>
      </c>
      <c r="M541" s="11" t="e">
        <f aca="false">IF(AND(ISNUMBER(L541),L541&gt;0),(3*J541+K541)*#REF!/L541,"-")</f>
        <v>#REF!</v>
      </c>
      <c r="N541" s="11" t="e">
        <f aca="false">IF(AND(#REF!,ISNUMBER(L541),L541&gt;0),((3*J541+K541)*#REF!-I541)/L541,"-")</f>
        <v>#REF!</v>
      </c>
      <c r="O541" s="8"/>
      <c r="P541" s="8"/>
    </row>
    <row r="542" customFormat="false" ht="15.75" hidden="false" customHeight="true" outlineLevel="0" collapsed="false">
      <c r="A542" s="7" t="s">
        <v>1135</v>
      </c>
      <c r="B542" s="8" t="s">
        <v>1129</v>
      </c>
      <c r="C542" s="8" t="n">
        <v>2010</v>
      </c>
      <c r="D542" s="9" t="s">
        <v>1136</v>
      </c>
      <c r="E542" s="7" t="s">
        <v>52</v>
      </c>
      <c r="F542" s="10" t="n">
        <f aca="false">IF(ISBLANK($G542),,VLOOKUP($G542, Rarities!$A$1:$B869, 2, FALSE()))</f>
        <v>3</v>
      </c>
      <c r="G542" s="8" t="s">
        <v>53</v>
      </c>
      <c r="H542" s="8" t="str">
        <f aca="false">VLOOKUP(B542,Manufacturers!A$1:B869,2)</f>
        <v>IT</v>
      </c>
      <c r="I542" s="11" t="n">
        <v>156000</v>
      </c>
      <c r="J542" s="8"/>
      <c r="K542" s="8" t="n">
        <v>1</v>
      </c>
      <c r="L542" s="12" t="n">
        <v>9</v>
      </c>
      <c r="M542" s="11" t="e">
        <f aca="false">IF(AND(ISNUMBER(L542),L542&gt;0),(3*J542+K542)*#REF!/L542,"-")</f>
        <v>#REF!</v>
      </c>
      <c r="N542" s="11" t="e">
        <f aca="false">IF(AND(#REF!,ISNUMBER(L542),L542&gt;0),((3*J542+K542)*#REF!-I542)/L542,"-")</f>
        <v>#REF!</v>
      </c>
      <c r="O542" s="8"/>
      <c r="P542" s="8"/>
    </row>
    <row r="543" customFormat="false" ht="15.75" hidden="false" customHeight="true" outlineLevel="0" collapsed="false">
      <c r="A543" s="7" t="s">
        <v>1137</v>
      </c>
      <c r="B543" s="8" t="s">
        <v>1129</v>
      </c>
      <c r="C543" s="8" t="n">
        <v>2017</v>
      </c>
      <c r="D543" s="9" t="s">
        <v>1138</v>
      </c>
      <c r="E543" s="7" t="s">
        <v>125</v>
      </c>
      <c r="F543" s="10" t="n">
        <f aca="false">IF(ISBLANK($G543),,VLOOKUP($G543, Rarities!$A$1:$B869, 2, FALSE()))</f>
        <v>1</v>
      </c>
      <c r="G543" s="8" t="s">
        <v>17</v>
      </c>
      <c r="H543" s="8" t="str">
        <f aca="false">VLOOKUP(B543,Manufacturers!A$1:B869,2)</f>
        <v>IT</v>
      </c>
      <c r="I543" s="11" t="n">
        <v>85000</v>
      </c>
      <c r="J543" s="8"/>
      <c r="K543" s="8" t="n">
        <v>1</v>
      </c>
      <c r="L543" s="12" t="n">
        <v>11</v>
      </c>
      <c r="M543" s="11" t="e">
        <f aca="false">IF(AND(ISNUMBER(L543),L543&gt;0),(3*J543+K543)*#REF!/L543,"-")</f>
        <v>#REF!</v>
      </c>
      <c r="N543" s="11" t="e">
        <f aca="false">IF(AND(#REF!,ISNUMBER(L543),L543&gt;0),((3*J543+K543)*#REF!-I543)/L543,"-")</f>
        <v>#REF!</v>
      </c>
      <c r="O543" s="8"/>
      <c r="P543" s="8"/>
    </row>
    <row r="544" customFormat="false" ht="15.75" hidden="false" customHeight="true" outlineLevel="0" collapsed="false">
      <c r="A544" s="7" t="s">
        <v>1139</v>
      </c>
      <c r="B544" s="8" t="s">
        <v>1140</v>
      </c>
      <c r="C544" s="8" t="n">
        <v>1990</v>
      </c>
      <c r="D544" s="9" t="s">
        <v>1141</v>
      </c>
      <c r="E544" s="7" t="s">
        <v>222</v>
      </c>
      <c r="F544" s="10" t="n">
        <f aca="false">IF(ISBLANK($G544),,VLOOKUP($G544, Rarities!$A$1:$B869, 2, FALSE()))</f>
        <v>3</v>
      </c>
      <c r="G544" s="8" t="s">
        <v>53</v>
      </c>
      <c r="H544" s="8" t="str">
        <f aca="false">VLOOKUP(B544,Manufacturers!A$1:B869,2)</f>
        <v>JP</v>
      </c>
      <c r="I544" s="11" t="n">
        <v>25000</v>
      </c>
      <c r="J544" s="8"/>
      <c r="K544" s="8" t="n">
        <v>1</v>
      </c>
      <c r="L544" s="12" t="n">
        <v>9</v>
      </c>
      <c r="M544" s="11" t="e">
        <f aca="false">IF(AND(ISNUMBER(L544),L544&gt;0),(3*J544+K544)*#REF!/L544,"-")</f>
        <v>#REF!</v>
      </c>
      <c r="N544" s="11" t="e">
        <f aca="false">IF(AND(#REF!,ISNUMBER(L544),L544&gt;0),((3*J544+K544)*#REF!-I544)/L544,"-")</f>
        <v>#REF!</v>
      </c>
      <c r="O544" s="8"/>
      <c r="P544" s="8"/>
    </row>
    <row r="545" customFormat="false" ht="15.75" hidden="false" customHeight="true" outlineLevel="0" collapsed="false">
      <c r="A545" s="7" t="s">
        <v>1142</v>
      </c>
      <c r="B545" s="8" t="s">
        <v>1140</v>
      </c>
      <c r="C545" s="8" t="n">
        <v>1992</v>
      </c>
      <c r="D545" s="9" t="s">
        <v>1143</v>
      </c>
      <c r="E545" s="7" t="s">
        <v>136</v>
      </c>
      <c r="F545" s="10" t="n">
        <f aca="false">IF(ISBLANK($G545),,VLOOKUP($G545, Rarities!$A$1:$B869, 2, FALSE()))</f>
        <v>1</v>
      </c>
      <c r="G545" s="8" t="s">
        <v>17</v>
      </c>
      <c r="H545" s="8" t="str">
        <f aca="false">VLOOKUP(B545,Manufacturers!A$1:B869,2)</f>
        <v>JP</v>
      </c>
      <c r="I545" s="11" t="n">
        <v>25000</v>
      </c>
      <c r="J545" s="8"/>
      <c r="K545" s="8"/>
      <c r="L545" s="12"/>
      <c r="M545" s="11" t="str">
        <f aca="false">IF(AND(ISNUMBER(L545),L545&gt;0),(3*J545+K545)*#REF!/L545,"-")</f>
        <v>-</v>
      </c>
      <c r="N545" s="11" t="e">
        <f aca="false">IF(AND(#REF!,ISNUMBER(L545),L545&gt;0),((3*J545+K545)*#REF!-I545)/L545,"-")</f>
        <v>#REF!</v>
      </c>
      <c r="O545" s="8"/>
      <c r="P545" s="8"/>
    </row>
    <row r="546" customFormat="false" ht="15.75" hidden="false" customHeight="true" outlineLevel="0" collapsed="false">
      <c r="A546" s="7" t="s">
        <v>1144</v>
      </c>
      <c r="B546" s="8" t="s">
        <v>1140</v>
      </c>
      <c r="C546" s="8" t="n">
        <v>1994</v>
      </c>
      <c r="D546" s="9" t="s">
        <v>1145</v>
      </c>
      <c r="E546" s="7" t="s">
        <v>222</v>
      </c>
      <c r="F546" s="10" t="n">
        <f aca="false">IF(ISBLANK($G546),,VLOOKUP($G546, Rarities!$A$1:$B869, 2, FALSE()))</f>
        <v>1</v>
      </c>
      <c r="G546" s="8" t="s">
        <v>17</v>
      </c>
      <c r="H546" s="8" t="str">
        <f aca="false">VLOOKUP(B546,Manufacturers!A$1:B869,2)</f>
        <v>JP</v>
      </c>
      <c r="I546" s="11" t="n">
        <v>25000</v>
      </c>
      <c r="J546" s="8"/>
      <c r="K546" s="8" t="n">
        <v>2</v>
      </c>
      <c r="L546" s="12" t="n">
        <v>11</v>
      </c>
      <c r="M546" s="11" t="e">
        <f aca="false">IF(AND(ISNUMBER(L546),L546&gt;0),(3*J546+K546)*#REF!/L546,"-")</f>
        <v>#REF!</v>
      </c>
      <c r="N546" s="11" t="e">
        <f aca="false">IF(AND(#REF!,ISNUMBER(L546),L546&gt;0),((3*J546+K546)*#REF!-I546)/L546,"-")</f>
        <v>#REF!</v>
      </c>
      <c r="O546" s="8"/>
      <c r="P546" s="8"/>
    </row>
    <row r="547" customFormat="false" ht="15.75" hidden="false" customHeight="true" outlineLevel="0" collapsed="false">
      <c r="A547" s="7" t="s">
        <v>1146</v>
      </c>
      <c r="B547" s="8" t="s">
        <v>1140</v>
      </c>
      <c r="C547" s="8" t="n">
        <v>1997</v>
      </c>
      <c r="D547" s="9" t="s">
        <v>1147</v>
      </c>
      <c r="E547" s="7" t="s">
        <v>222</v>
      </c>
      <c r="F547" s="10" t="n">
        <f aca="false">IF(ISBLANK($G547),,VLOOKUP($G547, Rarities!$A$1:$B869, 2, FALSE()))</f>
        <v>1</v>
      </c>
      <c r="G547" s="8" t="s">
        <v>17</v>
      </c>
      <c r="H547" s="8" t="str">
        <f aca="false">VLOOKUP(B547,Manufacturers!A$1:B869,2)</f>
        <v>JP</v>
      </c>
      <c r="I547" s="11" t="n">
        <v>35000</v>
      </c>
      <c r="J547" s="8" t="n">
        <v>1</v>
      </c>
      <c r="K547" s="8"/>
      <c r="L547" s="12" t="n">
        <v>14</v>
      </c>
      <c r="M547" s="11" t="e">
        <f aca="false">IF(AND(ISNUMBER(L547),L547&gt;0),(3*J547+K547)*#REF!/L547,"-")</f>
        <v>#REF!</v>
      </c>
      <c r="N547" s="11" t="e">
        <f aca="false">IF(AND(#REF!,ISNUMBER(L547),L547&gt;0),((3*J547+K547)*#REF!-I547)/L547,"-")</f>
        <v>#REF!</v>
      </c>
      <c r="O547" s="8"/>
      <c r="P547" s="8"/>
    </row>
    <row r="548" customFormat="false" ht="15.75" hidden="false" customHeight="true" outlineLevel="0" collapsed="false">
      <c r="A548" s="7" t="s">
        <v>1148</v>
      </c>
      <c r="B548" s="8" t="s">
        <v>1140</v>
      </c>
      <c r="C548" s="8" t="n">
        <v>2002</v>
      </c>
      <c r="D548" s="9" t="s">
        <v>1149</v>
      </c>
      <c r="E548" s="7" t="s">
        <v>222</v>
      </c>
      <c r="F548" s="10" t="n">
        <f aca="false">IF(ISBLANK($G548),,VLOOKUP($G548, Rarities!$A$1:$B869, 2, FALSE()))</f>
        <v>2</v>
      </c>
      <c r="G548" s="8" t="s">
        <v>36</v>
      </c>
      <c r="H548" s="8" t="str">
        <f aca="false">VLOOKUP(B548,Manufacturers!A$1:B869,2)</f>
        <v>JP</v>
      </c>
      <c r="I548" s="11" t="n">
        <v>30000</v>
      </c>
      <c r="J548" s="8"/>
      <c r="K548" s="8" t="n">
        <v>1</v>
      </c>
      <c r="L548" s="12" t="n">
        <v>9</v>
      </c>
      <c r="M548" s="11" t="e">
        <f aca="false">IF(AND(ISNUMBER(L548),L548&gt;0),(3*J548+K548)*#REF!/L548,"-")</f>
        <v>#REF!</v>
      </c>
      <c r="N548" s="11" t="e">
        <f aca="false">IF(AND(#REF!,ISNUMBER(L548),L548&gt;0),((3*J548+K548)*#REF!-I548)/L548,"-")</f>
        <v>#REF!</v>
      </c>
      <c r="O548" s="8"/>
      <c r="P548" s="8"/>
    </row>
    <row r="549" customFormat="false" ht="15.75" hidden="false" customHeight="true" outlineLevel="0" collapsed="false">
      <c r="A549" s="7" t="s">
        <v>1150</v>
      </c>
      <c r="B549" s="8" t="s">
        <v>1140</v>
      </c>
      <c r="C549" s="8" t="n">
        <v>2005</v>
      </c>
      <c r="D549" s="9" t="s">
        <v>1151</v>
      </c>
      <c r="E549" s="7" t="s">
        <v>222</v>
      </c>
      <c r="F549" s="10" t="n">
        <f aca="false">IF(ISBLANK($G549),,VLOOKUP($G549, Rarities!$A$1:$B869, 2, FALSE()))</f>
        <v>1</v>
      </c>
      <c r="G549" s="8" t="s">
        <v>17</v>
      </c>
      <c r="H549" s="8" t="str">
        <f aca="false">VLOOKUP(B549,Manufacturers!A$1:B869,2)</f>
        <v>JP</v>
      </c>
      <c r="I549" s="11" t="n">
        <v>25000</v>
      </c>
      <c r="J549" s="8"/>
      <c r="K549" s="8" t="n">
        <v>2</v>
      </c>
      <c r="L549" s="12" t="n">
        <v>11</v>
      </c>
      <c r="M549" s="11" t="e">
        <f aca="false">IF(AND(ISNUMBER(L549),L549&gt;0),(3*J549+K549)*#REF!/L549,"-")</f>
        <v>#REF!</v>
      </c>
      <c r="N549" s="11" t="e">
        <f aca="false">IF(AND(#REF!,ISNUMBER(L549),L549&gt;0),((3*J549+K549)*#REF!-I549)/L549,"-")</f>
        <v>#REF!</v>
      </c>
      <c r="O549" s="8"/>
      <c r="P549" s="8"/>
    </row>
    <row r="550" customFormat="false" ht="15.75" hidden="false" customHeight="true" outlineLevel="0" collapsed="false">
      <c r="A550" s="7" t="s">
        <v>244</v>
      </c>
      <c r="B550" s="8" t="s">
        <v>1140</v>
      </c>
      <c r="C550" s="8" t="n">
        <v>2010</v>
      </c>
      <c r="D550" s="9" t="s">
        <v>1152</v>
      </c>
      <c r="E550" s="7" t="s">
        <v>244</v>
      </c>
      <c r="F550" s="10" t="n">
        <f aca="false">IF(ISBLANK($G550),,VLOOKUP($G550, Rarities!$A$1:$B869, 2, FALSE()))</f>
        <v>0</v>
      </c>
      <c r="G550" s="8" t="s">
        <v>244</v>
      </c>
      <c r="H550" s="8" t="str">
        <f aca="false">VLOOKUP(B550,Manufacturers!A$1:B869,2)</f>
        <v>JP</v>
      </c>
      <c r="I550" s="11" t="s">
        <v>244</v>
      </c>
      <c r="J550" s="8"/>
      <c r="K550" s="8"/>
      <c r="L550" s="12" t="s">
        <v>244</v>
      </c>
      <c r="M550" s="11" t="str">
        <f aca="false">IF(AND(ISNUMBER(L550),L550&gt;0),(3*J550+K550)*#REF!/L550,"-")</f>
        <v>-</v>
      </c>
      <c r="N550" s="11" t="e">
        <f aca="false">IF(AND(#REF!,ISNUMBER(L550),L550&gt;0),((3*J550+K550)*#REF!-I550)/L550,"-")</f>
        <v>#REF!</v>
      </c>
      <c r="O550" s="8"/>
      <c r="P550" s="8"/>
    </row>
    <row r="551" customFormat="false" ht="15.75" hidden="false" customHeight="true" outlineLevel="0" collapsed="false">
      <c r="A551" s="7" t="s">
        <v>1153</v>
      </c>
      <c r="B551" s="8" t="s">
        <v>1140</v>
      </c>
      <c r="C551" s="8" t="n">
        <v>2011</v>
      </c>
      <c r="D551" s="9" t="s">
        <v>1154</v>
      </c>
      <c r="E551" s="7" t="s">
        <v>26</v>
      </c>
      <c r="F551" s="10" t="n">
        <f aca="false">IF(ISBLANK($G551),,VLOOKUP($G551, Rarities!$A$1:$B869, 2, FALSE()))</f>
        <v>2</v>
      </c>
      <c r="G551" s="8" t="s">
        <v>36</v>
      </c>
      <c r="H551" s="8" t="str">
        <f aca="false">VLOOKUP(B551,Manufacturers!A$1:B869,2)</f>
        <v>JP</v>
      </c>
      <c r="I551" s="11" t="n">
        <v>27000</v>
      </c>
      <c r="J551" s="8"/>
      <c r="K551" s="8" t="n">
        <v>1</v>
      </c>
      <c r="L551" s="12" t="n">
        <v>9</v>
      </c>
      <c r="M551" s="11" t="e">
        <f aca="false">IF(AND(ISNUMBER(L551),L551&gt;0),(3*J551+K551)*#REF!/L551,"-")</f>
        <v>#REF!</v>
      </c>
      <c r="N551" s="11" t="e">
        <f aca="false">IF(AND(#REF!,ISNUMBER(L551),L551&gt;0),((3*J551+K551)*#REF!-I551)/L551,"-")</f>
        <v>#REF!</v>
      </c>
      <c r="O551" s="8"/>
      <c r="P551" s="8"/>
    </row>
    <row r="552" customFormat="false" ht="15.75" hidden="false" customHeight="true" outlineLevel="0" collapsed="false">
      <c r="A552" s="7" t="s">
        <v>1155</v>
      </c>
      <c r="B552" s="8" t="s">
        <v>1140</v>
      </c>
      <c r="C552" s="8" t="n">
        <v>2013</v>
      </c>
      <c r="D552" s="9" t="s">
        <v>1156</v>
      </c>
      <c r="E552" s="7" t="s">
        <v>26</v>
      </c>
      <c r="F552" s="10" t="n">
        <f aca="false">IF(ISBLANK($G552),,VLOOKUP($G552, Rarities!$A$1:$B869, 2, FALSE()))</f>
        <v>1</v>
      </c>
      <c r="G552" s="8" t="s">
        <v>17</v>
      </c>
      <c r="H552" s="8" t="str">
        <f aca="false">VLOOKUP(B552,Manufacturers!A$1:B869,2)</f>
        <v>JP</v>
      </c>
      <c r="I552" s="11" t="n">
        <v>26000</v>
      </c>
      <c r="J552" s="8"/>
      <c r="K552" s="8" t="n">
        <v>1</v>
      </c>
      <c r="L552" s="12" t="n">
        <v>9</v>
      </c>
      <c r="M552" s="11" t="e">
        <f aca="false">IF(AND(ISNUMBER(L552),L552&gt;0),(3*J552+K552)*#REF!/L552,"-")</f>
        <v>#REF!</v>
      </c>
      <c r="N552" s="11" t="e">
        <f aca="false">IF(AND(#REF!,ISNUMBER(L552),L552&gt;0),((3*J552+K552)*#REF!-I552)/L552,"-")</f>
        <v>#REF!</v>
      </c>
      <c r="O552" s="8"/>
      <c r="P552" s="8"/>
    </row>
    <row r="553" customFormat="false" ht="15.75" hidden="false" customHeight="true" outlineLevel="0" collapsed="false">
      <c r="A553" s="7" t="s">
        <v>1157</v>
      </c>
      <c r="B553" s="8" t="s">
        <v>1140</v>
      </c>
      <c r="C553" s="8" t="n">
        <v>2016</v>
      </c>
      <c r="D553" s="9" t="s">
        <v>1156</v>
      </c>
      <c r="E553" s="7" t="s">
        <v>26</v>
      </c>
      <c r="F553" s="10" t="n">
        <f aca="false">IF(ISBLANK($G553),,VLOOKUP($G553, Rarities!$A$1:$B869, 2, FALSE()))</f>
        <v>1</v>
      </c>
      <c r="G553" s="8" t="s">
        <v>17</v>
      </c>
      <c r="H553" s="8" t="str">
        <f aca="false">VLOOKUP(B553,Manufacturers!A$1:B869,2)</f>
        <v>JP</v>
      </c>
      <c r="I553" s="11" t="n">
        <v>35000</v>
      </c>
      <c r="J553" s="8"/>
      <c r="K553" s="8" t="n">
        <v>1</v>
      </c>
      <c r="L553" s="12" t="n">
        <v>9</v>
      </c>
      <c r="M553" s="11" t="e">
        <f aca="false">IF(AND(ISNUMBER(L553),L553&gt;0),(3*J553+K553)*#REF!/L553,"-")</f>
        <v>#REF!</v>
      </c>
      <c r="N553" s="11" t="e">
        <f aca="false">IF(AND(#REF!,ISNUMBER(L553),L553&gt;0),((3*J553+K553)*#REF!-I553)/L553,"-")</f>
        <v>#REF!</v>
      </c>
      <c r="O553" s="8"/>
      <c r="P553" s="8"/>
    </row>
    <row r="554" customFormat="false" ht="15.75" hidden="false" customHeight="true" outlineLevel="0" collapsed="false">
      <c r="A554" s="7" t="s">
        <v>1158</v>
      </c>
      <c r="B554" s="8" t="s">
        <v>1159</v>
      </c>
      <c r="C554" s="8" t="n">
        <v>1993</v>
      </c>
      <c r="D554" s="9" t="s">
        <v>1160</v>
      </c>
      <c r="E554" s="7" t="s">
        <v>215</v>
      </c>
      <c r="F554" s="10" t="n">
        <f aca="false">IF(ISBLANK($G554),,VLOOKUP($G554, Rarities!$A$1:$B869, 2, FALSE()))</f>
        <v>4</v>
      </c>
      <c r="G554" s="8" t="s">
        <v>41</v>
      </c>
      <c r="H554" s="8" t="str">
        <f aca="false">VLOOKUP(B554,Manufacturers!A$1:B869,2)</f>
        <v>GB</v>
      </c>
      <c r="I554" s="11" t="n">
        <v>15000000</v>
      </c>
      <c r="J554" s="8"/>
      <c r="K554" s="8" t="n">
        <v>3</v>
      </c>
      <c r="L554" s="12" t="n">
        <v>13</v>
      </c>
      <c r="M554" s="11" t="e">
        <f aca="false">IF(AND(ISNUMBER(L554),L554&gt;0),(3*J554+K554)*#REF!/L554,"-")</f>
        <v>#REF!</v>
      </c>
      <c r="N554" s="11" t="e">
        <f aca="false">IF(AND(#REF!,ISNUMBER(L554),L554&gt;0),((3*J554+K554)*#REF!-I554)/L554,"-")</f>
        <v>#REF!</v>
      </c>
      <c r="O554" s="8"/>
      <c r="P554" s="8"/>
    </row>
    <row r="555" customFormat="false" ht="15.75" hidden="false" customHeight="true" outlineLevel="0" collapsed="false">
      <c r="A555" s="7" t="s">
        <v>1161</v>
      </c>
      <c r="B555" s="8" t="s">
        <v>1159</v>
      </c>
      <c r="C555" s="8" t="n">
        <v>1997</v>
      </c>
      <c r="D555" s="9" t="s">
        <v>1162</v>
      </c>
      <c r="E555" s="7" t="s">
        <v>215</v>
      </c>
      <c r="F555" s="10" t="n">
        <f aca="false">IF(ISBLANK($G555),,VLOOKUP($G555, Rarities!$A$1:$B869, 2, FALSE()))</f>
        <v>4</v>
      </c>
      <c r="G555" s="8" t="s">
        <v>41</v>
      </c>
      <c r="H555" s="8" t="str">
        <f aca="false">VLOOKUP(B555,Manufacturers!A$1:B869,2)</f>
        <v>GB</v>
      </c>
      <c r="I555" s="11" t="n">
        <v>15000000</v>
      </c>
      <c r="J555" s="8"/>
      <c r="K555" s="8" t="n">
        <v>2</v>
      </c>
      <c r="L555" s="12" t="n">
        <v>11</v>
      </c>
      <c r="M555" s="11" t="e">
        <f aca="false">IF(AND(ISNUMBER(L555),L555&gt;0),(3*J555+K555)*#REF!/L555,"-")</f>
        <v>#REF!</v>
      </c>
      <c r="N555" s="11" t="e">
        <f aca="false">IF(AND(#REF!,ISNUMBER(L555),L555&gt;0),((3*J555+K555)*#REF!-I555)/L555,"-")</f>
        <v>#REF!</v>
      </c>
      <c r="O555" s="8"/>
      <c r="P555" s="8"/>
    </row>
    <row r="556" customFormat="false" ht="15.75" hidden="false" customHeight="true" outlineLevel="0" collapsed="false">
      <c r="A556" s="7" t="s">
        <v>1163</v>
      </c>
      <c r="B556" s="8" t="s">
        <v>1159</v>
      </c>
      <c r="C556" s="8" t="n">
        <v>2011</v>
      </c>
      <c r="D556" s="9" t="s">
        <v>1164</v>
      </c>
      <c r="E556" s="7" t="s">
        <v>35</v>
      </c>
      <c r="F556" s="10" t="n">
        <f aca="false">IF(ISBLANK($G556),,VLOOKUP($G556, Rarities!$A$1:$B869, 2, FALSE()))</f>
        <v>3</v>
      </c>
      <c r="G556" s="8" t="s">
        <v>53</v>
      </c>
      <c r="H556" s="8" t="str">
        <f aca="false">VLOOKUP(B556,Manufacturers!A$1:B869,2)</f>
        <v>GB</v>
      </c>
      <c r="I556" s="11" t="n">
        <v>250000</v>
      </c>
      <c r="J556" s="8"/>
      <c r="K556" s="8"/>
      <c r="L556" s="12"/>
      <c r="M556" s="11"/>
      <c r="N556" s="11"/>
      <c r="O556" s="8"/>
      <c r="P556" s="8"/>
    </row>
    <row r="557" customFormat="false" ht="15.75" hidden="false" customHeight="true" outlineLevel="0" collapsed="false">
      <c r="A557" s="7" t="s">
        <v>1165</v>
      </c>
      <c r="B557" s="8" t="s">
        <v>1159</v>
      </c>
      <c r="C557" s="8" t="n">
        <v>2013</v>
      </c>
      <c r="D557" s="9" t="s">
        <v>1166</v>
      </c>
      <c r="E557" s="7" t="s">
        <v>118</v>
      </c>
      <c r="F557" s="10" t="n">
        <f aca="false">IF(ISBLANK($G557),,VLOOKUP($G557, Rarities!$A$1:$B869, 2, FALSE()))</f>
        <v>4</v>
      </c>
      <c r="G557" s="8" t="s">
        <v>41</v>
      </c>
      <c r="H557" s="8" t="str">
        <f aca="false">VLOOKUP(B557,Manufacturers!A$1:B869,2)</f>
        <v>GB</v>
      </c>
      <c r="I557" s="11" t="n">
        <v>1350000</v>
      </c>
      <c r="J557" s="8" t="n">
        <v>2</v>
      </c>
      <c r="K557" s="8" t="n">
        <v>1</v>
      </c>
      <c r="L557" s="12" t="n">
        <v>21</v>
      </c>
      <c r="M557" s="11" t="e">
        <f aca="false">IF(AND(ISNUMBER(L557),L557&gt;0),(3*J557+K557)*#REF!/L557,"-")</f>
        <v>#REF!</v>
      </c>
      <c r="N557" s="11" t="e">
        <f aca="false">IF(AND(#REF!,ISNUMBER(L557),L557&gt;0),((3*J557+K557)*#REF!-I557)/L557,"-")</f>
        <v>#REF!</v>
      </c>
      <c r="O557" s="8"/>
      <c r="P557" s="8"/>
    </row>
    <row r="558" customFormat="false" ht="15.75" hidden="false" customHeight="true" outlineLevel="0" collapsed="false">
      <c r="A558" s="7" t="s">
        <v>1167</v>
      </c>
      <c r="B558" s="8" t="s">
        <v>1159</v>
      </c>
      <c r="C558" s="8" t="n">
        <v>2014</v>
      </c>
      <c r="D558" s="8" t="s">
        <v>1167</v>
      </c>
      <c r="E558" s="7" t="s">
        <v>35</v>
      </c>
      <c r="F558" s="10" t="n">
        <f aca="false">IF(ISBLANK($G558),,VLOOKUP($G558, Rarities!$A$1:$B869, 2, FALSE()))</f>
        <v>3</v>
      </c>
      <c r="G558" s="8" t="s">
        <v>53</v>
      </c>
      <c r="H558" s="8" t="str">
        <f aca="false">VLOOKUP(B558,Manufacturers!A$1:B869,2)</f>
        <v>GB</v>
      </c>
      <c r="I558" s="11" t="n">
        <v>420000</v>
      </c>
      <c r="J558" s="8"/>
      <c r="K558" s="8"/>
      <c r="L558" s="12"/>
      <c r="M558" s="11"/>
      <c r="N558" s="11"/>
      <c r="O558" s="8"/>
      <c r="P558" s="8"/>
    </row>
    <row r="559" customFormat="false" ht="15.75" hidden="false" customHeight="true" outlineLevel="0" collapsed="false">
      <c r="A559" s="7" t="s">
        <v>1168</v>
      </c>
      <c r="B559" s="8" t="s">
        <v>1159</v>
      </c>
      <c r="C559" s="8" t="n">
        <v>2015</v>
      </c>
      <c r="D559" s="8" t="s">
        <v>1169</v>
      </c>
      <c r="E559" s="7" t="s">
        <v>35</v>
      </c>
      <c r="F559" s="10" t="n">
        <f aca="false">IF(ISBLANK($G559),,VLOOKUP($G559, Rarities!$A$1:$B869, 2, FALSE()))</f>
        <v>3</v>
      </c>
      <c r="G559" s="8" t="s">
        <v>53</v>
      </c>
      <c r="H559" s="8" t="str">
        <f aca="false">VLOOKUP(B559,Manufacturers!A$1:B869,2)</f>
        <v>GB</v>
      </c>
      <c r="I559" s="11" t="n">
        <v>224000</v>
      </c>
      <c r="J559" s="8" t="n">
        <v>1</v>
      </c>
      <c r="K559" s="8"/>
      <c r="L559" s="12" t="n">
        <v>10</v>
      </c>
      <c r="M559" s="11" t="e">
        <f aca="false">IF(AND(ISNUMBER(L559),L559&gt;0),(3*J559+K559)*#REF!/L559,"-")</f>
        <v>#REF!</v>
      </c>
      <c r="N559" s="11" t="e">
        <f aca="false">IF(AND(#REF!,ISNUMBER(L559),L559&gt;0),((3*J559+K559)*#REF!-I559)/L559,"-")</f>
        <v>#REF!</v>
      </c>
      <c r="O559" s="8"/>
      <c r="P559" s="8"/>
    </row>
    <row r="560" customFormat="false" ht="15.75" hidden="false" customHeight="true" outlineLevel="0" collapsed="false">
      <c r="A560" s="7" t="s">
        <v>1170</v>
      </c>
      <c r="B560" s="8" t="s">
        <v>1159</v>
      </c>
      <c r="C560" s="8" t="n">
        <v>2015</v>
      </c>
      <c r="D560" s="9" t="s">
        <v>1171</v>
      </c>
      <c r="E560" s="7" t="s">
        <v>35</v>
      </c>
      <c r="F560" s="10" t="n">
        <f aca="false">IF(ISBLANK($G560),,VLOOKUP($G560, Rarities!$A$1:$B869, 2, FALSE()))</f>
        <v>3</v>
      </c>
      <c r="G560" s="8" t="s">
        <v>53</v>
      </c>
      <c r="H560" s="8" t="str">
        <f aca="false">VLOOKUP(B560,Manufacturers!A$1:B869,2)</f>
        <v>GB</v>
      </c>
      <c r="I560" s="11" t="n">
        <v>420000</v>
      </c>
      <c r="J560" s="8" t="n">
        <v>1</v>
      </c>
      <c r="K560" s="8"/>
      <c r="L560" s="12" t="n">
        <v>10</v>
      </c>
      <c r="M560" s="11" t="e">
        <f aca="false">IF(AND(ISNUMBER(L560),L560&gt;0),(3*J560+K560)*#REF!/L560,"-")</f>
        <v>#REF!</v>
      </c>
      <c r="N560" s="11" t="e">
        <f aca="false">IF(AND(#REF!,ISNUMBER(L560),L560&gt;0),((3*J560+K560)*#REF!-I560)/L560,"-")</f>
        <v>#REF!</v>
      </c>
      <c r="O560" s="8"/>
      <c r="P560" s="8"/>
    </row>
    <row r="561" customFormat="false" ht="15.75" hidden="false" customHeight="true" outlineLevel="0" collapsed="false">
      <c r="A561" s="7" t="s">
        <v>1172</v>
      </c>
      <c r="B561" s="8" t="s">
        <v>1159</v>
      </c>
      <c r="C561" s="8" t="n">
        <v>2018</v>
      </c>
      <c r="D561" s="9" t="s">
        <v>1173</v>
      </c>
      <c r="E561" s="7" t="s">
        <v>118</v>
      </c>
      <c r="F561" s="10" t="n">
        <f aca="false">IF(ISBLANK($G561),,VLOOKUP($G561, Rarities!$A$1:$B869, 2, FALSE()))</f>
        <v>4</v>
      </c>
      <c r="G561" s="8" t="s">
        <v>41</v>
      </c>
      <c r="H561" s="8" t="str">
        <f aca="false">VLOOKUP(B561,Manufacturers!A$1:B869,2)</f>
        <v>GB</v>
      </c>
      <c r="I561" s="11" t="n">
        <v>1000000</v>
      </c>
      <c r="J561" s="8" t="n">
        <v>2</v>
      </c>
      <c r="K561" s="8" t="n">
        <v>1</v>
      </c>
      <c r="L561" s="12" t="n">
        <v>24</v>
      </c>
      <c r="M561" s="11" t="e">
        <f aca="false">IF(AND(ISNUMBER(L561),L561&gt;0),(3*J561+K561)*#REF!/L561,"-")</f>
        <v>#REF!</v>
      </c>
      <c r="N561" s="11" t="e">
        <f aca="false">IF(AND(#REF!,ISNUMBER(L561),L561&gt;0),((3*J561+K561)*#REF!-I561)/L561,"-")</f>
        <v>#REF!</v>
      </c>
      <c r="O561" s="8"/>
      <c r="P561" s="8"/>
    </row>
    <row r="562" customFormat="false" ht="15.75" hidden="false" customHeight="true" outlineLevel="0" collapsed="false">
      <c r="A562" s="7" t="s">
        <v>1174</v>
      </c>
      <c r="B562" s="8" t="s">
        <v>1159</v>
      </c>
      <c r="C562" s="8" t="n">
        <v>2018</v>
      </c>
      <c r="D562" s="9" t="s">
        <v>1175</v>
      </c>
      <c r="E562" s="7" t="s">
        <v>111</v>
      </c>
      <c r="F562" s="10" t="n">
        <f aca="false">IF(ISBLANK($G562),,VLOOKUP($G562, Rarities!$A$1:$B869, 2, FALSE()))</f>
        <v>3</v>
      </c>
      <c r="G562" s="8" t="s">
        <v>53</v>
      </c>
      <c r="H562" s="8" t="str">
        <f aca="false">VLOOKUP(B562,Manufacturers!A$1:B869,2)</f>
        <v>GB</v>
      </c>
      <c r="I562" s="11" t="n">
        <v>260000</v>
      </c>
      <c r="J562" s="8"/>
      <c r="K562" s="8" t="n">
        <v>1</v>
      </c>
      <c r="L562" s="12" t="n">
        <v>9</v>
      </c>
      <c r="M562" s="11" t="e">
        <f aca="false">IF(AND(ISNUMBER(L562),L562&gt;0),(3*J562+K562)*#REF!/L562,"-")</f>
        <v>#REF!</v>
      </c>
      <c r="N562" s="11" t="e">
        <f aca="false">IF(AND(#REF!,ISNUMBER(L562),L562&gt;0),((3*J562+K562)*#REF!-I562)/L562,"-")</f>
        <v>#REF!</v>
      </c>
      <c r="O562" s="8"/>
      <c r="P562" s="8"/>
    </row>
    <row r="563" customFormat="false" ht="15.75" hidden="false" customHeight="true" outlineLevel="0" collapsed="false">
      <c r="A563" s="7" t="s">
        <v>1176</v>
      </c>
      <c r="B563" s="8" t="s">
        <v>1159</v>
      </c>
      <c r="C563" s="8" t="n">
        <v>2018</v>
      </c>
      <c r="D563" s="9" t="s">
        <v>1177</v>
      </c>
      <c r="E563" s="7" t="s">
        <v>35</v>
      </c>
      <c r="F563" s="10" t="n">
        <f aca="false">IF(ISBLANK($G563),,VLOOKUP($G563, Rarities!$A$1:$B869, 2, FALSE()))</f>
        <v>3</v>
      </c>
      <c r="G563" s="8" t="s">
        <v>53</v>
      </c>
      <c r="H563" s="8" t="str">
        <f aca="false">VLOOKUP(B563,Manufacturers!A$1:B869,2)</f>
        <v>GB</v>
      </c>
      <c r="I563" s="11" t="n">
        <v>340000</v>
      </c>
      <c r="J563" s="8" t="n">
        <v>1</v>
      </c>
      <c r="K563" s="8"/>
      <c r="L563" s="12" t="n">
        <v>10</v>
      </c>
      <c r="M563" s="11" t="e">
        <f aca="false">IF(AND(ISNUMBER(L563),L563&gt;0),(3*J563+K563)*#REF!/L563,"-")</f>
        <v>#REF!</v>
      </c>
      <c r="N563" s="11" t="e">
        <f aca="false">IF(AND(#REF!,ISNUMBER(L563),L563&gt;0),((3*J563+K563)*#REF!-I563)/L563,"-")</f>
        <v>#REF!</v>
      </c>
      <c r="O563" s="8"/>
      <c r="P563" s="8"/>
    </row>
    <row r="564" customFormat="false" ht="15.75" hidden="false" customHeight="true" outlineLevel="0" collapsed="false">
      <c r="A564" s="7" t="s">
        <v>1178</v>
      </c>
      <c r="B564" s="8" t="s">
        <v>1159</v>
      </c>
      <c r="C564" s="8" t="n">
        <v>2019</v>
      </c>
      <c r="D564" s="9" t="s">
        <v>1179</v>
      </c>
      <c r="E564" s="7" t="s">
        <v>118</v>
      </c>
      <c r="F564" s="10" t="n">
        <f aca="false">IF(ISBLANK($G564),,VLOOKUP($G564, Rarities!$A$1:$B869, 2, FALSE()))</f>
        <v>4</v>
      </c>
      <c r="G564" s="8" t="s">
        <v>41</v>
      </c>
      <c r="H564" s="8" t="str">
        <f aca="false">VLOOKUP(B564,Manufacturers!A$1:B869,2)</f>
        <v>GB</v>
      </c>
      <c r="I564" s="11" t="n">
        <v>2250000</v>
      </c>
      <c r="J564" s="8" t="n">
        <v>1</v>
      </c>
      <c r="K564" s="8" t="n">
        <v>1</v>
      </c>
      <c r="L564" s="12" t="n">
        <v>14</v>
      </c>
      <c r="M564" s="11" t="e">
        <f aca="false">IF(AND(ISNUMBER(L564),L564&gt;0),(3*J564+K564)*#REF!/L564,"-")</f>
        <v>#REF!</v>
      </c>
      <c r="N564" s="11" t="e">
        <f aca="false">IF(AND(#REF!,ISNUMBER(L564),L564&gt;0),((3*J564+K564)*#REF!-I564)/L564,"-")</f>
        <v>#REF!</v>
      </c>
      <c r="O564" s="8"/>
      <c r="P564" s="8"/>
    </row>
    <row r="565" customFormat="false" ht="15.75" hidden="false" customHeight="true" outlineLevel="0" collapsed="false">
      <c r="A565" s="7" t="s">
        <v>1180</v>
      </c>
      <c r="B565" s="8" t="s">
        <v>1159</v>
      </c>
      <c r="C565" s="8" t="n">
        <v>2019</v>
      </c>
      <c r="D565" s="9" t="s">
        <v>1180</v>
      </c>
      <c r="E565" s="7" t="s">
        <v>35</v>
      </c>
      <c r="F565" s="10" t="n">
        <f aca="false">IF(ISBLANK($G565),,VLOOKUP($G565, Rarities!$A$1:$B869, 2, FALSE()))</f>
        <v>3</v>
      </c>
      <c r="G565" s="8" t="s">
        <v>53</v>
      </c>
      <c r="H565" s="8" t="str">
        <f aca="false">VLOOKUP(B565,Manufacturers!A$1:B869,2)</f>
        <v>GB</v>
      </c>
      <c r="I565" s="11" t="n">
        <v>340000</v>
      </c>
      <c r="J565" s="8"/>
      <c r="K565" s="8" t="n">
        <v>1</v>
      </c>
      <c r="L565" s="12" t="n">
        <v>9</v>
      </c>
      <c r="M565" s="11" t="e">
        <f aca="false">IF(AND(ISNUMBER(L565),L565&gt;0),(3*J565+K565)*#REF!/L565,"-")</f>
        <v>#REF!</v>
      </c>
      <c r="N565" s="11" t="e">
        <f aca="false">IF(AND(#REF!,ISNUMBER(L565),L565&gt;0),((3*J565+K565)*#REF!-I565)/L565,"-")</f>
        <v>#REF!</v>
      </c>
      <c r="O565" s="8"/>
      <c r="P565" s="8"/>
    </row>
    <row r="566" customFormat="false" ht="15.75" hidden="false" customHeight="true" outlineLevel="0" collapsed="false">
      <c r="A566" s="7" t="s">
        <v>1181</v>
      </c>
      <c r="B566" s="8" t="s">
        <v>1159</v>
      </c>
      <c r="C566" s="8" t="n">
        <v>2020</v>
      </c>
      <c r="D566" s="9" t="s">
        <v>132</v>
      </c>
      <c r="E566" s="7" t="s">
        <v>106</v>
      </c>
      <c r="F566" s="10" t="n">
        <f aca="false">IF(ISBLANK($G566),,VLOOKUP($G566, Rarities!$A$1:$B869, 2, FALSE()))</f>
        <v>1</v>
      </c>
      <c r="G566" s="8" t="s">
        <v>17</v>
      </c>
      <c r="H566" s="8" t="str">
        <f aca="false">VLOOKUP(B566,Manufacturers!A$1:B869,2)</f>
        <v>GB</v>
      </c>
      <c r="I566" s="11" t="n">
        <v>210000</v>
      </c>
      <c r="J566" s="8"/>
      <c r="K566" s="8" t="n">
        <v>1</v>
      </c>
      <c r="L566" s="12" t="n">
        <v>9</v>
      </c>
      <c r="M566" s="11" t="e">
        <f aca="false">IF(AND(ISNUMBER(L566),L566&gt;0),(3*J566+K566)*#REF!/L566,"-")</f>
        <v>#REF!</v>
      </c>
      <c r="N566" s="11" t="e">
        <f aca="false">IF(AND(#REF!,ISNUMBER(L566),L566&gt;0),((3*J566+K566)*#REF!-I566)/L566,"-")</f>
        <v>#REF!</v>
      </c>
      <c r="O566" s="8"/>
      <c r="P566" s="8"/>
    </row>
    <row r="567" customFormat="false" ht="15.75" hidden="false" customHeight="true" outlineLevel="0" collapsed="false">
      <c r="A567" s="7" t="s">
        <v>1182</v>
      </c>
      <c r="B567" s="8" t="s">
        <v>1159</v>
      </c>
      <c r="C567" s="8" t="n">
        <v>2021</v>
      </c>
      <c r="D567" s="9" t="s">
        <v>1183</v>
      </c>
      <c r="E567" s="7" t="s">
        <v>111</v>
      </c>
      <c r="F567" s="10" t="n">
        <f aca="false">IF(ISBLANK($G567),,VLOOKUP($G567, Rarities!$A$1:$B869, 2, FALSE()))</f>
        <v>3</v>
      </c>
      <c r="G567" s="8" t="s">
        <v>53</v>
      </c>
      <c r="H567" s="8" t="str">
        <f aca="false">VLOOKUP(B567,Manufacturers!A$1:B869,2)</f>
        <v>GB</v>
      </c>
      <c r="I567" s="11" t="n">
        <v>400000</v>
      </c>
      <c r="J567" s="8"/>
      <c r="K567" s="8"/>
      <c r="L567" s="12"/>
      <c r="M567" s="11"/>
      <c r="N567" s="11"/>
      <c r="O567" s="8"/>
      <c r="P567" s="8"/>
    </row>
    <row r="568" customFormat="false" ht="15.75" hidden="false" customHeight="true" outlineLevel="0" collapsed="false">
      <c r="A568" s="7" t="s">
        <v>1184</v>
      </c>
      <c r="B568" s="8" t="s">
        <v>1159</v>
      </c>
      <c r="C568" s="8" t="n">
        <v>2021</v>
      </c>
      <c r="D568" s="9" t="s">
        <v>1185</v>
      </c>
      <c r="E568" s="7" t="s">
        <v>111</v>
      </c>
      <c r="F568" s="10" t="n">
        <f aca="false">IF(ISBLANK($G568),,VLOOKUP($G568, Rarities!$A$1:$B869, 2, FALSE()))</f>
        <v>3</v>
      </c>
      <c r="G568" s="8" t="s">
        <v>53</v>
      </c>
      <c r="H568" s="8" t="str">
        <f aca="false">VLOOKUP(B568,Manufacturers!A$1:B869,2)</f>
        <v>GB</v>
      </c>
      <c r="I568" s="11" t="n">
        <v>400000</v>
      </c>
      <c r="J568" s="8"/>
      <c r="K568" s="8"/>
      <c r="L568" s="12"/>
      <c r="M568" s="11"/>
      <c r="N568" s="11"/>
      <c r="O568" s="8"/>
      <c r="P568" s="8"/>
    </row>
    <row r="569" customFormat="false" ht="15.75" hidden="false" customHeight="true" outlineLevel="0" collapsed="false">
      <c r="A569" s="7" t="s">
        <v>1186</v>
      </c>
      <c r="B569" s="8" t="s">
        <v>1159</v>
      </c>
      <c r="C569" s="8" t="n">
        <v>2021</v>
      </c>
      <c r="D569" s="9" t="s">
        <v>1187</v>
      </c>
      <c r="E569" s="7" t="s">
        <v>118</v>
      </c>
      <c r="F569" s="10" t="n">
        <f aca="false">IF(ISBLANK($G569),,VLOOKUP($G569, Rarities!$A$1:$B869, 2, FALSE()))</f>
        <v>3</v>
      </c>
      <c r="G569" s="8" t="s">
        <v>53</v>
      </c>
      <c r="H569" s="8" t="str">
        <f aca="false">VLOOKUP(B569,Manufacturers!A$1:B869,2)</f>
        <v>GB</v>
      </c>
      <c r="I569" s="11" t="n">
        <v>4000000</v>
      </c>
      <c r="J569" s="8"/>
      <c r="K569" s="8"/>
      <c r="L569" s="12"/>
      <c r="M569" s="11"/>
      <c r="N569" s="11"/>
      <c r="O569" s="8"/>
      <c r="P569" s="8"/>
    </row>
    <row r="570" customFormat="false" ht="15.75" hidden="false" customHeight="true" outlineLevel="0" collapsed="false">
      <c r="A570" s="7" t="s">
        <v>1188</v>
      </c>
      <c r="B570" s="8" t="s">
        <v>1159</v>
      </c>
      <c r="C570" s="8" t="n">
        <v>2023</v>
      </c>
      <c r="D570" s="9" t="s">
        <v>1189</v>
      </c>
      <c r="E570" s="7" t="s">
        <v>35</v>
      </c>
      <c r="F570" s="10" t="n">
        <f aca="false">IF(ISBLANK($G570),,VLOOKUP($G570, Rarities!$A$1:$B869, 2, FALSE()))</f>
        <v>3</v>
      </c>
      <c r="G570" s="8" t="s">
        <v>53</v>
      </c>
      <c r="H570" s="8" t="str">
        <f aca="false">VLOOKUP(B570,Manufacturers!A$1:B869,2)</f>
        <v>GB</v>
      </c>
      <c r="I570" s="11" t="n">
        <v>285000</v>
      </c>
      <c r="J570" s="8"/>
      <c r="K570" s="8"/>
      <c r="L570" s="12"/>
      <c r="M570" s="11"/>
      <c r="N570" s="11"/>
      <c r="O570" s="8"/>
      <c r="P570" s="8"/>
    </row>
    <row r="571" customFormat="false" ht="15.75" hidden="false" customHeight="true" outlineLevel="0" collapsed="false">
      <c r="A571" s="7" t="s">
        <v>1190</v>
      </c>
      <c r="B571" s="8" t="s">
        <v>1191</v>
      </c>
      <c r="C571" s="8" t="n">
        <v>2015</v>
      </c>
      <c r="D571" s="9" t="s">
        <v>1192</v>
      </c>
      <c r="E571" s="7" t="s">
        <v>106</v>
      </c>
      <c r="F571" s="10" t="n">
        <f aca="false">IF(ISBLANK($G571),,VLOOKUP($G571, Rarities!$A$1:$B869, 2, FALSE()))</f>
        <v>2</v>
      </c>
      <c r="G571" s="8" t="s">
        <v>36</v>
      </c>
      <c r="H571" s="8" t="str">
        <f aca="false">VLOOKUP(B571,Manufacturers!A$1:B869,2)</f>
        <v>DE</v>
      </c>
      <c r="I571" s="11" t="n">
        <v>250000</v>
      </c>
      <c r="J571" s="8"/>
      <c r="K571" s="8"/>
      <c r="L571" s="12"/>
      <c r="M571" s="11"/>
      <c r="N571" s="11"/>
      <c r="O571" s="8"/>
      <c r="P571" s="8"/>
    </row>
    <row r="572" customFormat="false" ht="15.75" hidden="false" customHeight="true" outlineLevel="0" collapsed="false">
      <c r="A572" s="7" t="s">
        <v>1193</v>
      </c>
      <c r="B572" s="8" t="s">
        <v>1191</v>
      </c>
      <c r="C572" s="8" t="n">
        <v>2016</v>
      </c>
      <c r="D572" s="9" t="s">
        <v>1194</v>
      </c>
      <c r="E572" s="7" t="s">
        <v>58</v>
      </c>
      <c r="F572" s="10" t="n">
        <f aca="false">IF(ISBLANK($G572),,VLOOKUP($G572, Rarities!$A$1:$B869, 2, FALSE()))</f>
        <v>2</v>
      </c>
      <c r="G572" s="8" t="s">
        <v>36</v>
      </c>
      <c r="H572" s="8" t="str">
        <f aca="false">VLOOKUP(B572,Manufacturers!A$1:B869,2)</f>
        <v>DE</v>
      </c>
      <c r="I572" s="11" t="n">
        <v>90000</v>
      </c>
      <c r="J572" s="8"/>
      <c r="K572" s="8" t="n">
        <v>1</v>
      </c>
      <c r="L572" s="12" t="n">
        <v>9</v>
      </c>
      <c r="M572" s="11" t="e">
        <f aca="false">IF(AND(ISNUMBER(L572),L572&gt;0),(3*J572+K572)*#REF!/L572,"-")</f>
        <v>#REF!</v>
      </c>
      <c r="N572" s="11" t="e">
        <f aca="false">IF(AND(#REF!,ISNUMBER(L572),L572&gt;0),((3*J572+K572)*#REF!-I572)/L572,"-")</f>
        <v>#REF!</v>
      </c>
      <c r="O572" s="8"/>
      <c r="P572" s="8"/>
    </row>
    <row r="573" customFormat="false" ht="15.75" hidden="false" customHeight="true" outlineLevel="0" collapsed="false">
      <c r="A573" s="7" t="s">
        <v>1195</v>
      </c>
      <c r="B573" s="8" t="s">
        <v>1191</v>
      </c>
      <c r="C573" s="8" t="n">
        <v>2017</v>
      </c>
      <c r="D573" s="9" t="s">
        <v>1196</v>
      </c>
      <c r="E573" s="7" t="s">
        <v>106</v>
      </c>
      <c r="F573" s="10" t="n">
        <f aca="false">IF(ISBLANK($G573),,VLOOKUP($G573, Rarities!$A$1:$B869, 2, FALSE()))</f>
        <v>3</v>
      </c>
      <c r="G573" s="8" t="s">
        <v>53</v>
      </c>
      <c r="H573" s="8" t="str">
        <f aca="false">VLOOKUP(B573,Manufacturers!A$1:B869,2)</f>
        <v>DE</v>
      </c>
      <c r="I573" s="11" t="n">
        <v>295000</v>
      </c>
      <c r="J573" s="8"/>
      <c r="K573" s="8" t="n">
        <v>1</v>
      </c>
      <c r="L573" s="12" t="n">
        <v>14</v>
      </c>
      <c r="M573" s="11" t="e">
        <f aca="false">IF(AND(ISNUMBER(L573),L573&gt;0),(3*J573+K573)*#REF!/L573,"-")</f>
        <v>#REF!</v>
      </c>
      <c r="N573" s="11" t="e">
        <f aca="false">IF(AND(#REF!,ISNUMBER(L573),L573&gt;0),((3*J573+K573)*#REF!-I573)/L573,"-")</f>
        <v>#REF!</v>
      </c>
      <c r="O573" s="8"/>
      <c r="P573" s="8"/>
    </row>
    <row r="574" customFormat="false" ht="15.75" hidden="false" customHeight="true" outlineLevel="0" collapsed="false">
      <c r="A574" s="7" t="s">
        <v>1197</v>
      </c>
      <c r="B574" s="8" t="s">
        <v>1191</v>
      </c>
      <c r="C574" s="8" t="n">
        <v>2018</v>
      </c>
      <c r="D574" s="9" t="s">
        <v>1198</v>
      </c>
      <c r="E574" s="7" t="s">
        <v>58</v>
      </c>
      <c r="F574" s="10" t="n">
        <f aca="false">IF(ISBLANK($G574),,VLOOKUP($G574, Rarities!$A$1:$B869, 2, FALSE()))</f>
        <v>3</v>
      </c>
      <c r="G574" s="8" t="s">
        <v>53</v>
      </c>
      <c r="H574" s="8" t="str">
        <f aca="false">VLOOKUP(B574,Manufacturers!A$1:B869,2)</f>
        <v>DE</v>
      </c>
      <c r="I574" s="11" t="n">
        <v>135000</v>
      </c>
      <c r="J574" s="8"/>
      <c r="K574" s="8" t="n">
        <v>1</v>
      </c>
      <c r="L574" s="12" t="n">
        <v>9</v>
      </c>
      <c r="M574" s="11" t="e">
        <f aca="false">IF(AND(ISNUMBER(L574),L574&gt;0),(3*J574+K574)*#REF!/L574,"-")</f>
        <v>#REF!</v>
      </c>
      <c r="N574" s="11" t="e">
        <f aca="false">IF(AND(#REF!,ISNUMBER(L574),L574&gt;0),((3*J574+K574)*#REF!-I574)/L574,"-")</f>
        <v>#REF!</v>
      </c>
      <c r="O574" s="8"/>
      <c r="P574" s="8"/>
    </row>
    <row r="575" customFormat="false" ht="15.75" hidden="false" customHeight="true" outlineLevel="0" collapsed="false">
      <c r="A575" s="7" t="s">
        <v>1199</v>
      </c>
      <c r="B575" s="8" t="s">
        <v>1191</v>
      </c>
      <c r="C575" s="8" t="n">
        <v>2018</v>
      </c>
      <c r="D575" s="9" t="s">
        <v>1200</v>
      </c>
      <c r="E575" s="7" t="s">
        <v>58</v>
      </c>
      <c r="F575" s="10" t="n">
        <f aca="false">IF(ISBLANK($G575),,VLOOKUP($G575, Rarities!$A$1:$B869, 2, FALSE()))</f>
        <v>3</v>
      </c>
      <c r="G575" s="8" t="s">
        <v>53</v>
      </c>
      <c r="H575" s="8" t="str">
        <f aca="false">VLOOKUP(B575,Manufacturers!A$1:B869,2)</f>
        <v>DE</v>
      </c>
      <c r="I575" s="11" t="n">
        <v>175000</v>
      </c>
      <c r="J575" s="8"/>
      <c r="K575" s="8" t="n">
        <v>1</v>
      </c>
      <c r="L575" s="12" t="n">
        <v>9</v>
      </c>
      <c r="M575" s="11" t="e">
        <f aca="false">IF(AND(ISNUMBER(L575),L575&gt;0),(3*J575+K575)*#REF!/L575,"-")</f>
        <v>#REF!</v>
      </c>
      <c r="N575" s="11" t="e">
        <f aca="false">IF(AND(#REF!,ISNUMBER(L575),L575&gt;0),((3*J575+K575)*#REF!-I575)/L575,"-")</f>
        <v>#REF!</v>
      </c>
      <c r="O575" s="8"/>
      <c r="P575" s="8"/>
    </row>
    <row r="576" customFormat="false" ht="15.75" hidden="false" customHeight="true" outlineLevel="0" collapsed="false">
      <c r="A576" s="7" t="s">
        <v>1201</v>
      </c>
      <c r="B576" s="8" t="s">
        <v>1191</v>
      </c>
      <c r="C576" s="8" t="n">
        <v>2018</v>
      </c>
      <c r="D576" s="9" t="s">
        <v>1202</v>
      </c>
      <c r="E576" s="7" t="s">
        <v>86</v>
      </c>
      <c r="F576" s="10" t="n">
        <f aca="false">IF(ISBLANK($G576),,VLOOKUP($G576, Rarities!$A$1:$B869, 2, FALSE()))</f>
        <v>2</v>
      </c>
      <c r="G576" s="8" t="s">
        <v>36</v>
      </c>
      <c r="H576" s="8" t="str">
        <f aca="false">VLOOKUP(B576,Manufacturers!A$1:B869,2)</f>
        <v>DE</v>
      </c>
      <c r="I576" s="11" t="n">
        <v>305000</v>
      </c>
      <c r="J576" s="8"/>
      <c r="K576" s="8"/>
      <c r="L576" s="12"/>
      <c r="M576" s="11"/>
      <c r="N576" s="11"/>
      <c r="O576" s="8"/>
      <c r="P576" s="8"/>
    </row>
    <row r="577" customFormat="false" ht="15.75" hidden="false" customHeight="true" outlineLevel="0" collapsed="false">
      <c r="A577" s="7" t="s">
        <v>1203</v>
      </c>
      <c r="B577" s="8" t="s">
        <v>1191</v>
      </c>
      <c r="C577" s="8" t="n">
        <v>2021</v>
      </c>
      <c r="D577" s="9" t="s">
        <v>1203</v>
      </c>
      <c r="E577" s="7" t="s">
        <v>118</v>
      </c>
      <c r="F577" s="10" t="n">
        <f aca="false">IF(ISBLANK($G577),,VLOOKUP($G577, Rarities!$A$1:$B869, 2, FALSE()))</f>
        <v>4</v>
      </c>
      <c r="G577" s="8" t="s">
        <v>41</v>
      </c>
      <c r="H577" s="8" t="str">
        <f aca="false">VLOOKUP(B577,Manufacturers!A$1:B869,2)</f>
        <v>DE</v>
      </c>
      <c r="I577" s="11" t="n">
        <v>2700000</v>
      </c>
      <c r="J577" s="8" t="n">
        <v>2</v>
      </c>
      <c r="K577" s="8" t="n">
        <v>1</v>
      </c>
      <c r="L577" s="12" t="n">
        <v>31</v>
      </c>
      <c r="M577" s="11" t="e">
        <f aca="false">IF(AND(ISNUMBER(L577),L577&gt;0),(3*J577+K577)*#REF!/L577,"-")</f>
        <v>#REF!</v>
      </c>
      <c r="N577" s="11" t="e">
        <f aca="false">IF(AND(#REF!,ISNUMBER(L577),L577&gt;0),((3*J577+K577)*#REF!-I577)/L577,"-")</f>
        <v>#REF!</v>
      </c>
      <c r="O577" s="8"/>
      <c r="P577" s="8"/>
    </row>
    <row r="578" customFormat="false" ht="15.75" hidden="false" customHeight="true" outlineLevel="0" collapsed="false">
      <c r="A578" s="7" t="s">
        <v>1204</v>
      </c>
      <c r="B578" s="8" t="s">
        <v>1191</v>
      </c>
      <c r="C578" s="8" t="n">
        <v>2021</v>
      </c>
      <c r="D578" s="9" t="s">
        <v>1205</v>
      </c>
      <c r="E578" s="7" t="s">
        <v>111</v>
      </c>
      <c r="F578" s="10" t="n">
        <f aca="false">IF(ISBLANK($G578),,VLOOKUP($G578, Rarities!$A$1:$B869, 2, FALSE()))</f>
        <v>3</v>
      </c>
      <c r="G578" s="8" t="s">
        <v>53</v>
      </c>
      <c r="H578" s="8" t="str">
        <f aca="false">VLOOKUP(B578,Manufacturers!A$1:B869,2)</f>
        <v>DE</v>
      </c>
      <c r="I578" s="11" t="n">
        <v>325000</v>
      </c>
      <c r="J578" s="8"/>
      <c r="K578" s="8"/>
      <c r="L578" s="12"/>
      <c r="M578" s="11"/>
      <c r="N578" s="11"/>
      <c r="O578" s="8"/>
      <c r="P578" s="8"/>
    </row>
    <row r="579" customFormat="false" ht="15.75" hidden="false" customHeight="true" outlineLevel="0" collapsed="false">
      <c r="A579" s="7" t="s">
        <v>1206</v>
      </c>
      <c r="B579" s="8" t="s">
        <v>1191</v>
      </c>
      <c r="C579" s="8" t="n">
        <v>2021</v>
      </c>
      <c r="D579" s="9" t="s">
        <v>1207</v>
      </c>
      <c r="E579" s="7" t="s">
        <v>58</v>
      </c>
      <c r="F579" s="10" t="n">
        <f aca="false">IF(ISBLANK($G579),,VLOOKUP($G579, Rarities!$A$1:$B869, 2, FALSE()))</f>
        <v>2</v>
      </c>
      <c r="G579" s="8" t="s">
        <v>36</v>
      </c>
      <c r="H579" s="8" t="str">
        <f aca="false">VLOOKUP(B579,Manufacturers!A$1:B869,2)</f>
        <v>DE</v>
      </c>
      <c r="I579" s="11" t="n">
        <v>250000</v>
      </c>
      <c r="J579" s="8"/>
      <c r="K579" s="8"/>
      <c r="L579" s="12"/>
      <c r="M579" s="11"/>
      <c r="N579" s="11"/>
      <c r="O579" s="8"/>
      <c r="P579" s="8"/>
    </row>
    <row r="580" customFormat="false" ht="15.75" hidden="false" customHeight="true" outlineLevel="0" collapsed="false">
      <c r="A580" s="7" t="s">
        <v>1208</v>
      </c>
      <c r="B580" s="8" t="s">
        <v>1209</v>
      </c>
      <c r="C580" s="8" t="n">
        <v>1929</v>
      </c>
      <c r="D580" s="9" t="s">
        <v>1210</v>
      </c>
      <c r="E580" s="7" t="s">
        <v>44</v>
      </c>
      <c r="F580" s="10" t="n">
        <f aca="false">IF(ISBLANK($G580),,VLOOKUP($G580, Rarities!$A$1:$B869, 2, FALSE()))</f>
        <v>4</v>
      </c>
      <c r="G580" s="8" t="s">
        <v>41</v>
      </c>
      <c r="H580" s="8" t="str">
        <f aca="false">VLOOKUP(B580,Manufacturers!A$1:B869,2)</f>
        <v>DE</v>
      </c>
      <c r="I580" s="11" t="n">
        <v>7500000</v>
      </c>
      <c r="J580" s="8" t="n">
        <v>2</v>
      </c>
      <c r="K580" s="8"/>
      <c r="L580" s="12" t="n">
        <v>22</v>
      </c>
      <c r="M580" s="11" t="e">
        <f aca="false">IF(AND(ISNUMBER(L580),L580&gt;0),(3*J580+K580)*#REF!/L580,"-")</f>
        <v>#REF!</v>
      </c>
      <c r="N580" s="11" t="e">
        <f aca="false">IF(AND(#REF!,ISNUMBER(L580),L580&gt;0),((3*J580+K580)*#REF!-I580)/L580,"-")</f>
        <v>#REF!</v>
      </c>
      <c r="O580" s="8"/>
      <c r="P580" s="8"/>
    </row>
    <row r="581" customFormat="false" ht="15.75" hidden="false" customHeight="true" outlineLevel="0" collapsed="false">
      <c r="A581" s="7" t="s">
        <v>1211</v>
      </c>
      <c r="B581" s="8" t="s">
        <v>1209</v>
      </c>
      <c r="C581" s="8" t="n">
        <v>1939</v>
      </c>
      <c r="D581" s="9" t="s">
        <v>1212</v>
      </c>
      <c r="E581" s="7" t="s">
        <v>188</v>
      </c>
      <c r="F581" s="10" t="n">
        <f aca="false">IF(ISBLANK($G581),,VLOOKUP($G581, Rarities!$A$1:$B869, 2, FALSE()))</f>
        <v>4</v>
      </c>
      <c r="G581" s="8" t="s">
        <v>41</v>
      </c>
      <c r="H581" s="8" t="str">
        <f aca="false">VLOOKUP(B581,Manufacturers!A$1:B869,2)</f>
        <v>DE</v>
      </c>
      <c r="I581" s="11" t="n">
        <v>20000000</v>
      </c>
      <c r="J581" s="8" t="n">
        <v>2</v>
      </c>
      <c r="K581" s="8"/>
      <c r="L581" s="12" t="n">
        <v>25</v>
      </c>
      <c r="M581" s="11" t="e">
        <f aca="false">IF(AND(ISNUMBER(L581),L581&gt;0),(3*J581+K581)*#REF!/L581,"-")</f>
        <v>#REF!</v>
      </c>
      <c r="N581" s="11" t="e">
        <f aca="false">IF(AND(#REF!,ISNUMBER(L581),L581&gt;0),((3*J581+K581)*#REF!-I581)/L581,"-")</f>
        <v>#REF!</v>
      </c>
      <c r="O581" s="8"/>
      <c r="P581" s="8"/>
    </row>
    <row r="582" customFormat="false" ht="15.75" hidden="false" customHeight="true" outlineLevel="0" collapsed="false">
      <c r="A582" s="7" t="s">
        <v>1213</v>
      </c>
      <c r="B582" s="8" t="s">
        <v>1209</v>
      </c>
      <c r="C582" s="8" t="n">
        <v>1954</v>
      </c>
      <c r="D582" s="9" t="s">
        <v>1214</v>
      </c>
      <c r="E582" s="7" t="s">
        <v>44</v>
      </c>
      <c r="F582" s="10" t="n">
        <f aca="false">IF(ISBLANK($G582),,VLOOKUP($G582, Rarities!$A$1:$B869, 2, FALSE()))</f>
        <v>4</v>
      </c>
      <c r="G582" s="8" t="s">
        <v>41</v>
      </c>
      <c r="H582" s="8" t="str">
        <f aca="false">VLOOKUP(B582,Manufacturers!A$1:B869,2)</f>
        <v>DE</v>
      </c>
      <c r="I582" s="11" t="n">
        <v>1200000</v>
      </c>
      <c r="J582" s="8"/>
      <c r="K582" s="8" t="n">
        <v>3</v>
      </c>
      <c r="L582" s="12" t="n">
        <v>28</v>
      </c>
      <c r="M582" s="11" t="e">
        <f aca="false">IF(AND(ISNUMBER(L582),L582&gt;0),(3*J582+K582)*#REF!/L582,"-")</f>
        <v>#REF!</v>
      </c>
      <c r="N582" s="11" t="e">
        <f aca="false">IF(AND(#REF!,ISNUMBER(L582),L582&gt;0),((3*J582+K582)*#REF!-I582)/L582,"-")</f>
        <v>#REF!</v>
      </c>
      <c r="O582" s="8"/>
      <c r="P582" s="8"/>
    </row>
    <row r="583" customFormat="false" ht="15.75" hidden="false" customHeight="true" outlineLevel="0" collapsed="false">
      <c r="A583" s="7" t="s">
        <v>1215</v>
      </c>
      <c r="B583" s="8" t="s">
        <v>1209</v>
      </c>
      <c r="C583" s="8" t="n">
        <v>1955</v>
      </c>
      <c r="D583" s="9" t="s">
        <v>1216</v>
      </c>
      <c r="E583" s="7" t="s">
        <v>40</v>
      </c>
      <c r="F583" s="10" t="n">
        <f aca="false">IF(ISBLANK($G583),,VLOOKUP($G583, Rarities!$A$1:$B869, 2, FALSE()))</f>
        <v>4</v>
      </c>
      <c r="G583" s="8" t="s">
        <v>41</v>
      </c>
      <c r="H583" s="8" t="str">
        <f aca="false">VLOOKUP(B583,Manufacturers!A$1:B869,2)</f>
        <v>DE</v>
      </c>
      <c r="I583" s="11" t="n">
        <v>143000000</v>
      </c>
      <c r="J583" s="8"/>
      <c r="K583" s="8"/>
      <c r="L583" s="12"/>
      <c r="M583" s="11"/>
      <c r="N583" s="11"/>
      <c r="O583" s="8"/>
      <c r="P583" s="8"/>
    </row>
    <row r="584" customFormat="false" ht="15.75" hidden="false" customHeight="true" outlineLevel="0" collapsed="false">
      <c r="A584" s="7" t="s">
        <v>1217</v>
      </c>
      <c r="B584" s="8" t="s">
        <v>1209</v>
      </c>
      <c r="C584" s="8" t="n">
        <v>1967</v>
      </c>
      <c r="D584" s="9" t="s">
        <v>1218</v>
      </c>
      <c r="E584" s="7" t="s">
        <v>44</v>
      </c>
      <c r="F584" s="10" t="n">
        <f aca="false">IF(ISBLANK($G584),,VLOOKUP($G584, Rarities!$A$1:$B869, 2, FALSE()))</f>
        <v>2</v>
      </c>
      <c r="G584" s="8" t="s">
        <v>36</v>
      </c>
      <c r="H584" s="8" t="str">
        <f aca="false">VLOOKUP(B584,Manufacturers!A$1:B869,2)</f>
        <v>DE</v>
      </c>
      <c r="I584" s="11" t="n">
        <v>250000</v>
      </c>
      <c r="J584" s="8"/>
      <c r="K584" s="8"/>
      <c r="L584" s="12"/>
      <c r="M584" s="11"/>
      <c r="N584" s="11"/>
      <c r="O584" s="8"/>
      <c r="P584" s="8"/>
    </row>
    <row r="585" customFormat="false" ht="15.75" hidden="false" customHeight="true" outlineLevel="0" collapsed="false">
      <c r="A585" s="7" t="s">
        <v>1219</v>
      </c>
      <c r="B585" s="8" t="s">
        <v>1209</v>
      </c>
      <c r="C585" s="8" t="n">
        <v>1987</v>
      </c>
      <c r="D585" s="9" t="s">
        <v>1219</v>
      </c>
      <c r="E585" s="7" t="s">
        <v>49</v>
      </c>
      <c r="F585" s="10" t="n">
        <f aca="false">IF(ISBLANK($G585),,VLOOKUP($G585, Rarities!$A$1:$B869, 2, FALSE()))</f>
        <v>4</v>
      </c>
      <c r="G585" s="8" t="s">
        <v>41</v>
      </c>
      <c r="H585" s="8" t="str">
        <f aca="false">VLOOKUP(B585,Manufacturers!A$1:B869,2)</f>
        <v>DE</v>
      </c>
      <c r="I585" s="11" t="n">
        <v>200000</v>
      </c>
      <c r="J585" s="8"/>
      <c r="K585" s="8"/>
      <c r="L585" s="12"/>
      <c r="M585" s="11"/>
      <c r="N585" s="11"/>
      <c r="O585" s="8"/>
      <c r="P585" s="8"/>
    </row>
    <row r="586" customFormat="false" ht="15.75" hidden="false" customHeight="true" outlineLevel="0" collapsed="false">
      <c r="A586" s="7" t="s">
        <v>1220</v>
      </c>
      <c r="B586" s="8" t="s">
        <v>1209</v>
      </c>
      <c r="C586" s="8" t="n">
        <v>1987</v>
      </c>
      <c r="D586" s="9" t="s">
        <v>1220</v>
      </c>
      <c r="E586" s="7" t="s">
        <v>49</v>
      </c>
      <c r="F586" s="10" t="n">
        <f aca="false">IF(ISBLANK($G586),,VLOOKUP($G586, Rarities!$A$1:$B869, 2, FALSE()))</f>
        <v>1</v>
      </c>
      <c r="G586" s="8" t="s">
        <v>17</v>
      </c>
      <c r="H586" s="8" t="str">
        <f aca="false">VLOOKUP(B586,Manufacturers!A$1:B869,2)</f>
        <v>DE</v>
      </c>
      <c r="I586" s="11" t="n">
        <v>165000</v>
      </c>
      <c r="J586" s="8"/>
      <c r="K586" s="8" t="n">
        <v>1</v>
      </c>
      <c r="L586" s="12" t="n">
        <v>9</v>
      </c>
      <c r="M586" s="11" t="e">
        <f aca="false">IF(AND(ISNUMBER(L586),L586&gt;0),(3*J586+K586)*#REF!/L586,"-")</f>
        <v>#REF!</v>
      </c>
      <c r="N586" s="11" t="e">
        <f aca="false">IF(AND(#REF!,ISNUMBER(L586),L586&gt;0),((3*J586+K586)*#REF!-I586)/L586,"-")</f>
        <v>#REF!</v>
      </c>
      <c r="O586" s="8"/>
      <c r="P586" s="8"/>
    </row>
    <row r="587" customFormat="false" ht="15.75" hidden="false" customHeight="true" outlineLevel="0" collapsed="false">
      <c r="A587" s="7" t="s">
        <v>1221</v>
      </c>
      <c r="B587" s="8" t="s">
        <v>1209</v>
      </c>
      <c r="C587" s="8" t="n">
        <v>1990</v>
      </c>
      <c r="D587" s="9" t="s">
        <v>1222</v>
      </c>
      <c r="E587" s="7" t="s">
        <v>49</v>
      </c>
      <c r="F587" s="10" t="n">
        <f aca="false">IF(ISBLANK($G587),,VLOOKUP($G587, Rarities!$A$1:$B869, 2, FALSE()))</f>
        <v>2</v>
      </c>
      <c r="G587" s="8" t="s">
        <v>36</v>
      </c>
      <c r="H587" s="8" t="str">
        <f aca="false">VLOOKUP(B587,Manufacturers!A$1:B869,2)</f>
        <v>DE</v>
      </c>
      <c r="I587" s="11" t="n">
        <v>150000</v>
      </c>
      <c r="J587" s="8"/>
      <c r="K587" s="8" t="n">
        <v>1</v>
      </c>
      <c r="L587" s="12" t="n">
        <v>9</v>
      </c>
      <c r="M587" s="11" t="e">
        <f aca="false">IF(AND(ISNUMBER(L587),L587&gt;0),(3*J587+K587)*#REF!/L587,"-")</f>
        <v>#REF!</v>
      </c>
      <c r="N587" s="11" t="e">
        <f aca="false">IF(AND(#REF!,ISNUMBER(L587),L587&gt;0),((3*J587+K587)*#REF!-I587)/L587,"-")</f>
        <v>#REF!</v>
      </c>
      <c r="O587" s="8"/>
      <c r="P587" s="8"/>
    </row>
    <row r="588" customFormat="false" ht="15.75" hidden="false" customHeight="true" outlineLevel="0" collapsed="false">
      <c r="A588" s="7" t="s">
        <v>1223</v>
      </c>
      <c r="B588" s="8" t="s">
        <v>1209</v>
      </c>
      <c r="C588" s="8" t="n">
        <v>1992</v>
      </c>
      <c r="D588" s="9" t="s">
        <v>1224</v>
      </c>
      <c r="E588" s="7" t="s">
        <v>49</v>
      </c>
      <c r="F588" s="10" t="n">
        <f aca="false">IF(ISBLANK($G588),,VLOOKUP($G588, Rarities!$A$1:$B869, 2, FALSE()))</f>
        <v>2</v>
      </c>
      <c r="G588" s="8" t="s">
        <v>36</v>
      </c>
      <c r="H588" s="8" t="str">
        <f aca="false">VLOOKUP(B588,Manufacturers!A$1:B869,2)</f>
        <v>DE</v>
      </c>
      <c r="I588" s="11" t="n">
        <v>250000</v>
      </c>
      <c r="J588" s="8"/>
      <c r="K588" s="8"/>
      <c r="L588" s="12"/>
      <c r="M588" s="11"/>
      <c r="N588" s="11"/>
      <c r="O588" s="8"/>
      <c r="P588" s="8"/>
    </row>
    <row r="589" customFormat="false" ht="15.75" hidden="false" customHeight="true" outlineLevel="0" collapsed="false">
      <c r="A589" s="7" t="s">
        <v>1225</v>
      </c>
      <c r="B589" s="8" t="s">
        <v>1209</v>
      </c>
      <c r="C589" s="8" t="n">
        <v>1998</v>
      </c>
      <c r="D589" s="9" t="s">
        <v>1226</v>
      </c>
      <c r="E589" s="7" t="s">
        <v>215</v>
      </c>
      <c r="F589" s="10" t="n">
        <f aca="false">IF(ISBLANK($G589),,VLOOKUP($G589, Rarities!$A$1:$B869, 2, FALSE()))</f>
        <v>5</v>
      </c>
      <c r="G589" s="8" t="s">
        <v>239</v>
      </c>
      <c r="H589" s="8" t="str">
        <f aca="false">VLOOKUP(B589,Manufacturers!A$1:B869,2)</f>
        <v>DE</v>
      </c>
      <c r="I589" s="11" t="n">
        <v>2250000</v>
      </c>
      <c r="J589" s="8"/>
      <c r="K589" s="8" t="n">
        <v>1</v>
      </c>
      <c r="L589" s="12" t="n">
        <v>9</v>
      </c>
      <c r="M589" s="11" t="e">
        <f aca="false">IF(AND(ISNUMBER(L589),L589&gt;0),(3*J589+K589)*#REF!/L589,"-")</f>
        <v>#REF!</v>
      </c>
      <c r="N589" s="11" t="e">
        <f aca="false">IF(AND(#REF!,ISNUMBER(L589),L589&gt;0),((3*J589+K589)*#REF!-I589)/L589,"-")</f>
        <v>#REF!</v>
      </c>
      <c r="O589" s="8"/>
      <c r="P589" s="8"/>
    </row>
    <row r="590" customFormat="false" ht="15.75" hidden="false" customHeight="true" outlineLevel="0" collapsed="false">
      <c r="A590" s="7" t="s">
        <v>1227</v>
      </c>
      <c r="B590" s="8" t="s">
        <v>1209</v>
      </c>
      <c r="C590" s="8" t="n">
        <v>1998</v>
      </c>
      <c r="D590" s="9" t="s">
        <v>1228</v>
      </c>
      <c r="E590" s="7" t="s">
        <v>86</v>
      </c>
      <c r="F590" s="10" t="n">
        <f aca="false">IF(ISBLANK($G590),,VLOOKUP($G590, Rarities!$A$1:$B869, 2, FALSE()))</f>
        <v>4</v>
      </c>
      <c r="G590" s="8" t="s">
        <v>41</v>
      </c>
      <c r="H590" s="8" t="str">
        <f aca="false">VLOOKUP(B590,Manufacturers!A$1:B869,2)</f>
        <v>DE</v>
      </c>
      <c r="I590" s="11" t="n">
        <v>2000000</v>
      </c>
      <c r="J590" s="8"/>
      <c r="K590" s="8" t="n">
        <v>3</v>
      </c>
      <c r="L590" s="12" t="n">
        <v>13</v>
      </c>
      <c r="M590" s="11" t="e">
        <f aca="false">IF(AND(ISNUMBER(L590),L590&gt;0),(3*J590+K590)*#REF!/L590,"-")</f>
        <v>#REF!</v>
      </c>
      <c r="N590" s="11" t="e">
        <f aca="false">IF(AND(#REF!,ISNUMBER(L590),L590&gt;0),((3*J590+K590)*#REF!-I590)/L590,"-")</f>
        <v>#REF!</v>
      </c>
      <c r="O590" s="8"/>
      <c r="P590" s="8"/>
    </row>
    <row r="591" customFormat="false" ht="15.75" hidden="false" customHeight="true" outlineLevel="0" collapsed="false">
      <c r="A591" s="7" t="s">
        <v>1229</v>
      </c>
      <c r="B591" s="8" t="s">
        <v>1209</v>
      </c>
      <c r="C591" s="8" t="n">
        <v>2009</v>
      </c>
      <c r="D591" s="9" t="s">
        <v>1230</v>
      </c>
      <c r="E591" s="7" t="s">
        <v>106</v>
      </c>
      <c r="F591" s="10" t="n">
        <f aca="false">IF(ISBLANK($G591),,VLOOKUP($G591, Rarities!$A$1:$B869, 2, FALSE()))</f>
        <v>3</v>
      </c>
      <c r="G591" s="8" t="s">
        <v>53</v>
      </c>
      <c r="H591" s="8" t="str">
        <f aca="false">VLOOKUP(B591,Manufacturers!A$1:B869,2)</f>
        <v>DE</v>
      </c>
      <c r="I591" s="11" t="n">
        <v>300000</v>
      </c>
      <c r="J591" s="8"/>
      <c r="K591" s="8"/>
      <c r="L591" s="12"/>
      <c r="M591" s="11"/>
      <c r="N591" s="11"/>
      <c r="O591" s="8"/>
      <c r="P591" s="8"/>
    </row>
    <row r="592" customFormat="false" ht="15.75" hidden="false" customHeight="true" outlineLevel="0" collapsed="false">
      <c r="A592" s="7" t="s">
        <v>1231</v>
      </c>
      <c r="B592" s="8" t="s">
        <v>1209</v>
      </c>
      <c r="C592" s="8" t="n">
        <v>2011</v>
      </c>
      <c r="D592" s="9" t="s">
        <v>1232</v>
      </c>
      <c r="E592" s="7" t="s">
        <v>106</v>
      </c>
      <c r="F592" s="10" t="n">
        <f aca="false">IF(ISBLANK($G592),,VLOOKUP($G592, Rarities!$A$1:$B869, 2, FALSE()))</f>
        <v>3</v>
      </c>
      <c r="G592" s="8" t="s">
        <v>53</v>
      </c>
      <c r="H592" s="8" t="str">
        <f aca="false">VLOOKUP(B592,Manufacturers!A$1:B869,2)</f>
        <v>DE</v>
      </c>
      <c r="I592" s="11" t="n">
        <v>200000</v>
      </c>
      <c r="J592" s="8"/>
      <c r="K592" s="8" t="n">
        <v>1</v>
      </c>
      <c r="L592" s="12" t="n">
        <v>14</v>
      </c>
      <c r="M592" s="11" t="e">
        <f aca="false">IF(AND(ISNUMBER(L592),L592&gt;0),(3*J592+K592)*#REF!/L592,"-")</f>
        <v>#REF!</v>
      </c>
      <c r="N592" s="11" t="e">
        <f aca="false">IF(AND(#REF!,ISNUMBER(L592),L592&gt;0),((3*J592+K592)*#REF!-I592)/L592,"-")</f>
        <v>#REF!</v>
      </c>
      <c r="O592" s="8"/>
      <c r="P592" s="8"/>
    </row>
    <row r="593" customFormat="false" ht="15.75" hidden="false" customHeight="true" outlineLevel="0" collapsed="false">
      <c r="A593" s="7" t="s">
        <v>1233</v>
      </c>
      <c r="B593" s="8" t="s">
        <v>1209</v>
      </c>
      <c r="C593" s="8" t="n">
        <v>2012</v>
      </c>
      <c r="D593" s="9" t="s">
        <v>1234</v>
      </c>
      <c r="E593" s="7" t="s">
        <v>58</v>
      </c>
      <c r="F593" s="10" t="n">
        <f aca="false">IF(ISBLANK($G593),,VLOOKUP($G593, Rarities!$A$1:$B869, 2, FALSE()))</f>
        <v>2</v>
      </c>
      <c r="G593" s="8" t="s">
        <v>36</v>
      </c>
      <c r="H593" s="8" t="str">
        <f aca="false">VLOOKUP(B593,Manufacturers!A$1:B869,2)</f>
        <v>DE</v>
      </c>
      <c r="I593" s="11" t="n">
        <v>150000</v>
      </c>
      <c r="J593" s="8"/>
      <c r="K593" s="8" t="n">
        <v>1</v>
      </c>
      <c r="L593" s="12" t="n">
        <v>9</v>
      </c>
      <c r="M593" s="11" t="e">
        <f aca="false">IF(AND(ISNUMBER(L593),L593&gt;0),(3*J593+K593)*#REF!/L593,"-")</f>
        <v>#REF!</v>
      </c>
      <c r="N593" s="11" t="e">
        <f aca="false">IF(AND(#REF!,ISNUMBER(L593),L593&gt;0),((3*J593+K593)*#REF!-I593)/L593,"-")</f>
        <v>#REF!</v>
      </c>
      <c r="O593" s="8"/>
      <c r="P593" s="8"/>
    </row>
    <row r="594" customFormat="false" ht="15.75" hidden="false" customHeight="true" outlineLevel="0" collapsed="false">
      <c r="A594" s="7" t="s">
        <v>1235</v>
      </c>
      <c r="B594" s="8" t="s">
        <v>1209</v>
      </c>
      <c r="C594" s="8" t="n">
        <v>2012</v>
      </c>
      <c r="D594" s="9" t="s">
        <v>1236</v>
      </c>
      <c r="E594" s="7" t="s">
        <v>26</v>
      </c>
      <c r="F594" s="10" t="n">
        <f aca="false">IF(ISBLANK($G594),,VLOOKUP($G594, Rarities!$A$1:$B869, 2, FALSE()))</f>
        <v>2</v>
      </c>
      <c r="G594" s="8" t="s">
        <v>36</v>
      </c>
      <c r="H594" s="8" t="str">
        <f aca="false">VLOOKUP(B594,Manufacturers!A$1:B869,2)</f>
        <v>DE</v>
      </c>
      <c r="I594" s="11" t="n">
        <v>78000</v>
      </c>
      <c r="J594" s="8"/>
      <c r="K594" s="8" t="n">
        <v>1</v>
      </c>
      <c r="L594" s="12" t="n">
        <v>9</v>
      </c>
      <c r="M594" s="11" t="e">
        <f aca="false">IF(AND(ISNUMBER(L594),L594&gt;0),(3*J594+K594)*#REF!/L594,"-")</f>
        <v>#REF!</v>
      </c>
      <c r="N594" s="11" t="e">
        <f aca="false">IF(AND(#REF!,ISNUMBER(L594),L594&gt;0),((3*J594+K594)*#REF!-I594)/L594,"-")</f>
        <v>#REF!</v>
      </c>
      <c r="O594" s="8"/>
      <c r="P594" s="8"/>
    </row>
    <row r="595" customFormat="false" ht="15.75" hidden="false" customHeight="true" outlineLevel="0" collapsed="false">
      <c r="A595" s="7" t="s">
        <v>1237</v>
      </c>
      <c r="B595" s="8" t="s">
        <v>1209</v>
      </c>
      <c r="C595" s="8" t="n">
        <v>2013</v>
      </c>
      <c r="D595" s="9" t="s">
        <v>1238</v>
      </c>
      <c r="E595" s="7" t="s">
        <v>155</v>
      </c>
      <c r="F595" s="10" t="n">
        <f aca="false">IF(ISBLANK($G595),,VLOOKUP($G595, Rarities!$A$1:$B869, 2, FALSE()))</f>
        <v>2</v>
      </c>
      <c r="G595" s="8" t="s">
        <v>36</v>
      </c>
      <c r="H595" s="8" t="str">
        <f aca="false">VLOOKUP(B595,Manufacturers!A$1:B869,2)</f>
        <v>DE</v>
      </c>
      <c r="I595" s="11" t="n">
        <v>65000</v>
      </c>
      <c r="J595" s="8"/>
      <c r="K595" s="8" t="n">
        <v>1</v>
      </c>
      <c r="L595" s="12" t="n">
        <v>9</v>
      </c>
      <c r="M595" s="11" t="e">
        <f aca="false">IF(AND(ISNUMBER(L595),L595&gt;0),(3*J595+K595)*#REF!/L595,"-")</f>
        <v>#REF!</v>
      </c>
      <c r="N595" s="11" t="e">
        <f aca="false">IF(AND(#REF!,ISNUMBER(L595),L595&gt;0),((3*J595+K595)*#REF!-I595)/L595,"-")</f>
        <v>#REF!</v>
      </c>
      <c r="O595" s="8"/>
      <c r="P595" s="8"/>
    </row>
    <row r="596" customFormat="false" ht="15.75" hidden="false" customHeight="true" outlineLevel="0" collapsed="false">
      <c r="A596" s="7" t="s">
        <v>1239</v>
      </c>
      <c r="B596" s="8" t="s">
        <v>1209</v>
      </c>
      <c r="C596" s="8" t="n">
        <v>2013</v>
      </c>
      <c r="D596" s="9" t="s">
        <v>1240</v>
      </c>
      <c r="E596" s="7" t="s">
        <v>58</v>
      </c>
      <c r="F596" s="10" t="n">
        <f aca="false">IF(ISBLANK($G596),,VLOOKUP($G596, Rarities!$A$1:$B869, 2, FALSE()))</f>
        <v>2</v>
      </c>
      <c r="G596" s="8" t="s">
        <v>36</v>
      </c>
      <c r="H596" s="8" t="str">
        <f aca="false">VLOOKUP(B596,Manufacturers!A$1:B869,2)</f>
        <v>DE</v>
      </c>
      <c r="I596" s="11" t="n">
        <v>105000</v>
      </c>
      <c r="J596" s="8"/>
      <c r="K596" s="8" t="n">
        <v>1</v>
      </c>
      <c r="L596" s="12" t="n">
        <v>9</v>
      </c>
      <c r="M596" s="11" t="e">
        <f aca="false">IF(AND(ISNUMBER(L596),L596&gt;0),(3*J596+K596)*#REF!/L596,"-")</f>
        <v>#REF!</v>
      </c>
      <c r="N596" s="11" t="e">
        <f aca="false">IF(AND(#REF!,ISNUMBER(L596),L596&gt;0),((3*J596+K596)*#REF!-I596)/L596,"-")</f>
        <v>#REF!</v>
      </c>
      <c r="O596" s="8"/>
      <c r="P596" s="8"/>
    </row>
    <row r="597" customFormat="false" ht="15.75" hidden="false" customHeight="true" outlineLevel="0" collapsed="false">
      <c r="A597" s="7" t="s">
        <v>1241</v>
      </c>
      <c r="B597" s="8" t="s">
        <v>1209</v>
      </c>
      <c r="C597" s="8" t="n">
        <v>2013</v>
      </c>
      <c r="D597" s="9" t="s">
        <v>1242</v>
      </c>
      <c r="E597" s="7" t="s">
        <v>353</v>
      </c>
      <c r="F597" s="10" t="n">
        <f aca="false">IF(ISBLANK($G597),,VLOOKUP($G597, Rarities!$A$1:$B869, 2, FALSE()))</f>
        <v>2</v>
      </c>
      <c r="G597" s="8" t="s">
        <v>36</v>
      </c>
      <c r="H597" s="8" t="str">
        <f aca="false">VLOOKUP(B597,Manufacturers!A$1:B869,2)</f>
        <v>DE</v>
      </c>
      <c r="I597" s="11" t="n">
        <v>350000</v>
      </c>
      <c r="J597" s="8"/>
      <c r="K597" s="8" t="n">
        <v>1</v>
      </c>
      <c r="L597" s="12" t="n">
        <v>11</v>
      </c>
      <c r="M597" s="11" t="e">
        <f aca="false">IF(AND(ISNUMBER(L597),L597&gt;0),(3*J597+K597)*#REF!/L597,"-")</f>
        <v>#REF!</v>
      </c>
      <c r="N597" s="11" t="e">
        <f aca="false">IF(AND(#REF!,ISNUMBER(L597),L597&gt;0),((3*J597+K597)*#REF!-I597)/L597,"-")</f>
        <v>#REF!</v>
      </c>
      <c r="O597" s="8"/>
      <c r="P597" s="8"/>
    </row>
    <row r="598" customFormat="false" ht="15.75" hidden="false" customHeight="true" outlineLevel="0" collapsed="false">
      <c r="A598" s="7" t="s">
        <v>1243</v>
      </c>
      <c r="B598" s="8" t="s">
        <v>1209</v>
      </c>
      <c r="C598" s="8" t="n">
        <v>2014</v>
      </c>
      <c r="D598" s="9" t="s">
        <v>1244</v>
      </c>
      <c r="E598" s="7" t="s">
        <v>353</v>
      </c>
      <c r="F598" s="10" t="n">
        <f aca="false">IF(ISBLANK($G598),,VLOOKUP($G598, Rarities!$A$1:$B869, 2, FALSE()))</f>
        <v>3</v>
      </c>
      <c r="G598" s="8" t="s">
        <v>53</v>
      </c>
      <c r="H598" s="8" t="str">
        <f aca="false">VLOOKUP(B598,Manufacturers!A$1:B869,2)</f>
        <v>DE</v>
      </c>
      <c r="I598" s="11" t="n">
        <v>525000</v>
      </c>
      <c r="J598" s="8"/>
      <c r="K598" s="8" t="n">
        <v>6</v>
      </c>
      <c r="L598" s="12" t="n">
        <v>20</v>
      </c>
      <c r="M598" s="11" t="e">
        <f aca="false">IF(AND(ISNUMBER(L598),L598&gt;0),(3*J598+K598)*#REF!/L598,"-")</f>
        <v>#REF!</v>
      </c>
      <c r="N598" s="11" t="e">
        <f aca="false">IF(AND(#REF!,ISNUMBER(L598),L598&gt;0),((3*J598+K598)*#REF!-I598)/L598,"-")</f>
        <v>#REF!</v>
      </c>
      <c r="O598" s="8"/>
      <c r="P598" s="8"/>
    </row>
    <row r="599" customFormat="false" ht="15.75" hidden="false" customHeight="true" outlineLevel="0" collapsed="false">
      <c r="A599" s="7" t="s">
        <v>1245</v>
      </c>
      <c r="B599" s="8" t="s">
        <v>1209</v>
      </c>
      <c r="C599" s="8" t="n">
        <v>2014</v>
      </c>
      <c r="D599" s="9" t="s">
        <v>1246</v>
      </c>
      <c r="E599" s="7" t="s">
        <v>1247</v>
      </c>
      <c r="F599" s="10" t="n">
        <f aca="false">IF(ISBLANK($G599),,VLOOKUP($G599, Rarities!$A$1:$B869, 2, FALSE()))</f>
        <v>2</v>
      </c>
      <c r="G599" s="8" t="s">
        <v>36</v>
      </c>
      <c r="H599" s="8" t="str">
        <f aca="false">VLOOKUP(B599,Manufacturers!A$1:B869,2)</f>
        <v>DE</v>
      </c>
      <c r="I599" s="11" t="n">
        <v>100000</v>
      </c>
      <c r="J599" s="8"/>
      <c r="K599" s="8" t="n">
        <v>1</v>
      </c>
      <c r="L599" s="12" t="n">
        <v>9</v>
      </c>
      <c r="M599" s="11" t="e">
        <f aca="false">IF(AND(ISNUMBER(L599),L599&gt;0),(3*J599+K599)*#REF!/L599,"-")</f>
        <v>#REF!</v>
      </c>
      <c r="N599" s="11" t="e">
        <f aca="false">IF(AND(#REF!,ISNUMBER(L599),L599&gt;0),((3*J599+K599)*#REF!-I599)/L599,"-")</f>
        <v>#REF!</v>
      </c>
      <c r="O599" s="8"/>
      <c r="P599" s="8"/>
    </row>
    <row r="600" customFormat="false" ht="15.75" hidden="false" customHeight="true" outlineLevel="0" collapsed="false">
      <c r="A600" s="7" t="s">
        <v>1248</v>
      </c>
      <c r="B600" s="8" t="s">
        <v>1209</v>
      </c>
      <c r="C600" s="8" t="n">
        <v>2015</v>
      </c>
      <c r="D600" s="9" t="s">
        <v>1249</v>
      </c>
      <c r="E600" s="7" t="s">
        <v>72</v>
      </c>
      <c r="F600" s="10" t="n">
        <f aca="false">IF(ISBLANK($G600),,VLOOKUP($G600, Rarities!$A$1:$B869, 2, FALSE()))</f>
        <v>5</v>
      </c>
      <c r="G600" s="8" t="s">
        <v>239</v>
      </c>
      <c r="H600" s="8" t="str">
        <f aca="false">VLOOKUP(B600,Manufacturers!A$1:B869,2)</f>
        <v>DE</v>
      </c>
      <c r="I600" s="11" t="n">
        <v>750000</v>
      </c>
      <c r="J600" s="8"/>
      <c r="K600" s="8" t="n">
        <v>1</v>
      </c>
      <c r="L600" s="12" t="n">
        <v>9</v>
      </c>
      <c r="M600" s="11" t="e">
        <f aca="false">IF(AND(ISNUMBER(L600),L600&gt;0),(3*J600+K600)*#REF!/L600,"-")</f>
        <v>#REF!</v>
      </c>
      <c r="N600" s="11" t="e">
        <f aca="false">IF(AND(#REF!,ISNUMBER(L600),L600&gt;0),((3*J600+K600)*#REF!-I600)/L600,"-")</f>
        <v>#REF!</v>
      </c>
      <c r="O600" s="8"/>
      <c r="P600" s="8"/>
    </row>
    <row r="601" customFormat="false" ht="15.75" hidden="false" customHeight="true" outlineLevel="0" collapsed="false">
      <c r="A601" s="7" t="s">
        <v>1250</v>
      </c>
      <c r="B601" s="8" t="s">
        <v>1209</v>
      </c>
      <c r="C601" s="8" t="n">
        <v>2015</v>
      </c>
      <c r="D601" s="9" t="s">
        <v>1251</v>
      </c>
      <c r="E601" s="7" t="s">
        <v>1247</v>
      </c>
      <c r="F601" s="10" t="n">
        <f aca="false">IF(ISBLANK($G601),,VLOOKUP($G601, Rarities!$A$1:$B869, 2, FALSE()))</f>
        <v>3</v>
      </c>
      <c r="G601" s="8" t="s">
        <v>53</v>
      </c>
      <c r="H601" s="8" t="str">
        <f aca="false">VLOOKUP(B601,Manufacturers!A$1:B869,2)</f>
        <v>DE</v>
      </c>
      <c r="I601" s="11" t="n">
        <v>500000</v>
      </c>
      <c r="J601" s="8"/>
      <c r="K601" s="8" t="n">
        <v>1</v>
      </c>
      <c r="L601" s="12" t="n">
        <v>9</v>
      </c>
      <c r="M601" s="11" t="e">
        <f aca="false">IF(AND(ISNUMBER(L601),L601&gt;0),(3*J601+K601)*#REF!/L601,"-")</f>
        <v>#REF!</v>
      </c>
      <c r="N601" s="11" t="e">
        <f aca="false">IF(AND(#REF!,ISNUMBER(L601),L601&gt;0),((3*J601+K601)*#REF!-I601)/L601,"-")</f>
        <v>#REF!</v>
      </c>
      <c r="O601" s="8"/>
      <c r="P601" s="8"/>
    </row>
    <row r="602" customFormat="false" ht="15.75" hidden="false" customHeight="true" outlineLevel="0" collapsed="false">
      <c r="A602" s="7" t="s">
        <v>1252</v>
      </c>
      <c r="B602" s="8" t="s">
        <v>1209</v>
      </c>
      <c r="C602" s="8" t="n">
        <v>2018</v>
      </c>
      <c r="D602" s="9" t="s">
        <v>1253</v>
      </c>
      <c r="E602" s="7" t="s">
        <v>353</v>
      </c>
      <c r="F602" s="10" t="n">
        <f aca="false">IF(ISBLANK($G602),,VLOOKUP($G602, Rarities!$A$1:$B869, 2, FALSE()))</f>
        <v>1</v>
      </c>
      <c r="G602" s="8" t="s">
        <v>17</v>
      </c>
      <c r="H602" s="8" t="str">
        <f aca="false">VLOOKUP(B602,Manufacturers!A$1:B869,2)</f>
        <v>DE</v>
      </c>
      <c r="I602" s="11" t="n">
        <v>65000</v>
      </c>
      <c r="J602" s="8"/>
      <c r="K602" s="8"/>
      <c r="L602" s="12" t="s">
        <v>244</v>
      </c>
      <c r="M602" s="11" t="str">
        <f aca="false">IF(AND(ISNUMBER(L602),L602&gt;0),(3*J602+K602)*#REF!/L602,"-")</f>
        <v>-</v>
      </c>
      <c r="N602" s="11" t="e">
        <f aca="false">IF(AND(#REF!,ISNUMBER(L602),L602&gt;0),((3*J602+K602)*#REF!-I602)/L602,"-")</f>
        <v>#REF!</v>
      </c>
      <c r="O602" s="8"/>
      <c r="P602" s="8"/>
    </row>
    <row r="603" customFormat="false" ht="15.75" hidden="false" customHeight="true" outlineLevel="0" collapsed="false">
      <c r="A603" s="7" t="s">
        <v>244</v>
      </c>
      <c r="B603" s="8" t="s">
        <v>1209</v>
      </c>
      <c r="C603" s="8" t="n">
        <v>2018</v>
      </c>
      <c r="D603" s="9" t="s">
        <v>1253</v>
      </c>
      <c r="E603" s="7" t="s">
        <v>244</v>
      </c>
      <c r="F603" s="10" t="n">
        <f aca="false">IF(ISBLANK($G603),,VLOOKUP($G603, Rarities!$A$1:$B869, 2, FALSE()))</f>
        <v>0</v>
      </c>
      <c r="G603" s="8" t="s">
        <v>244</v>
      </c>
      <c r="H603" s="8" t="str">
        <f aca="false">VLOOKUP(B603,Manufacturers!A$1:B869,2)</f>
        <v>DE</v>
      </c>
      <c r="I603" s="11" t="s">
        <v>244</v>
      </c>
      <c r="J603" s="8"/>
      <c r="K603" s="8"/>
      <c r="L603" s="12" t="s">
        <v>244</v>
      </c>
      <c r="M603" s="11" t="str">
        <f aca="false">IF(AND(ISNUMBER(L603),L603&gt;0),(3*J603+K603)*#REF!/L603,"-")</f>
        <v>-</v>
      </c>
      <c r="N603" s="11" t="e">
        <f aca="false">IF(AND(#REF!,ISNUMBER(L603),L603&gt;0),((3*J603+K603)*#REF!-I603)/L603,"-")</f>
        <v>#REF!</v>
      </c>
      <c r="O603" s="8"/>
      <c r="P603" s="8"/>
    </row>
    <row r="604" customFormat="false" ht="15.75" hidden="false" customHeight="true" outlineLevel="0" collapsed="false">
      <c r="A604" s="7" t="s">
        <v>1254</v>
      </c>
      <c r="B604" s="8" t="s">
        <v>1255</v>
      </c>
      <c r="C604" s="8" t="n">
        <v>1970</v>
      </c>
      <c r="D604" s="9" t="s">
        <v>1256</v>
      </c>
      <c r="E604" s="7" t="s">
        <v>76</v>
      </c>
      <c r="F604" s="10" t="n">
        <f aca="false">IF(ISBLANK($G604),,VLOOKUP($G604, Rarities!$A$1:$B869, 2, FALSE()))</f>
        <v>2</v>
      </c>
      <c r="G604" s="8" t="s">
        <v>36</v>
      </c>
      <c r="H604" s="8" t="str">
        <f aca="false">VLOOKUP(B604,Manufacturers!A$1:B869,2)</f>
        <v>US</v>
      </c>
      <c r="I604" s="11" t="n">
        <v>35000</v>
      </c>
      <c r="J604" s="8"/>
      <c r="K604" s="8" t="n">
        <v>1</v>
      </c>
      <c r="L604" s="12" t="n">
        <v>11</v>
      </c>
      <c r="M604" s="11" t="e">
        <f aca="false">IF(AND(ISNUMBER(L604),L604&gt;0),(3*J604+K604)*#REF!/L604,"-")</f>
        <v>#REF!</v>
      </c>
      <c r="N604" s="11" t="e">
        <f aca="false">IF(AND(#REF!,ISNUMBER(L604),L604&gt;0),((3*J604+K604)*#REF!-I604)/L604,"-")</f>
        <v>#REF!</v>
      </c>
      <c r="O604" s="8"/>
      <c r="P604" s="8"/>
    </row>
    <row r="605" customFormat="false" ht="15.75" hidden="false" customHeight="true" outlineLevel="0" collapsed="false">
      <c r="A605" s="7" t="s">
        <v>1257</v>
      </c>
      <c r="B605" s="8" t="s">
        <v>1258</v>
      </c>
      <c r="C605" s="8" t="n">
        <v>1971</v>
      </c>
      <c r="D605" s="9" t="s">
        <v>1259</v>
      </c>
      <c r="E605" s="7" t="s">
        <v>111</v>
      </c>
      <c r="F605" s="10" t="n">
        <f aca="false">IF(ISBLANK($G605),,VLOOKUP($G605, Rarities!$A$1:$B869, 2, FALSE()))</f>
        <v>5</v>
      </c>
      <c r="G605" s="8" t="s">
        <v>239</v>
      </c>
      <c r="H605" s="8" t="str">
        <f aca="false">VLOOKUP(B605,Manufacturers!A$1:B869,2)</f>
        <v>US</v>
      </c>
      <c r="I605" s="11" t="n">
        <v>500000</v>
      </c>
      <c r="J605" s="8"/>
      <c r="K605" s="8"/>
      <c r="L605" s="12" t="s">
        <v>244</v>
      </c>
      <c r="M605" s="11" t="str">
        <f aca="false">IF(AND(ISNUMBER(L605),L605&gt;0),(3*J605+K605)*#REF!/L605,"-")</f>
        <v>-</v>
      </c>
      <c r="N605" s="11" t="e">
        <f aca="false">IF(AND(#REF!,ISNUMBER(L605),L605&gt;0),((3*J605+K605)*#REF!-I605)/L605,"-")</f>
        <v>#REF!</v>
      </c>
      <c r="O605" s="8"/>
      <c r="P605" s="8"/>
    </row>
    <row r="606" customFormat="false" ht="15.75" hidden="false" customHeight="true" outlineLevel="0" collapsed="false">
      <c r="A606" s="7" t="s">
        <v>1260</v>
      </c>
      <c r="B606" s="8" t="s">
        <v>1258</v>
      </c>
      <c r="C606" s="8" t="n">
        <v>1971</v>
      </c>
      <c r="D606" s="9" t="s">
        <v>1261</v>
      </c>
      <c r="E606" s="7" t="s">
        <v>16</v>
      </c>
      <c r="F606" s="10" t="n">
        <f aca="false">IF(ISBLANK($G606),,VLOOKUP($G606, Rarities!$A$1:$B869, 2, FALSE()))</f>
        <v>3</v>
      </c>
      <c r="G606" s="8" t="s">
        <v>53</v>
      </c>
      <c r="H606" s="8" t="str">
        <f aca="false">VLOOKUP(B606,Manufacturers!A$1:B869,2)</f>
        <v>US</v>
      </c>
      <c r="I606" s="11" t="n">
        <v>35000</v>
      </c>
      <c r="J606" s="8"/>
      <c r="K606" s="8" t="n">
        <v>1</v>
      </c>
      <c r="L606" s="12" t="n">
        <v>16</v>
      </c>
      <c r="M606" s="11" t="e">
        <f aca="false">IF(AND(ISNUMBER(L606),L606&gt;0),(3*J606+K606)*#REF!/L606,"-")</f>
        <v>#REF!</v>
      </c>
      <c r="N606" s="11" t="e">
        <f aca="false">IF(AND(#REF!,ISNUMBER(L606),L606&gt;0),((3*J606+K606)*#REF!-I606)/L606,"-")</f>
        <v>#REF!</v>
      </c>
      <c r="O606" s="8"/>
      <c r="P606" s="8"/>
    </row>
    <row r="607" customFormat="false" ht="15.75" hidden="false" customHeight="true" outlineLevel="0" collapsed="false">
      <c r="A607" s="7" t="s">
        <v>1262</v>
      </c>
      <c r="B607" s="8" t="s">
        <v>1258</v>
      </c>
      <c r="C607" s="8" t="n">
        <v>2023</v>
      </c>
      <c r="D607" s="9" t="s">
        <v>1263</v>
      </c>
      <c r="E607" s="7" t="s">
        <v>852</v>
      </c>
      <c r="F607" s="10" t="n">
        <f aca="false">IF(ISBLANK($G607),,VLOOKUP($G607, Rarities!$A$1:$B869, 2, FALSE()))</f>
        <v>3</v>
      </c>
      <c r="G607" s="8" t="s">
        <v>53</v>
      </c>
      <c r="H607" s="8" t="str">
        <f aca="false">VLOOKUP(B607,Manufacturers!A$1:B869,2)</f>
        <v>US</v>
      </c>
      <c r="I607" s="11" t="n">
        <v>250000</v>
      </c>
      <c r="J607" s="8"/>
      <c r="K607" s="8"/>
      <c r="L607" s="12"/>
      <c r="M607" s="11"/>
      <c r="N607" s="11"/>
      <c r="O607" s="8"/>
      <c r="P607" s="8"/>
    </row>
    <row r="608" customFormat="false" ht="15.75" hidden="false" customHeight="true" outlineLevel="0" collapsed="false">
      <c r="A608" s="7" t="s">
        <v>1264</v>
      </c>
      <c r="B608" s="8" t="s">
        <v>1265</v>
      </c>
      <c r="C608" s="8" t="n">
        <v>1986</v>
      </c>
      <c r="D608" s="9" t="s">
        <v>1266</v>
      </c>
      <c r="E608" s="7" t="s">
        <v>139</v>
      </c>
      <c r="F608" s="10" t="n">
        <f aca="false">IF(ISBLANK($G608),,VLOOKUP($G608, Rarities!$A$1:$B869, 2, FALSE()))</f>
        <v>4</v>
      </c>
      <c r="G608" s="8" t="s">
        <v>41</v>
      </c>
      <c r="H608" s="8" t="str">
        <f aca="false">VLOOKUP(B608,Manufacturers!A$1:B869,2)</f>
        <v>GB</v>
      </c>
      <c r="I608" s="11" t="n">
        <v>125000</v>
      </c>
      <c r="J608" s="8"/>
      <c r="K608" s="8" t="n">
        <v>3</v>
      </c>
      <c r="L608" s="12" t="n">
        <v>30</v>
      </c>
      <c r="M608" s="11" t="e">
        <f aca="false">IF(AND(ISNUMBER(L608),L608&gt;0),(3*J608+K608)*#REF!/L608,"-")</f>
        <v>#REF!</v>
      </c>
      <c r="N608" s="11" t="e">
        <f aca="false">IF(AND(#REF!,ISNUMBER(L608),L608&gt;0),((3*J608+K608)*#REF!-I608)/L608,"-")</f>
        <v>#REF!</v>
      </c>
      <c r="O608" s="8"/>
      <c r="P608" s="8"/>
    </row>
    <row r="609" customFormat="false" ht="15.75" hidden="false" customHeight="true" outlineLevel="0" collapsed="false">
      <c r="A609" s="7" t="s">
        <v>244</v>
      </c>
      <c r="B609" s="8" t="s">
        <v>1265</v>
      </c>
      <c r="C609" s="8" t="n">
        <v>1986</v>
      </c>
      <c r="D609" s="9" t="s">
        <v>1266</v>
      </c>
      <c r="E609" s="7" t="s">
        <v>244</v>
      </c>
      <c r="F609" s="10" t="n">
        <f aca="false">IF(ISBLANK($G609),,VLOOKUP($G609, Rarities!$A$1:$B869, 2, FALSE()))</f>
        <v>0</v>
      </c>
      <c r="G609" s="8" t="s">
        <v>244</v>
      </c>
      <c r="H609" s="8" t="str">
        <f aca="false">VLOOKUP(B609,Manufacturers!A$1:B869,2)</f>
        <v>GB</v>
      </c>
      <c r="I609" s="11" t="s">
        <v>244</v>
      </c>
      <c r="J609" s="8"/>
      <c r="K609" s="8"/>
      <c r="L609" s="12" t="s">
        <v>244</v>
      </c>
      <c r="M609" s="11" t="str">
        <f aca="false">IF(AND(ISNUMBER(L609),L609&gt;0),(3*J609+K609)*#REF!/L609,"-")</f>
        <v>-</v>
      </c>
      <c r="N609" s="11" t="e">
        <f aca="false">IF(AND(#REF!,ISNUMBER(L609),L609&gt;0),((3*J609+K609)*#REF!-I609)/L609,"-")</f>
        <v>#REF!</v>
      </c>
      <c r="O609" s="8"/>
      <c r="P609" s="8"/>
    </row>
    <row r="610" customFormat="false" ht="15.75" hidden="false" customHeight="true" outlineLevel="0" collapsed="false">
      <c r="A610" s="7" t="s">
        <v>1267</v>
      </c>
      <c r="B610" s="8" t="s">
        <v>1265</v>
      </c>
      <c r="C610" s="8" t="n">
        <v>2005</v>
      </c>
      <c r="D610" s="9" t="s">
        <v>1268</v>
      </c>
      <c r="E610" s="7" t="s">
        <v>222</v>
      </c>
      <c r="F610" s="10" t="n">
        <f aca="false">IF(ISBLANK($G610),,VLOOKUP($G610, Rarities!$A$1:$B869, 2, FALSE()))</f>
        <v>2</v>
      </c>
      <c r="G610" s="8" t="s">
        <v>36</v>
      </c>
      <c r="H610" s="8" t="str">
        <f aca="false">VLOOKUP(B610,Manufacturers!A$1:B869,2)</f>
        <v>GB</v>
      </c>
      <c r="I610" s="11" t="n">
        <v>50000</v>
      </c>
      <c r="J610" s="8"/>
      <c r="K610" s="8"/>
      <c r="L610" s="12"/>
      <c r="M610" s="11" t="str">
        <f aca="false">IF(AND(ISNUMBER(L610),L610&gt;0),(3*J610+K610)*#REF!/L610,"-")</f>
        <v>-</v>
      </c>
      <c r="N610" s="11" t="e">
        <f aca="false">IF(AND(#REF!,ISNUMBER(L610),L610&gt;0),((3*J610+K610)*#REF!-I610)/L610,"-")</f>
        <v>#REF!</v>
      </c>
      <c r="O610" s="8"/>
      <c r="P610" s="8"/>
    </row>
    <row r="611" customFormat="false" ht="15.75" hidden="false" customHeight="true" outlineLevel="0" collapsed="false">
      <c r="A611" s="7" t="s">
        <v>1269</v>
      </c>
      <c r="B611" s="8" t="s">
        <v>1265</v>
      </c>
      <c r="C611" s="8" t="n">
        <v>2015</v>
      </c>
      <c r="D611" s="9" t="s">
        <v>1270</v>
      </c>
      <c r="E611" s="7" t="s">
        <v>23</v>
      </c>
      <c r="F611" s="10" t="n">
        <f aca="false">IF(ISBLANK($G611),,VLOOKUP($G611, Rarities!$A$1:$B869, 2, FALSE()))</f>
        <v>2</v>
      </c>
      <c r="G611" s="8" t="s">
        <v>36</v>
      </c>
      <c r="H611" s="8" t="str">
        <f aca="false">VLOOKUP(B611,Manufacturers!A$1:B869,2)</f>
        <v>GB</v>
      </c>
      <c r="I611" s="11" t="n">
        <v>250000</v>
      </c>
      <c r="J611" s="8"/>
      <c r="K611" s="8"/>
      <c r="L611" s="12"/>
      <c r="M611" s="11" t="str">
        <f aca="false">IF(AND(ISNUMBER(L611),L611&gt;0),(3*J611+K611)*#REF!/L611,"-")</f>
        <v>-</v>
      </c>
      <c r="N611" s="11" t="e">
        <f aca="false">IF(AND(#REF!,ISNUMBER(L611),L611&gt;0),((3*J611+K611)*#REF!-I611)/L611,"-")</f>
        <v>#REF!</v>
      </c>
      <c r="O611" s="8"/>
      <c r="P611" s="8"/>
    </row>
    <row r="612" customFormat="false" ht="15.75" hidden="false" customHeight="true" outlineLevel="0" collapsed="false">
      <c r="A612" s="7" t="s">
        <v>1271</v>
      </c>
      <c r="B612" s="8" t="s">
        <v>1265</v>
      </c>
      <c r="C612" s="8" t="n">
        <v>2020</v>
      </c>
      <c r="D612" s="9" t="s">
        <v>1272</v>
      </c>
      <c r="E612" s="7" t="s">
        <v>111</v>
      </c>
      <c r="F612" s="10" t="n">
        <f aca="false">IF(ISBLANK($G612),,VLOOKUP($G612, Rarities!$A$1:$B869, 2, FALSE()))</f>
        <v>2</v>
      </c>
      <c r="G612" s="8" t="s">
        <v>36</v>
      </c>
      <c r="H612" s="8" t="str">
        <f aca="false">VLOOKUP(B612,Manufacturers!A$1:B869,2)</f>
        <v>GB</v>
      </c>
      <c r="I612" s="11" t="n">
        <v>250000</v>
      </c>
      <c r="J612" s="8"/>
      <c r="K612" s="8"/>
      <c r="L612" s="12"/>
      <c r="M612" s="11"/>
      <c r="N612" s="11"/>
      <c r="O612" s="8"/>
      <c r="P612" s="8"/>
    </row>
    <row r="613" customFormat="false" ht="15.75" hidden="false" customHeight="true" outlineLevel="0" collapsed="false">
      <c r="A613" s="7" t="s">
        <v>1273</v>
      </c>
      <c r="B613" s="8" t="s">
        <v>1265</v>
      </c>
      <c r="C613" s="8" t="n">
        <v>2021</v>
      </c>
      <c r="D613" s="9" t="s">
        <v>1273</v>
      </c>
      <c r="E613" s="7" t="s">
        <v>58</v>
      </c>
      <c r="F613" s="10" t="n">
        <f aca="false">IF(ISBLANK($G613),,VLOOKUP($G613, Rarities!$A$1:$B869, 2, FALSE()))</f>
        <v>2</v>
      </c>
      <c r="G613" s="8" t="s">
        <v>36</v>
      </c>
      <c r="H613" s="8" t="str">
        <f aca="false">VLOOKUP(B613,Manufacturers!A$1:B869,2)</f>
        <v>GB</v>
      </c>
      <c r="I613" s="11" t="n">
        <v>250000</v>
      </c>
      <c r="J613" s="8"/>
      <c r="K613" s="8"/>
      <c r="L613" s="12"/>
      <c r="M613" s="11"/>
      <c r="N613" s="11"/>
      <c r="O613" s="8"/>
      <c r="P613" s="8"/>
    </row>
    <row r="614" customFormat="false" ht="15.75" hidden="false" customHeight="true" outlineLevel="0" collapsed="false">
      <c r="A614" s="7" t="s">
        <v>1274</v>
      </c>
      <c r="B614" s="8" t="s">
        <v>1265</v>
      </c>
      <c r="C614" s="8" t="n">
        <v>2023</v>
      </c>
      <c r="D614" s="9" t="s">
        <v>1275</v>
      </c>
      <c r="E614" s="7" t="s">
        <v>52</v>
      </c>
      <c r="F614" s="10" t="n">
        <f aca="false">IF(ISBLANK($G614),,VLOOKUP($G614, Rarities!$A$1:$B869, 2, FALSE()))</f>
        <v>2</v>
      </c>
      <c r="G614" s="8" t="s">
        <v>36</v>
      </c>
      <c r="H614" s="8" t="str">
        <f aca="false">VLOOKUP(B614,Manufacturers!A$1:B869,2)</f>
        <v>GB</v>
      </c>
      <c r="I614" s="11" t="n">
        <v>90000</v>
      </c>
      <c r="J614" s="8"/>
      <c r="K614" s="8"/>
      <c r="L614" s="12"/>
      <c r="M614" s="11"/>
      <c r="N614" s="11"/>
      <c r="O614" s="8"/>
      <c r="P614" s="8"/>
    </row>
    <row r="615" customFormat="false" ht="15.75" hidden="false" customHeight="true" outlineLevel="0" collapsed="false">
      <c r="A615" s="7" t="s">
        <v>1276</v>
      </c>
      <c r="B615" s="8" t="s">
        <v>1265</v>
      </c>
      <c r="C615" s="8" t="n">
        <v>2023</v>
      </c>
      <c r="D615" s="9" t="s">
        <v>1277</v>
      </c>
      <c r="E615" s="7" t="s">
        <v>58</v>
      </c>
      <c r="F615" s="10" t="n">
        <f aca="false">IF(ISBLANK($G615),,VLOOKUP($G615, Rarities!$A$1:$B869, 2, FALSE()))</f>
        <v>2</v>
      </c>
      <c r="G615" s="8" t="s">
        <v>36</v>
      </c>
      <c r="H615" s="8" t="str">
        <f aca="false">VLOOKUP(B615,Manufacturers!A$1:B869,2)</f>
        <v>GB</v>
      </c>
      <c r="I615" s="11" t="n">
        <v>250000</v>
      </c>
      <c r="J615" s="8"/>
      <c r="K615" s="8"/>
      <c r="L615" s="12"/>
      <c r="M615" s="11"/>
      <c r="N615" s="11"/>
      <c r="O615" s="8"/>
      <c r="P615" s="8"/>
    </row>
    <row r="616" customFormat="false" ht="15.75" hidden="false" customHeight="true" outlineLevel="0" collapsed="false">
      <c r="A616" s="7" t="s">
        <v>1278</v>
      </c>
      <c r="B616" s="8" t="s">
        <v>1279</v>
      </c>
      <c r="C616" s="8" t="n">
        <v>1965</v>
      </c>
      <c r="D616" s="9" t="s">
        <v>1280</v>
      </c>
      <c r="E616" s="7" t="s">
        <v>155</v>
      </c>
      <c r="F616" s="10" t="n">
        <f aca="false">IF(ISBLANK($G616),,VLOOKUP($G616, Rarities!$A$1:$B869, 2, FALSE()))</f>
        <v>5</v>
      </c>
      <c r="G616" s="8" t="s">
        <v>239</v>
      </c>
      <c r="H616" s="8" t="str">
        <f aca="false">VLOOKUP(B616,Manufacturers!A$1:B869,2)</f>
        <v>GB</v>
      </c>
      <c r="I616" s="11" t="n">
        <v>500000</v>
      </c>
      <c r="J616" s="8"/>
      <c r="K616" s="8"/>
      <c r="L616" s="12"/>
      <c r="M616" s="11"/>
      <c r="N616" s="11"/>
      <c r="O616" s="8"/>
      <c r="P616" s="8"/>
    </row>
    <row r="617" customFormat="false" ht="15.75" hidden="false" customHeight="true" outlineLevel="0" collapsed="false">
      <c r="A617" s="7" t="s">
        <v>1281</v>
      </c>
      <c r="B617" s="8" t="s">
        <v>1279</v>
      </c>
      <c r="C617" s="8" t="n">
        <v>1965</v>
      </c>
      <c r="D617" s="9" t="s">
        <v>1282</v>
      </c>
      <c r="E617" s="7" t="s">
        <v>20</v>
      </c>
      <c r="F617" s="10" t="n">
        <f aca="false">IF(ISBLANK($G617),,VLOOKUP($G617, Rarities!$A$1:$B869, 2, FALSE()))</f>
        <v>2</v>
      </c>
      <c r="G617" s="8" t="s">
        <v>36</v>
      </c>
      <c r="H617" s="8" t="str">
        <f aca="false">VLOOKUP(B617,Manufacturers!A$1:B869,2)</f>
        <v>GB</v>
      </c>
      <c r="I617" s="11" t="n">
        <v>30000</v>
      </c>
      <c r="J617" s="8"/>
      <c r="K617" s="8" t="n">
        <v>1</v>
      </c>
      <c r="L617" s="12" t="n">
        <v>9</v>
      </c>
      <c r="M617" s="11" t="e">
        <f aca="false">IF(AND(ISNUMBER(L617),L617&gt;0),(3*J617+K617)*#REF!/L617,"-")</f>
        <v>#REF!</v>
      </c>
      <c r="N617" s="11" t="e">
        <f aca="false">IF(AND(#REF!,ISNUMBER(L617),L617&gt;0),((3*J617+K617)*#REF!-I617)/L617,"-")</f>
        <v>#REF!</v>
      </c>
      <c r="O617" s="8"/>
      <c r="P617" s="8"/>
    </row>
    <row r="618" customFormat="false" ht="15.75" hidden="false" customHeight="true" outlineLevel="0" collapsed="false">
      <c r="A618" s="7" t="s">
        <v>1283</v>
      </c>
      <c r="B618" s="8" t="s">
        <v>1279</v>
      </c>
      <c r="C618" s="8" t="n">
        <v>2009</v>
      </c>
      <c r="D618" s="9" t="s">
        <v>1284</v>
      </c>
      <c r="E618" s="7" t="s">
        <v>23</v>
      </c>
      <c r="F618" s="10" t="n">
        <f aca="false">IF(ISBLANK($G618),,VLOOKUP($G618, Rarities!$A$1:$B869, 2, FALSE()))</f>
        <v>1</v>
      </c>
      <c r="G618" s="8" t="s">
        <v>17</v>
      </c>
      <c r="H618" s="8" t="str">
        <f aca="false">VLOOKUP(B618,Manufacturers!A$1:B869,2)</f>
        <v>GB</v>
      </c>
      <c r="I618" s="11" t="n">
        <v>25000</v>
      </c>
      <c r="J618" s="8"/>
      <c r="K618" s="8" t="n">
        <v>1</v>
      </c>
      <c r="L618" s="12" t="n">
        <v>9</v>
      </c>
      <c r="M618" s="11" t="e">
        <f aca="false">IF(AND(ISNUMBER(L618),L618&gt;0),(3*J618+K618)*#REF!/L618,"-")</f>
        <v>#REF!</v>
      </c>
      <c r="N618" s="11" t="e">
        <f aca="false">IF(AND(#REF!,ISNUMBER(L618),L618&gt;0),((3*J618+K618)*#REF!-I618)/L618,"-")</f>
        <v>#REF!</v>
      </c>
      <c r="O618" s="8"/>
      <c r="P618" s="8"/>
    </row>
    <row r="619" customFormat="false" ht="15.75" hidden="false" customHeight="true" outlineLevel="0" collapsed="false">
      <c r="A619" s="7" t="s">
        <v>1285</v>
      </c>
      <c r="B619" s="8" t="s">
        <v>1279</v>
      </c>
      <c r="C619" s="8" t="n">
        <v>2012</v>
      </c>
      <c r="D619" s="9" t="s">
        <v>1286</v>
      </c>
      <c r="E619" s="7" t="s">
        <v>23</v>
      </c>
      <c r="F619" s="10" t="n">
        <f aca="false">IF(ISBLANK($G619),,VLOOKUP($G619, Rarities!$A$1:$B869, 2, FALSE()))</f>
        <v>2</v>
      </c>
      <c r="G619" s="8" t="s">
        <v>36</v>
      </c>
      <c r="H619" s="8" t="str">
        <f aca="false">VLOOKUP(B619,Manufacturers!A$1:B869,2)</f>
        <v>GB</v>
      </c>
      <c r="I619" s="11" t="n">
        <v>38000</v>
      </c>
      <c r="J619" s="8"/>
      <c r="K619" s="8" t="n">
        <v>1</v>
      </c>
      <c r="L619" s="12" t="n">
        <v>9</v>
      </c>
      <c r="M619" s="11" t="e">
        <f aca="false">IF(AND(ISNUMBER(L619),L619&gt;0),(3*J619+K619)*#REF!/L619,"-")</f>
        <v>#REF!</v>
      </c>
      <c r="N619" s="11" t="e">
        <f aca="false">IF(AND(#REF!,ISNUMBER(L619),L619&gt;0),((3*J619+K619)*#REF!-I619)/L619,"-")</f>
        <v>#REF!</v>
      </c>
      <c r="O619" s="8"/>
      <c r="P619" s="8"/>
    </row>
    <row r="620" customFormat="false" ht="15.75" hidden="false" customHeight="true" outlineLevel="0" collapsed="false">
      <c r="A620" s="7" t="s">
        <v>1287</v>
      </c>
      <c r="B620" s="8" t="s">
        <v>1279</v>
      </c>
      <c r="C620" s="8" t="n">
        <v>2013</v>
      </c>
      <c r="D620" s="9" t="s">
        <v>1288</v>
      </c>
      <c r="E620" s="7" t="s">
        <v>687</v>
      </c>
      <c r="F620" s="10" t="n">
        <f aca="false">IF(ISBLANK($G620),,VLOOKUP($G620, Rarities!$A$1:$B869, 2, FALSE()))</f>
        <v>3</v>
      </c>
      <c r="G620" s="8" t="s">
        <v>53</v>
      </c>
      <c r="H620" s="8" t="str">
        <f aca="false">VLOOKUP(B620,Manufacturers!A$1:B869,2)</f>
        <v>GB</v>
      </c>
      <c r="I620" s="11" t="n">
        <v>250000</v>
      </c>
      <c r="J620" s="8" t="n">
        <v>1</v>
      </c>
      <c r="K620" s="8"/>
      <c r="L620" s="12" t="n">
        <v>20</v>
      </c>
      <c r="M620" s="11" t="e">
        <f aca="false">IF(AND(ISNUMBER(L620),L620&gt;0),(3*J620+K620)*#REF!/L620,"-")</f>
        <v>#REF!</v>
      </c>
      <c r="N620" s="11" t="e">
        <f aca="false">IF(AND(#REF!,ISNUMBER(L620),L620&gt;0),((3*J620+K620)*#REF!-I620)/L620,"-")</f>
        <v>#REF!</v>
      </c>
      <c r="O620" s="8"/>
      <c r="P620" s="8"/>
    </row>
    <row r="621" customFormat="false" ht="15.75" hidden="false" customHeight="true" outlineLevel="0" collapsed="false">
      <c r="A621" s="7" t="s">
        <v>1289</v>
      </c>
      <c r="B621" s="8" t="s">
        <v>1279</v>
      </c>
      <c r="C621" s="8" t="n">
        <v>2018</v>
      </c>
      <c r="D621" s="9" t="s">
        <v>1290</v>
      </c>
      <c r="E621" s="7" t="s">
        <v>687</v>
      </c>
      <c r="F621" s="10" t="n">
        <f aca="false">IF(ISBLANK($G621),,VLOOKUP($G621, Rarities!$A$1:$B869, 2, FALSE()))</f>
        <v>3</v>
      </c>
      <c r="G621" s="8" t="s">
        <v>53</v>
      </c>
      <c r="H621" s="8" t="str">
        <f aca="false">VLOOKUP(B621,Manufacturers!A$1:B869,2)</f>
        <v>GB</v>
      </c>
      <c r="I621" s="11" t="n">
        <v>250000</v>
      </c>
      <c r="J621" s="8"/>
      <c r="K621" s="8" t="n">
        <v>2</v>
      </c>
      <c r="L621" s="12" t="n">
        <v>16</v>
      </c>
      <c r="M621" s="11" t="e">
        <f aca="false">IF(AND(ISNUMBER(L621),L621&gt;0),(3*J621+K621)*#REF!/L621,"-")</f>
        <v>#REF!</v>
      </c>
      <c r="N621" s="11" t="e">
        <f aca="false">IF(AND(#REF!,ISNUMBER(L621),L621&gt;0),((3*J621+K621)*#REF!-I621)/L621,"-")</f>
        <v>#REF!</v>
      </c>
      <c r="O621" s="8"/>
      <c r="P621" s="8"/>
    </row>
    <row r="622" customFormat="false" ht="15.75" hidden="false" customHeight="true" outlineLevel="0" collapsed="false">
      <c r="A622" s="7" t="s">
        <v>1291</v>
      </c>
      <c r="B622" s="8" t="s">
        <v>1279</v>
      </c>
      <c r="C622" s="8" t="n">
        <v>2018</v>
      </c>
      <c r="D622" s="9" t="s">
        <v>1292</v>
      </c>
      <c r="E622" s="7" t="s">
        <v>125</v>
      </c>
      <c r="F622" s="10" t="n">
        <f aca="false">IF(ISBLANK($G622),,VLOOKUP($G622, Rarities!$A$1:$B869, 2, FALSE()))</f>
        <v>1</v>
      </c>
      <c r="G622" s="8" t="s">
        <v>17</v>
      </c>
      <c r="H622" s="8" t="str">
        <f aca="false">VLOOKUP(B622,Manufacturers!A$1:B869,2)</f>
        <v>GB</v>
      </c>
      <c r="I622" s="11" t="n">
        <v>38500</v>
      </c>
      <c r="J622" s="8"/>
      <c r="K622" s="8" t="n">
        <v>1</v>
      </c>
      <c r="L622" s="12" t="n">
        <v>9</v>
      </c>
      <c r="M622" s="11" t="e">
        <f aca="false">IF(AND(ISNUMBER(L622),L622&gt;0),(3*J622+K622)*#REF!/L622,"-")</f>
        <v>#REF!</v>
      </c>
      <c r="N622" s="11" t="e">
        <f aca="false">IF(AND(#REF!,ISNUMBER(L622),L622&gt;0),((3*J622+K622)*#REF!-I622)/L622,"-")</f>
        <v>#REF!</v>
      </c>
      <c r="O622" s="8"/>
      <c r="P622" s="8"/>
    </row>
    <row r="623" customFormat="false" ht="15.75" hidden="false" customHeight="true" outlineLevel="0" collapsed="false">
      <c r="A623" s="7" t="s">
        <v>1293</v>
      </c>
      <c r="B623" s="8" t="s">
        <v>1279</v>
      </c>
      <c r="C623" s="8" t="n">
        <v>2021</v>
      </c>
      <c r="D623" s="9" t="s">
        <v>1286</v>
      </c>
      <c r="E623" s="7" t="s">
        <v>155</v>
      </c>
      <c r="F623" s="10" t="n">
        <f aca="false">IF(ISBLANK($G623),,VLOOKUP($G623, Rarities!$A$1:$B869, 2, FALSE()))</f>
        <v>2</v>
      </c>
      <c r="G623" s="8" t="s">
        <v>36</v>
      </c>
      <c r="H623" s="8" t="str">
        <f aca="false">VLOOKUP(B623,Manufacturers!A$1:B869,2)</f>
        <v>GB</v>
      </c>
      <c r="I623" s="11" t="n">
        <v>42000</v>
      </c>
      <c r="J623" s="8"/>
      <c r="K623" s="8"/>
      <c r="L623" s="12"/>
      <c r="M623" s="11"/>
      <c r="N623" s="11"/>
      <c r="O623" s="8"/>
      <c r="P623" s="8"/>
    </row>
    <row r="624" customFormat="false" ht="15.75" hidden="false" customHeight="true" outlineLevel="0" collapsed="false">
      <c r="A624" s="7" t="s">
        <v>1294</v>
      </c>
      <c r="B624" s="8" t="s">
        <v>1295</v>
      </c>
      <c r="C624" s="8" t="n">
        <v>1988</v>
      </c>
      <c r="D624" s="9" t="s">
        <v>1294</v>
      </c>
      <c r="E624" s="7" t="s">
        <v>222</v>
      </c>
      <c r="F624" s="10" t="n">
        <f aca="false">IF(ISBLANK($G624),,VLOOKUP($G624, Rarities!$A$1:$B869, 2, FALSE()))</f>
        <v>2</v>
      </c>
      <c r="G624" s="8" t="s">
        <v>36</v>
      </c>
      <c r="H624" s="8" t="str">
        <f aca="false">VLOOKUP(B624,Manufacturers!A$1:B869,2)</f>
        <v>JP</v>
      </c>
      <c r="I624" s="11" t="n">
        <v>20000</v>
      </c>
      <c r="J624" s="8"/>
      <c r="K624" s="8" t="n">
        <v>2</v>
      </c>
      <c r="L624" s="12" t="n">
        <v>11</v>
      </c>
      <c r="M624" s="11" t="e">
        <f aca="false">IF(AND(ISNUMBER(L624),L624&gt;0),(3*J624+K624)*#REF!/L624,"-")</f>
        <v>#REF!</v>
      </c>
      <c r="N624" s="11" t="e">
        <f aca="false">IF(AND(#REF!,ISNUMBER(L624),L624&gt;0),((3*J624+K624)*#REF!-I624)/L624,"-")</f>
        <v>#REF!</v>
      </c>
      <c r="O624" s="8"/>
      <c r="P624" s="8"/>
    </row>
    <row r="625" customFormat="false" ht="15.75" hidden="false" customHeight="true" outlineLevel="0" collapsed="false">
      <c r="A625" s="7" t="s">
        <v>1296</v>
      </c>
      <c r="B625" s="8" t="s">
        <v>1295</v>
      </c>
      <c r="C625" s="8" t="n">
        <v>1992</v>
      </c>
      <c r="D625" s="9" t="s">
        <v>1296</v>
      </c>
      <c r="E625" s="7" t="s">
        <v>136</v>
      </c>
      <c r="F625" s="10" t="n">
        <f aca="false">IF(ISBLANK($G625),,VLOOKUP($G625, Rarities!$A$1:$B869, 2, FALSE()))</f>
        <v>2</v>
      </c>
      <c r="G625" s="8" t="s">
        <v>36</v>
      </c>
      <c r="H625" s="8" t="str">
        <f aca="false">VLOOKUP(B625,Manufacturers!A$1:B869,2)</f>
        <v>JP</v>
      </c>
      <c r="I625" s="11" t="n">
        <v>250000</v>
      </c>
      <c r="J625" s="8"/>
      <c r="K625" s="8"/>
      <c r="L625" s="12"/>
      <c r="M625" s="11"/>
      <c r="N625" s="11"/>
      <c r="O625" s="8"/>
      <c r="P625" s="8"/>
    </row>
    <row r="626" customFormat="false" ht="15.75" hidden="false" customHeight="true" outlineLevel="0" collapsed="false">
      <c r="A626" s="7" t="s">
        <v>244</v>
      </c>
      <c r="B626" s="8" t="s">
        <v>1295</v>
      </c>
      <c r="C626" s="8" t="n">
        <v>1992</v>
      </c>
      <c r="D626" s="9" t="s">
        <v>1297</v>
      </c>
      <c r="E626" s="7" t="s">
        <v>244</v>
      </c>
      <c r="F626" s="10" t="n">
        <f aca="false">IF(ISBLANK($G626),,VLOOKUP($G626, Rarities!$A$1:$B869, 2, FALSE()))</f>
        <v>0</v>
      </c>
      <c r="G626" s="8" t="s">
        <v>244</v>
      </c>
      <c r="H626" s="8" t="str">
        <f aca="false">VLOOKUP(B626,Manufacturers!A$1:B869,2)</f>
        <v>JP</v>
      </c>
      <c r="I626" s="11" t="s">
        <v>244</v>
      </c>
      <c r="J626" s="8"/>
      <c r="K626" s="8"/>
      <c r="L626" s="12" t="s">
        <v>244</v>
      </c>
      <c r="M626" s="11" t="str">
        <f aca="false">IF(AND(ISNUMBER(L626),L626&gt;0),(3*J626+K626)*#REF!/L626,"-")</f>
        <v>-</v>
      </c>
      <c r="N626" s="11" t="e">
        <f aca="false">IF(AND(#REF!,ISNUMBER(L626),L626&gt;0),((3*J626+K626)*#REF!-I626)/L626,"-")</f>
        <v>#REF!</v>
      </c>
      <c r="O626" s="8"/>
      <c r="P626" s="8"/>
    </row>
    <row r="627" customFormat="false" ht="15.75" hidden="false" customHeight="true" outlineLevel="0" collapsed="false">
      <c r="A627" s="7" t="s">
        <v>1298</v>
      </c>
      <c r="B627" s="8" t="s">
        <v>1295</v>
      </c>
      <c r="C627" s="8" t="n">
        <v>1995</v>
      </c>
      <c r="D627" s="9" t="s">
        <v>1298</v>
      </c>
      <c r="E627" s="7" t="s">
        <v>222</v>
      </c>
      <c r="F627" s="10" t="n">
        <f aca="false">IF(ISBLANK($G627),,VLOOKUP($G627, Rarities!$A$1:$B869, 2, FALSE()))</f>
        <v>1</v>
      </c>
      <c r="G627" s="8" t="s">
        <v>17</v>
      </c>
      <c r="H627" s="8" t="str">
        <f aca="false">VLOOKUP(B627,Manufacturers!A$1:B869,2)</f>
        <v>JP</v>
      </c>
      <c r="I627" s="11" t="n">
        <v>25000</v>
      </c>
      <c r="J627" s="8"/>
      <c r="K627" s="8" t="n">
        <v>1</v>
      </c>
      <c r="L627" s="12" t="n">
        <v>9</v>
      </c>
      <c r="M627" s="11" t="e">
        <f aca="false">IF(AND(ISNUMBER(L627),L627&gt;0),(3*J627+K627)*#REF!/L627,"-")</f>
        <v>#REF!</v>
      </c>
      <c r="N627" s="11" t="e">
        <f aca="false">IF(AND(#REF!,ISNUMBER(L627),L627&gt;0),((3*J627+K627)*#REF!-I627)/L627,"-")</f>
        <v>#REF!</v>
      </c>
      <c r="O627" s="8"/>
      <c r="P627" s="8"/>
    </row>
    <row r="628" customFormat="false" ht="15.75" hidden="false" customHeight="true" outlineLevel="0" collapsed="false">
      <c r="A628" s="7" t="s">
        <v>1299</v>
      </c>
      <c r="B628" s="8" t="s">
        <v>1295</v>
      </c>
      <c r="C628" s="8" t="n">
        <v>1997</v>
      </c>
      <c r="D628" s="9" t="s">
        <v>1300</v>
      </c>
      <c r="E628" s="7" t="s">
        <v>222</v>
      </c>
      <c r="F628" s="10" t="n">
        <f aca="false">IF(ISBLANK($G628),,VLOOKUP($G628, Rarities!$A$1:$B869, 2, FALSE()))</f>
        <v>1</v>
      </c>
      <c r="G628" s="8" t="s">
        <v>17</v>
      </c>
      <c r="H628" s="8" t="str">
        <f aca="false">VLOOKUP(B628,Manufacturers!A$1:B869,2)</f>
        <v>JP</v>
      </c>
      <c r="I628" s="11" t="n">
        <v>20000</v>
      </c>
      <c r="J628" s="8"/>
      <c r="K628" s="8" t="n">
        <v>1</v>
      </c>
      <c r="L628" s="12" t="n">
        <v>9</v>
      </c>
      <c r="M628" s="11" t="e">
        <f aca="false">IF(AND(ISNUMBER(L628),L628&gt;0),(3*J628+K628)*#REF!/L628,"-")</f>
        <v>#REF!</v>
      </c>
      <c r="N628" s="11" t="e">
        <f aca="false">IF(AND(#REF!,ISNUMBER(L628),L628&gt;0),((3*J628+K628)*#REF!-I628)/L628,"-")</f>
        <v>#REF!</v>
      </c>
      <c r="O628" s="8"/>
      <c r="P628" s="8"/>
    </row>
    <row r="629" customFormat="false" ht="15.75" hidden="false" customHeight="true" outlineLevel="0" collapsed="false">
      <c r="A629" s="7" t="s">
        <v>1301</v>
      </c>
      <c r="B629" s="8" t="s">
        <v>1295</v>
      </c>
      <c r="C629" s="8" t="n">
        <v>1999</v>
      </c>
      <c r="D629" s="9" t="s">
        <v>1302</v>
      </c>
      <c r="E629" s="7" t="s">
        <v>136</v>
      </c>
      <c r="F629" s="10" t="n">
        <f aca="false">IF(ISBLANK($G629),,VLOOKUP($G629, Rarities!$A$1:$B869, 2, FALSE()))</f>
        <v>2</v>
      </c>
      <c r="G629" s="8" t="s">
        <v>36</v>
      </c>
      <c r="H629" s="8" t="str">
        <f aca="false">VLOOKUP(B629,Manufacturers!A$1:B869,2)</f>
        <v>JP</v>
      </c>
      <c r="I629" s="11" t="n">
        <v>28000</v>
      </c>
      <c r="J629" s="8"/>
      <c r="K629" s="8" t="n">
        <v>1</v>
      </c>
      <c r="L629" s="12" t="n">
        <v>9</v>
      </c>
      <c r="M629" s="11" t="e">
        <f aca="false">IF(AND(ISNUMBER(L629),L629&gt;0),(3*J629+K629)*#REF!/L629,"-")</f>
        <v>#REF!</v>
      </c>
      <c r="N629" s="11" t="e">
        <f aca="false">IF(AND(#REF!,ISNUMBER(L629),L629&gt;0),((3*J629+K629)*#REF!-I629)/L629,"-")</f>
        <v>#REF!</v>
      </c>
      <c r="O629" s="8"/>
      <c r="P629" s="8"/>
    </row>
    <row r="630" customFormat="false" ht="15.75" hidden="false" customHeight="true" outlineLevel="0" collapsed="false">
      <c r="A630" s="7" t="s">
        <v>1303</v>
      </c>
      <c r="B630" s="8" t="s">
        <v>1295</v>
      </c>
      <c r="C630" s="8" t="n">
        <v>2004</v>
      </c>
      <c r="D630" s="9" t="s">
        <v>1304</v>
      </c>
      <c r="E630" s="7" t="s">
        <v>1305</v>
      </c>
      <c r="F630" s="10" t="n">
        <f aca="false">IF(ISBLANK($G630),,VLOOKUP($G630, Rarities!$A$1:$B869, 2, FALSE()))</f>
        <v>2</v>
      </c>
      <c r="G630" s="8" t="s">
        <v>36</v>
      </c>
      <c r="H630" s="8" t="str">
        <f aca="false">VLOOKUP(B630,Manufacturers!A$1:B869,2)</f>
        <v>JP</v>
      </c>
      <c r="I630" s="11" t="n">
        <v>31000</v>
      </c>
      <c r="J630" s="8"/>
      <c r="K630" s="8" t="n">
        <v>1</v>
      </c>
      <c r="L630" s="12" t="n">
        <v>9</v>
      </c>
      <c r="M630" s="11" t="e">
        <f aca="false">IF(AND(ISNUMBER(L630),L630&gt;0),(3*J630+K630)*#REF!/L630,"-")</f>
        <v>#REF!</v>
      </c>
      <c r="N630" s="11" t="e">
        <f aca="false">IF(AND(#REF!,ISNUMBER(L630),L630&gt;0),((3*J630+K630)*#REF!-I630)/L630,"-")</f>
        <v>#REF!</v>
      </c>
      <c r="O630" s="8"/>
      <c r="P630" s="8"/>
    </row>
    <row r="631" customFormat="false" ht="15.75" hidden="false" customHeight="true" outlineLevel="0" collapsed="false">
      <c r="A631" s="7" t="s">
        <v>1306</v>
      </c>
      <c r="B631" s="8" t="s">
        <v>1295</v>
      </c>
      <c r="C631" s="8" t="n">
        <v>2005</v>
      </c>
      <c r="D631" s="9" t="s">
        <v>1307</v>
      </c>
      <c r="E631" s="7" t="s">
        <v>86</v>
      </c>
      <c r="F631" s="10" t="n">
        <f aca="false">IF(ISBLANK($G631),,VLOOKUP($G631, Rarities!$A$1:$B869, 2, FALSE()))</f>
        <v>4</v>
      </c>
      <c r="G631" s="8" t="s">
        <v>41</v>
      </c>
      <c r="H631" s="8" t="str">
        <f aca="false">VLOOKUP(B631,Manufacturers!A$1:B869,2)</f>
        <v>JP</v>
      </c>
      <c r="I631" s="11" t="n">
        <v>300000</v>
      </c>
      <c r="J631" s="8"/>
      <c r="K631" s="8"/>
      <c r="L631" s="12"/>
      <c r="M631" s="11"/>
      <c r="N631" s="11"/>
      <c r="O631" s="8"/>
      <c r="P631" s="8"/>
    </row>
    <row r="632" customFormat="false" ht="15.75" hidden="false" customHeight="true" outlineLevel="0" collapsed="false">
      <c r="A632" s="7" t="s">
        <v>1308</v>
      </c>
      <c r="B632" s="8" t="s">
        <v>1295</v>
      </c>
      <c r="C632" s="8" t="n">
        <v>2006</v>
      </c>
      <c r="D632" s="9" t="s">
        <v>1309</v>
      </c>
      <c r="E632" s="7" t="s">
        <v>1305</v>
      </c>
      <c r="F632" s="10" t="n">
        <f aca="false">IF(ISBLANK($G632),,VLOOKUP($G632, Rarities!$A$1:$B869, 2, FALSE()))</f>
        <v>2</v>
      </c>
      <c r="G632" s="8" t="s">
        <v>36</v>
      </c>
      <c r="H632" s="8" t="str">
        <f aca="false">VLOOKUP(B632,Manufacturers!A$1:B869,2)</f>
        <v>JP</v>
      </c>
      <c r="I632" s="11" t="n">
        <v>27000</v>
      </c>
      <c r="J632" s="8"/>
      <c r="K632" s="8" t="n">
        <v>1</v>
      </c>
      <c r="L632" s="12" t="n">
        <v>9</v>
      </c>
      <c r="M632" s="11" t="e">
        <f aca="false">IF(AND(ISNUMBER(L632),L632&gt;0),(3*J632+K632)*#REF!/L632,"-")</f>
        <v>#REF!</v>
      </c>
      <c r="N632" s="11" t="e">
        <f aca="false">IF(AND(#REF!,ISNUMBER(L632),L632&gt;0),((3*J632+K632)*#REF!-I632)/L632,"-")</f>
        <v>#REF!</v>
      </c>
      <c r="O632" s="8"/>
      <c r="P632" s="8"/>
    </row>
    <row r="633" customFormat="false" ht="15.75" hidden="false" customHeight="true" outlineLevel="0" collapsed="false">
      <c r="A633" s="7" t="s">
        <v>1310</v>
      </c>
      <c r="B633" s="8" t="s">
        <v>1295</v>
      </c>
      <c r="C633" s="8" t="n">
        <v>2008</v>
      </c>
      <c r="D633" s="9" t="s">
        <v>1311</v>
      </c>
      <c r="E633" s="7" t="s">
        <v>1305</v>
      </c>
      <c r="F633" s="10" t="n">
        <f aca="false">IF(ISBLANK($G633),,VLOOKUP($G633, Rarities!$A$1:$B869, 2, FALSE()))</f>
        <v>2</v>
      </c>
      <c r="G633" s="8" t="s">
        <v>36</v>
      </c>
      <c r="H633" s="8" t="str">
        <f aca="false">VLOOKUP(B633,Manufacturers!A$1:B869,2)</f>
        <v>JP</v>
      </c>
      <c r="I633" s="11" t="n">
        <v>43000</v>
      </c>
      <c r="J633" s="8"/>
      <c r="K633" s="8" t="n">
        <v>1</v>
      </c>
      <c r="L633" s="12" t="n">
        <v>9</v>
      </c>
      <c r="M633" s="11" t="e">
        <f aca="false">IF(AND(ISNUMBER(L633),L633&gt;0),(3*J633+K633)*#REF!/L633,"-")</f>
        <v>#REF!</v>
      </c>
      <c r="N633" s="11" t="e">
        <f aca="false">IF(AND(#REF!,ISNUMBER(L633),L633&gt;0),((3*J633+K633)*#REF!-I633)/L633,"-")</f>
        <v>#REF!</v>
      </c>
      <c r="O633" s="8"/>
      <c r="P633" s="8"/>
    </row>
    <row r="634" customFormat="false" ht="15.75" hidden="false" customHeight="true" outlineLevel="0" collapsed="false">
      <c r="A634" s="7" t="s">
        <v>1312</v>
      </c>
      <c r="B634" s="8" t="s">
        <v>1295</v>
      </c>
      <c r="C634" s="8" t="n">
        <v>2008</v>
      </c>
      <c r="D634" s="9" t="s">
        <v>1313</v>
      </c>
      <c r="E634" s="7" t="s">
        <v>1305</v>
      </c>
      <c r="F634" s="10" t="n">
        <f aca="false">IF(ISBLANK($G634),,VLOOKUP($G634, Rarities!$A$1:$B869, 2, FALSE()))</f>
        <v>1</v>
      </c>
      <c r="G634" s="8" t="s">
        <v>17</v>
      </c>
      <c r="H634" s="8" t="str">
        <f aca="false">VLOOKUP(B634,Manufacturers!A$1:B869,2)</f>
        <v>JP</v>
      </c>
      <c r="I634" s="11" t="n">
        <v>43000</v>
      </c>
      <c r="J634" s="8"/>
      <c r="K634" s="8" t="n">
        <v>1</v>
      </c>
      <c r="L634" s="12" t="n">
        <v>9</v>
      </c>
      <c r="M634" s="11" t="e">
        <f aca="false">IF(AND(ISNUMBER(L634),L634&gt;0),(3*J634+K634)*#REF!/L634,"-")</f>
        <v>#REF!</v>
      </c>
      <c r="N634" s="11" t="e">
        <f aca="false">IF(AND(#REF!,ISNUMBER(L634),L634&gt;0),((3*J634+K634)*#REF!-I634)/L634,"-")</f>
        <v>#REF!</v>
      </c>
      <c r="O634" s="8"/>
      <c r="P634" s="8"/>
    </row>
    <row r="635" customFormat="false" ht="15.75" hidden="false" customHeight="true" outlineLevel="0" collapsed="false">
      <c r="A635" s="7" t="s">
        <v>1314</v>
      </c>
      <c r="B635" s="8" t="s">
        <v>1315</v>
      </c>
      <c r="C635" s="8" t="n">
        <v>2014</v>
      </c>
      <c r="D635" s="9" t="s">
        <v>1316</v>
      </c>
      <c r="E635" s="7" t="s">
        <v>16</v>
      </c>
      <c r="F635" s="10" t="n">
        <f aca="false">IF(ISBLANK($G635),,VLOOKUP($G635, Rarities!$A$1:$B869, 2, FALSE()))</f>
        <v>1</v>
      </c>
      <c r="G635" s="8" t="s">
        <v>17</v>
      </c>
      <c r="H635" s="8" t="str">
        <f aca="false">VLOOKUP(B635,Manufacturers!A$1:B869,2)</f>
        <v>GB</v>
      </c>
      <c r="I635" s="11" t="n">
        <v>50000</v>
      </c>
      <c r="J635" s="8"/>
      <c r="K635" s="8"/>
      <c r="L635" s="12" t="s">
        <v>244</v>
      </c>
      <c r="M635" s="11" t="str">
        <f aca="false">IF(AND(ISNUMBER(L635),L635&gt;0),(3*J635+K635)*#REF!/L635,"-")</f>
        <v>-</v>
      </c>
      <c r="N635" s="11" t="e">
        <f aca="false">IF(AND(#REF!,ISNUMBER(L635),L635&gt;0),((3*J635+K635)*#REF!-I635)/L635,"-")</f>
        <v>#REF!</v>
      </c>
      <c r="O635" s="8"/>
      <c r="P635" s="8"/>
    </row>
    <row r="636" customFormat="false" ht="15.75" hidden="false" customHeight="true" outlineLevel="0" collapsed="false">
      <c r="A636" s="7" t="s">
        <v>1317</v>
      </c>
      <c r="B636" s="8" t="s">
        <v>1315</v>
      </c>
      <c r="C636" s="8" t="n">
        <v>2019</v>
      </c>
      <c r="D636" s="9" t="s">
        <v>1318</v>
      </c>
      <c r="E636" s="7" t="s">
        <v>111</v>
      </c>
      <c r="F636" s="10" t="n">
        <f aca="false">IF(ISBLANK($G636),,VLOOKUP($G636, Rarities!$A$1:$B869, 2, FALSE()))</f>
        <v>2</v>
      </c>
      <c r="G636" s="8" t="s">
        <v>36</v>
      </c>
      <c r="H636" s="8" t="str">
        <f aca="false">VLOOKUP(B636,Manufacturers!A$1:B869,2)</f>
        <v>GB</v>
      </c>
      <c r="I636" s="11" t="n">
        <v>150000</v>
      </c>
      <c r="J636" s="8"/>
      <c r="K636" s="8"/>
      <c r="L636" s="12"/>
      <c r="M636" s="11"/>
      <c r="N636" s="11"/>
      <c r="O636" s="8"/>
      <c r="P636" s="8"/>
    </row>
    <row r="637" customFormat="false" ht="15.75" hidden="false" customHeight="true" outlineLevel="0" collapsed="false">
      <c r="A637" s="7" t="s">
        <v>1319</v>
      </c>
      <c r="B637" s="8" t="s">
        <v>1320</v>
      </c>
      <c r="C637" s="8" t="n">
        <v>1953</v>
      </c>
      <c r="D637" s="9" t="s">
        <v>1321</v>
      </c>
      <c r="E637" s="7" t="s">
        <v>111</v>
      </c>
      <c r="F637" s="10" t="n">
        <f aca="false">IF(ISBLANK($G637),,VLOOKUP($G637, Rarities!$A$1:$B869, 2, FALSE()))</f>
        <v>5</v>
      </c>
      <c r="G637" s="8" t="s">
        <v>239</v>
      </c>
      <c r="H637" s="8" t="str">
        <f aca="false">VLOOKUP(B637,Manufacturers!A$1:B869,2)</f>
        <v>GB</v>
      </c>
      <c r="I637" s="11" t="n">
        <v>500000</v>
      </c>
      <c r="J637" s="8"/>
      <c r="K637" s="8" t="n">
        <v>2</v>
      </c>
      <c r="L637" s="12" t="n">
        <v>11</v>
      </c>
      <c r="M637" s="11" t="e">
        <f aca="false">IF(AND(ISNUMBER(L637),L637&gt;0),(3*J637+K637)*#REF!/L637,"-")</f>
        <v>#REF!</v>
      </c>
      <c r="N637" s="11" t="e">
        <f aca="false">IF(AND(#REF!,ISNUMBER(L637),L637&gt;0),((3*J637+K637)*#REF!-I637)/L637,"-")</f>
        <v>#REF!</v>
      </c>
      <c r="O637" s="8"/>
      <c r="P637" s="8"/>
    </row>
    <row r="638" customFormat="false" ht="15.75" hidden="false" customHeight="true" outlineLevel="0" collapsed="false">
      <c r="A638" s="7" t="s">
        <v>1322</v>
      </c>
      <c r="B638" s="8" t="s">
        <v>1320</v>
      </c>
      <c r="C638" s="8" t="n">
        <v>1953</v>
      </c>
      <c r="D638" s="9" t="s">
        <v>1323</v>
      </c>
      <c r="E638" s="7" t="s">
        <v>16</v>
      </c>
      <c r="F638" s="10" t="n">
        <f aca="false">IF(ISBLANK($G638),,VLOOKUP($G638, Rarities!$A$1:$B869, 2, FALSE()))</f>
        <v>1</v>
      </c>
      <c r="G638" s="8" t="s">
        <v>17</v>
      </c>
      <c r="H638" s="8" t="str">
        <f aca="false">VLOOKUP(B638,Manufacturers!A$1:B869,2)</f>
        <v>GB</v>
      </c>
      <c r="I638" s="11" t="n">
        <v>20000</v>
      </c>
      <c r="J638" s="8"/>
      <c r="K638" s="8" t="n">
        <v>1</v>
      </c>
      <c r="L638" s="12" t="n">
        <v>9</v>
      </c>
      <c r="M638" s="11" t="e">
        <f aca="false">IF(AND(ISNUMBER(L638),L638&gt;0),(3*J638+K638)*#REF!/L638,"-")</f>
        <v>#REF!</v>
      </c>
      <c r="N638" s="11" t="e">
        <f aca="false">IF(AND(#REF!,ISNUMBER(L638),L638&gt;0),((3*J638+K638)*#REF!-I638)/L638,"-")</f>
        <v>#REF!</v>
      </c>
      <c r="O638" s="8"/>
      <c r="P638" s="8"/>
    </row>
    <row r="639" customFormat="false" ht="15.75" hidden="false" customHeight="true" outlineLevel="0" collapsed="false">
      <c r="A639" s="7" t="s">
        <v>1324</v>
      </c>
      <c r="B639" s="8" t="s">
        <v>1320</v>
      </c>
      <c r="C639" s="8" t="n">
        <v>1953</v>
      </c>
      <c r="D639" s="9" t="s">
        <v>1325</v>
      </c>
      <c r="E639" s="7" t="s">
        <v>350</v>
      </c>
      <c r="F639" s="10" t="n">
        <f aca="false">IF(ISBLANK($G639),,VLOOKUP($G639, Rarities!$A$1:$B869, 2, FALSE()))</f>
        <v>1</v>
      </c>
      <c r="G639" s="8" t="s">
        <v>17</v>
      </c>
      <c r="H639" s="8" t="str">
        <f aca="false">VLOOKUP(B639,Manufacturers!A$1:B869,2)</f>
        <v>GB</v>
      </c>
      <c r="I639" s="11" t="n">
        <v>250000</v>
      </c>
      <c r="J639" s="8"/>
      <c r="K639" s="8"/>
      <c r="L639" s="12"/>
      <c r="M639" s="11"/>
      <c r="N639" s="11"/>
      <c r="O639" s="8"/>
      <c r="P639" s="8"/>
    </row>
    <row r="640" customFormat="false" ht="15.75" hidden="false" customHeight="true" outlineLevel="0" collapsed="false">
      <c r="A640" s="7" t="s">
        <v>1326</v>
      </c>
      <c r="B640" s="8" t="s">
        <v>1320</v>
      </c>
      <c r="C640" s="8" t="n">
        <v>1965</v>
      </c>
      <c r="D640" s="9" t="s">
        <v>1327</v>
      </c>
      <c r="E640" s="7" t="s">
        <v>350</v>
      </c>
      <c r="F640" s="10" t="n">
        <f aca="false">IF(ISBLANK($G640),,VLOOKUP($G640, Rarities!$A$1:$B869, 2, FALSE()))</f>
        <v>1</v>
      </c>
      <c r="G640" s="8" t="s">
        <v>17</v>
      </c>
      <c r="H640" s="8" t="str">
        <f aca="false">VLOOKUP(B640,Manufacturers!A$1:B869,2)</f>
        <v>GB</v>
      </c>
      <c r="I640" s="11" t="n">
        <v>250000</v>
      </c>
      <c r="J640" s="8"/>
      <c r="K640" s="8"/>
      <c r="L640" s="12"/>
      <c r="M640" s="11"/>
      <c r="N640" s="11"/>
      <c r="O640" s="8"/>
      <c r="P640" s="8"/>
    </row>
    <row r="641" customFormat="false" ht="15.75" hidden="false" customHeight="true" outlineLevel="0" collapsed="false">
      <c r="A641" s="7" t="s">
        <v>1328</v>
      </c>
      <c r="B641" s="8" t="s">
        <v>1329</v>
      </c>
      <c r="C641" s="8" t="n">
        <v>2006</v>
      </c>
      <c r="D641" s="9" t="s">
        <v>1330</v>
      </c>
      <c r="E641" s="7" t="s">
        <v>86</v>
      </c>
      <c r="F641" s="10" t="n">
        <f aca="false">IF(ISBLANK($G641),,VLOOKUP($G641, Rarities!$A$1:$B869, 2, FALSE()))</f>
        <v>2</v>
      </c>
      <c r="G641" s="8" t="s">
        <v>36</v>
      </c>
      <c r="H641" s="8" t="str">
        <f aca="false">VLOOKUP(B641,Manufacturers!A$1:B869,2)</f>
        <v>US</v>
      </c>
      <c r="I641" s="11" t="n">
        <v>500000</v>
      </c>
      <c r="J641" s="8"/>
      <c r="K641" s="8"/>
      <c r="L641" s="12"/>
      <c r="M641" s="11"/>
      <c r="N641" s="11"/>
      <c r="O641" s="8"/>
      <c r="P641" s="8"/>
    </row>
    <row r="642" customFormat="false" ht="15.75" hidden="false" customHeight="true" outlineLevel="0" collapsed="false">
      <c r="A642" s="7" t="s">
        <v>1331</v>
      </c>
      <c r="B642" s="8" t="s">
        <v>1329</v>
      </c>
      <c r="C642" s="8" t="n">
        <v>2010</v>
      </c>
      <c r="D642" s="9" t="s">
        <v>1332</v>
      </c>
      <c r="E642" s="7" t="s">
        <v>86</v>
      </c>
      <c r="F642" s="10" t="n">
        <f aca="false">IF(ISBLANK($G642),,VLOOKUP($G642, Rarities!$A$1:$B869, 2, FALSE()))</f>
        <v>3</v>
      </c>
      <c r="G642" s="8" t="s">
        <v>53</v>
      </c>
      <c r="H642" s="8" t="str">
        <f aca="false">VLOOKUP(B642,Manufacturers!A$1:B869,2)</f>
        <v>US</v>
      </c>
      <c r="I642" s="11" t="n">
        <v>320000</v>
      </c>
      <c r="J642" s="8"/>
      <c r="K642" s="8" t="n">
        <v>3</v>
      </c>
      <c r="L642" s="12" t="n">
        <v>30</v>
      </c>
      <c r="M642" s="11" t="e">
        <f aca="false">IF(AND(ISNUMBER(L642),L642&gt;0),(3*J642+K642)*#REF!/L642,"-")</f>
        <v>#REF!</v>
      </c>
      <c r="N642" s="11" t="e">
        <f aca="false">IF(AND(#REF!,ISNUMBER(L642),L642&gt;0),((3*J642+K642)*#REF!-I642)/L642,"-")</f>
        <v>#REF!</v>
      </c>
      <c r="O642" s="8"/>
      <c r="P642" s="8"/>
    </row>
    <row r="643" customFormat="false" ht="15.75" hidden="false" customHeight="true" outlineLevel="0" collapsed="false">
      <c r="A643" s="7" t="s">
        <v>1333</v>
      </c>
      <c r="B643" s="8" t="s">
        <v>1334</v>
      </c>
      <c r="C643" s="8" t="n">
        <v>1933</v>
      </c>
      <c r="D643" s="9" t="s">
        <v>1335</v>
      </c>
      <c r="E643" s="7" t="s">
        <v>188</v>
      </c>
      <c r="F643" s="10" t="n">
        <f aca="false">IF(ISBLANK($G643),,VLOOKUP($G643, Rarities!$A$1:$B869, 2, FALSE()))</f>
        <v>4</v>
      </c>
      <c r="G643" s="8" t="s">
        <v>41</v>
      </c>
      <c r="H643" s="8" t="str">
        <f aca="false">VLOOKUP(B643,Manufacturers!A$1:B869,2)</f>
        <v>GB</v>
      </c>
      <c r="I643" s="11" t="n">
        <v>1500000</v>
      </c>
      <c r="J643" s="8" t="n">
        <v>2</v>
      </c>
      <c r="K643" s="8"/>
      <c r="L643" s="12" t="n">
        <v>25</v>
      </c>
      <c r="M643" s="11" t="e">
        <f aca="false">IF(AND(ISNUMBER(L643),L643&gt;0),(3*J643+K643)*#REF!/L643,"-")</f>
        <v>#REF!</v>
      </c>
      <c r="N643" s="11" t="e">
        <f aca="false">IF(AND(#REF!,ISNUMBER(L643),L643&gt;0),((3*J643+K643)*#REF!-I643)/L643,"-")</f>
        <v>#REF!</v>
      </c>
      <c r="O643" s="8"/>
      <c r="P643" s="8"/>
    </row>
    <row r="644" customFormat="false" ht="15.75" hidden="false" customHeight="true" outlineLevel="0" collapsed="false">
      <c r="A644" s="7" t="s">
        <v>1336</v>
      </c>
      <c r="B644" s="8" t="s">
        <v>1337</v>
      </c>
      <c r="C644" s="8" t="n">
        <v>2016</v>
      </c>
      <c r="D644" s="9" t="s">
        <v>1338</v>
      </c>
      <c r="E644" s="7" t="s">
        <v>118</v>
      </c>
      <c r="F644" s="10" t="n">
        <f aca="false">IF(ISBLANK($G644),,VLOOKUP($G644, Rarities!$A$1:$B869, 2, FALSE()))</f>
        <v>4</v>
      </c>
      <c r="G644" s="8" t="s">
        <v>41</v>
      </c>
      <c r="H644" s="8" t="str">
        <f aca="false">VLOOKUP(B644,Manufacturers!A$1:B869,2)</f>
        <v>CN</v>
      </c>
      <c r="I644" s="11" t="n">
        <v>1500000</v>
      </c>
      <c r="J644" s="8"/>
      <c r="K644" s="8"/>
      <c r="L644" s="12"/>
      <c r="M644" s="11" t="str">
        <f aca="false">IF(AND(ISNUMBER(L644),L644&gt;0),(3*J644+K644)*#REF!/L644,"-")</f>
        <v>-</v>
      </c>
      <c r="N644" s="11" t="e">
        <f aca="false">IF(AND(#REF!,ISNUMBER(L644),L644&gt;0),((3*J644+K644)*#REF!-I644)/L644,"-")</f>
        <v>#REF!</v>
      </c>
      <c r="O644" s="8"/>
      <c r="P644" s="8"/>
    </row>
    <row r="645" customFormat="false" ht="15.75" hidden="false" customHeight="true" outlineLevel="0" collapsed="false">
      <c r="A645" s="7" t="s">
        <v>1339</v>
      </c>
      <c r="B645" s="8" t="s">
        <v>1340</v>
      </c>
      <c r="C645" s="8" t="n">
        <v>1969</v>
      </c>
      <c r="D645" s="9" t="s">
        <v>1341</v>
      </c>
      <c r="E645" s="7" t="s">
        <v>184</v>
      </c>
      <c r="F645" s="10" t="n">
        <f aca="false">IF(ISBLANK($G645),,VLOOKUP($G645, Rarities!$A$1:$B869, 2, FALSE()))</f>
        <v>3</v>
      </c>
      <c r="G645" s="8" t="s">
        <v>53</v>
      </c>
      <c r="H645" s="8" t="str">
        <f aca="false">VLOOKUP(B645,Manufacturers!A$1:B869,2)</f>
        <v>JP</v>
      </c>
      <c r="I645" s="11" t="n">
        <v>150000</v>
      </c>
      <c r="J645" s="8"/>
      <c r="K645" s="8" t="n">
        <v>1</v>
      </c>
      <c r="L645" s="12" t="n">
        <v>9</v>
      </c>
      <c r="M645" s="11" t="e">
        <f aca="false">IF(AND(ISNUMBER(L645),L645&gt;0),(3*J645+K645)*#REF!/L645,"-")</f>
        <v>#REF!</v>
      </c>
      <c r="N645" s="11" t="e">
        <f aca="false">IF(AND(#REF!,ISNUMBER(L645),L645&gt;0),((3*J645+K645)*#REF!-I645)/L645,"-")</f>
        <v>#REF!</v>
      </c>
      <c r="O645" s="8"/>
      <c r="P645" s="8"/>
    </row>
    <row r="646" customFormat="false" ht="15.75" hidden="false" customHeight="true" outlineLevel="0" collapsed="false">
      <c r="A646" s="7" t="s">
        <v>1342</v>
      </c>
      <c r="B646" s="8" t="s">
        <v>1340</v>
      </c>
      <c r="C646" s="8" t="n">
        <v>1971</v>
      </c>
      <c r="D646" s="9" t="s">
        <v>1343</v>
      </c>
      <c r="E646" s="7" t="s">
        <v>184</v>
      </c>
      <c r="F646" s="10" t="n">
        <f aca="false">IF(ISBLANK($G646),,VLOOKUP($G646, Rarities!$A$1:$B869, 2, FALSE()))</f>
        <v>2</v>
      </c>
      <c r="G646" s="8" t="s">
        <v>36</v>
      </c>
      <c r="H646" s="8" t="str">
        <f aca="false">VLOOKUP(B646,Manufacturers!A$1:B869,2)</f>
        <v>JP</v>
      </c>
      <c r="I646" s="11" t="n">
        <v>60000</v>
      </c>
      <c r="J646" s="8"/>
      <c r="K646" s="8"/>
      <c r="L646" s="12" t="s">
        <v>244</v>
      </c>
      <c r="M646" s="11" t="str">
        <f aca="false">IF(AND(ISNUMBER(L646),L646&gt;0),(3*J646+K646)*#REF!/L646,"-")</f>
        <v>-</v>
      </c>
      <c r="N646" s="11" t="e">
        <f aca="false">IF(AND(#REF!,ISNUMBER(L646),L646&gt;0),((3*J646+K646)*#REF!-I646)/L646,"-")</f>
        <v>#REF!</v>
      </c>
      <c r="O646" s="8"/>
      <c r="P646" s="8"/>
    </row>
    <row r="647" customFormat="false" ht="15.75" hidden="false" customHeight="true" outlineLevel="0" collapsed="false">
      <c r="A647" s="7" t="s">
        <v>1344</v>
      </c>
      <c r="B647" s="8" t="s">
        <v>1340</v>
      </c>
      <c r="C647" s="8" t="n">
        <v>1973</v>
      </c>
      <c r="D647" s="9" t="s">
        <v>1345</v>
      </c>
      <c r="E647" s="7" t="s">
        <v>184</v>
      </c>
      <c r="F647" s="10" t="n">
        <f aca="false">IF(ISBLANK($G647),,VLOOKUP($G647, Rarities!$A$1:$B869, 2, FALSE()))</f>
        <v>3</v>
      </c>
      <c r="G647" s="8" t="s">
        <v>53</v>
      </c>
      <c r="H647" s="8" t="str">
        <f aca="false">VLOOKUP(B647,Manufacturers!A$1:B869,2)</f>
        <v>JP</v>
      </c>
      <c r="I647" s="11" t="n">
        <v>170000</v>
      </c>
      <c r="J647" s="8"/>
      <c r="K647" s="8"/>
      <c r="L647" s="12" t="s">
        <v>244</v>
      </c>
      <c r="M647" s="11" t="str">
        <f aca="false">IF(AND(ISNUMBER(L647),L647&gt;0),(3*J647+K647)*#REF!/L647,"-")</f>
        <v>-</v>
      </c>
      <c r="N647" s="11" t="e">
        <f aca="false">IF(AND(#REF!,ISNUMBER(L647),L647&gt;0),((3*J647+K647)*#REF!-I647)/L647,"-")</f>
        <v>#REF!</v>
      </c>
      <c r="O647" s="8"/>
      <c r="P647" s="8"/>
    </row>
    <row r="648" customFormat="false" ht="15.75" hidden="false" customHeight="true" outlineLevel="0" collapsed="false">
      <c r="A648" s="7" t="s">
        <v>1346</v>
      </c>
      <c r="B648" s="8" t="s">
        <v>1340</v>
      </c>
      <c r="C648" s="8" t="n">
        <v>1985</v>
      </c>
      <c r="D648" s="9" t="s">
        <v>1347</v>
      </c>
      <c r="E648" s="7" t="s">
        <v>353</v>
      </c>
      <c r="F648" s="10" t="n">
        <f aca="false">IF(ISBLANK($G648),,VLOOKUP($G648, Rarities!$A$1:$B869, 2, FALSE()))</f>
        <v>1</v>
      </c>
      <c r="G648" s="8" t="s">
        <v>17</v>
      </c>
      <c r="H648" s="8" t="str">
        <f aca="false">VLOOKUP(B648,Manufacturers!A$1:B869,2)</f>
        <v>JP</v>
      </c>
      <c r="I648" s="11" t="n">
        <v>250000</v>
      </c>
      <c r="J648" s="8"/>
      <c r="K648" s="8"/>
      <c r="L648" s="12"/>
      <c r="M648" s="11"/>
      <c r="N648" s="11"/>
      <c r="O648" s="8"/>
      <c r="P648" s="8"/>
    </row>
    <row r="649" customFormat="false" ht="15.75" hidden="false" customHeight="true" outlineLevel="0" collapsed="false">
      <c r="A649" s="7" t="s">
        <v>1348</v>
      </c>
      <c r="B649" s="8" t="s">
        <v>1340</v>
      </c>
      <c r="C649" s="8" t="n">
        <v>1987</v>
      </c>
      <c r="D649" s="9" t="s">
        <v>1349</v>
      </c>
      <c r="E649" s="7" t="s">
        <v>222</v>
      </c>
      <c r="F649" s="10" t="n">
        <f aca="false">IF(ISBLANK($G649),,VLOOKUP($G649, Rarities!$A$1:$B869, 2, FALSE()))</f>
        <v>1</v>
      </c>
      <c r="G649" s="8" t="s">
        <v>17</v>
      </c>
      <c r="H649" s="8" t="str">
        <f aca="false">VLOOKUP(B649,Manufacturers!A$1:B869,2)</f>
        <v>JP</v>
      </c>
      <c r="I649" s="11" t="n">
        <v>100000</v>
      </c>
      <c r="J649" s="8"/>
      <c r="K649" s="8" t="n">
        <v>1</v>
      </c>
      <c r="L649" s="12" t="n">
        <v>9</v>
      </c>
      <c r="M649" s="11" t="e">
        <f aca="false">IF(AND(ISNUMBER(L649),L649&gt;0),(3*J649+K649)*#REF!/L649,"-")</f>
        <v>#REF!</v>
      </c>
      <c r="N649" s="11" t="e">
        <f aca="false">IF(AND(#REF!,ISNUMBER(L649),L649&gt;0),((3*J649+K649)*#REF!-I649)/L649,"-")</f>
        <v>#REF!</v>
      </c>
      <c r="O649" s="8"/>
      <c r="P649" s="8"/>
    </row>
    <row r="650" customFormat="false" ht="15.75" hidden="false" customHeight="true" outlineLevel="0" collapsed="false">
      <c r="A650" s="7" t="s">
        <v>1350</v>
      </c>
      <c r="B650" s="8" t="s">
        <v>1340</v>
      </c>
      <c r="C650" s="8" t="n">
        <v>1990</v>
      </c>
      <c r="D650" s="9" t="s">
        <v>1351</v>
      </c>
      <c r="E650" s="7" t="s">
        <v>136</v>
      </c>
      <c r="F650" s="10" t="n">
        <f aca="false">IF(ISBLANK($G650),,VLOOKUP($G650, Rarities!$A$1:$B869, 2, FALSE()))</f>
        <v>2</v>
      </c>
      <c r="G650" s="8" t="s">
        <v>36</v>
      </c>
      <c r="H650" s="8" t="str">
        <f aca="false">VLOOKUP(B650,Manufacturers!A$1:B869,2)</f>
        <v>JP</v>
      </c>
      <c r="I650" s="11" t="n">
        <v>20000</v>
      </c>
      <c r="J650" s="8"/>
      <c r="K650" s="8" t="n">
        <v>1</v>
      </c>
      <c r="L650" s="12" t="n">
        <v>9</v>
      </c>
      <c r="M650" s="11" t="e">
        <f aca="false">IF(AND(ISNUMBER(L650),L650&gt;0),(3*J650+K650)*#REF!/L650,"-")</f>
        <v>#REF!</v>
      </c>
      <c r="N650" s="11" t="e">
        <f aca="false">IF(AND(#REF!,ISNUMBER(L650),L650&gt;0),((3*J650+K650)*#REF!-I650)/L650,"-")</f>
        <v>#REF!</v>
      </c>
      <c r="O650" s="8"/>
      <c r="P650" s="8"/>
    </row>
    <row r="651" customFormat="false" ht="15.75" hidden="false" customHeight="true" outlineLevel="0" collapsed="false">
      <c r="A651" s="7" t="s">
        <v>1352</v>
      </c>
      <c r="B651" s="8" t="s">
        <v>1340</v>
      </c>
      <c r="C651" s="8" t="n">
        <v>1992</v>
      </c>
      <c r="D651" s="9" t="s">
        <v>1353</v>
      </c>
      <c r="E651" s="7" t="s">
        <v>222</v>
      </c>
      <c r="F651" s="10" t="n">
        <f aca="false">IF(ISBLANK($G651),,VLOOKUP($G651, Rarities!$A$1:$B869, 2, FALSE()))</f>
        <v>1</v>
      </c>
      <c r="G651" s="8" t="s">
        <v>17</v>
      </c>
      <c r="H651" s="8" t="str">
        <f aca="false">VLOOKUP(B651,Manufacturers!A$1:B869,2)</f>
        <v>JP</v>
      </c>
      <c r="I651" s="11" t="n">
        <v>25000</v>
      </c>
      <c r="J651" s="8"/>
      <c r="K651" s="8" t="n">
        <v>1</v>
      </c>
      <c r="L651" s="12" t="n">
        <v>9</v>
      </c>
      <c r="M651" s="11" t="e">
        <f aca="false">IF(AND(ISNUMBER(L651),L651&gt;0),(3*J651+K651)*#REF!/L651,"-")</f>
        <v>#REF!</v>
      </c>
      <c r="N651" s="11" t="e">
        <f aca="false">IF(AND(#REF!,ISNUMBER(L651),L651&gt;0),((3*J651+K651)*#REF!-I651)/L651,"-")</f>
        <v>#REF!</v>
      </c>
      <c r="O651" s="8"/>
      <c r="P651" s="8"/>
    </row>
    <row r="652" customFormat="false" ht="15.75" hidden="false" customHeight="true" outlineLevel="0" collapsed="false">
      <c r="A652" s="7" t="s">
        <v>1354</v>
      </c>
      <c r="B652" s="8" t="s">
        <v>1340</v>
      </c>
      <c r="C652" s="8" t="n">
        <v>1993</v>
      </c>
      <c r="D652" s="9" t="s">
        <v>1355</v>
      </c>
      <c r="E652" s="7" t="s">
        <v>222</v>
      </c>
      <c r="F652" s="10" t="n">
        <f aca="false">IF(ISBLANK($G652),,VLOOKUP($G652, Rarities!$A$1:$B869, 2, FALSE()))</f>
        <v>2</v>
      </c>
      <c r="G652" s="8" t="s">
        <v>36</v>
      </c>
      <c r="H652" s="8" t="str">
        <f aca="false">VLOOKUP(B652,Manufacturers!A$1:B869,2)</f>
        <v>JP</v>
      </c>
      <c r="I652" s="11" t="n">
        <v>85000</v>
      </c>
      <c r="J652" s="8"/>
      <c r="K652" s="8" t="n">
        <v>3</v>
      </c>
      <c r="L652" s="12" t="n">
        <v>26</v>
      </c>
      <c r="M652" s="11" t="e">
        <f aca="false">IF(AND(ISNUMBER(L652),L652&gt;0),(3*J652+K652)*#REF!/L652,"-")</f>
        <v>#REF!</v>
      </c>
      <c r="N652" s="11" t="e">
        <f aca="false">IF(AND(#REF!,ISNUMBER(L652),L652&gt;0),((3*J652+K652)*#REF!-I652)/L652,"-")</f>
        <v>#REF!</v>
      </c>
      <c r="O652" s="8"/>
      <c r="P652" s="8"/>
    </row>
    <row r="653" customFormat="false" ht="15.75" hidden="false" customHeight="true" outlineLevel="0" collapsed="false">
      <c r="A653" s="7" t="s">
        <v>1356</v>
      </c>
      <c r="B653" s="8" t="s">
        <v>1340</v>
      </c>
      <c r="C653" s="8" t="n">
        <v>1993</v>
      </c>
      <c r="D653" s="9" t="s">
        <v>1357</v>
      </c>
      <c r="E653" s="7" t="s">
        <v>222</v>
      </c>
      <c r="F653" s="10" t="n">
        <f aca="false">IF(ISBLANK($G653),,VLOOKUP($G653, Rarities!$A$1:$B869, 2, FALSE()))</f>
        <v>1</v>
      </c>
      <c r="G653" s="8" t="s">
        <v>17</v>
      </c>
      <c r="H653" s="8" t="str">
        <f aca="false">VLOOKUP(B653,Manufacturers!A$1:B869,2)</f>
        <v>JP</v>
      </c>
      <c r="I653" s="11" t="n">
        <v>25000</v>
      </c>
      <c r="J653" s="8"/>
      <c r="K653" s="8" t="n">
        <v>1</v>
      </c>
      <c r="L653" s="12" t="n">
        <v>9</v>
      </c>
      <c r="M653" s="11" t="e">
        <f aca="false">IF(AND(ISNUMBER(L653),L653&gt;0),(3*J653+K653)*#REF!/L653,"-")</f>
        <v>#REF!</v>
      </c>
      <c r="N653" s="11" t="e">
        <f aca="false">IF(AND(#REF!,ISNUMBER(L653),L653&gt;0),((3*J653+K653)*#REF!-I653)/L653,"-")</f>
        <v>#REF!</v>
      </c>
      <c r="O653" s="8"/>
      <c r="P653" s="8"/>
    </row>
    <row r="654" customFormat="false" ht="15.75" hidden="false" customHeight="true" outlineLevel="0" collapsed="false">
      <c r="A654" s="7" t="s">
        <v>1358</v>
      </c>
      <c r="B654" s="8" t="s">
        <v>1340</v>
      </c>
      <c r="C654" s="8" t="n">
        <v>1994</v>
      </c>
      <c r="D654" s="9" t="s">
        <v>1359</v>
      </c>
      <c r="E654" s="7" t="s">
        <v>222</v>
      </c>
      <c r="F654" s="10" t="n">
        <f aca="false">IF(ISBLANK($G654),,VLOOKUP($G654, Rarities!$A$1:$B869, 2, FALSE()))</f>
        <v>1</v>
      </c>
      <c r="G654" s="8" t="s">
        <v>17</v>
      </c>
      <c r="H654" s="8" t="str">
        <f aca="false">VLOOKUP(B654,Manufacturers!A$1:B869,2)</f>
        <v>JP</v>
      </c>
      <c r="I654" s="11" t="n">
        <v>20000</v>
      </c>
      <c r="J654" s="8"/>
      <c r="K654" s="8" t="n">
        <v>1</v>
      </c>
      <c r="L654" s="12" t="n">
        <v>9</v>
      </c>
      <c r="M654" s="11" t="e">
        <f aca="false">IF(AND(ISNUMBER(L654),L654&gt;0),(3*J654+K654)*#REF!/L654,"-")</f>
        <v>#REF!</v>
      </c>
      <c r="N654" s="11" t="e">
        <f aca="false">IF(AND(#REF!,ISNUMBER(L654),L654&gt;0),((3*J654+K654)*#REF!-I654)/L654,"-")</f>
        <v>#REF!</v>
      </c>
      <c r="O654" s="8"/>
      <c r="P654" s="8"/>
    </row>
    <row r="655" customFormat="false" ht="15.75" hidden="false" customHeight="true" outlineLevel="0" collapsed="false">
      <c r="A655" s="7" t="s">
        <v>1360</v>
      </c>
      <c r="B655" s="8" t="s">
        <v>1340</v>
      </c>
      <c r="C655" s="8" t="n">
        <v>1994</v>
      </c>
      <c r="D655" s="9" t="s">
        <v>1361</v>
      </c>
      <c r="E655" s="7" t="s">
        <v>222</v>
      </c>
      <c r="F655" s="10" t="n">
        <f aca="false">IF(ISBLANK($G655),,VLOOKUP($G655, Rarities!$A$1:$B869, 2, FALSE()))</f>
        <v>1</v>
      </c>
      <c r="G655" s="8" t="s">
        <v>17</v>
      </c>
      <c r="H655" s="8" t="str">
        <f aca="false">VLOOKUP(B655,Manufacturers!A$1:B869,2)</f>
        <v>JP</v>
      </c>
      <c r="I655" s="11" t="n">
        <v>25000</v>
      </c>
      <c r="J655" s="8"/>
      <c r="K655" s="8" t="n">
        <v>1</v>
      </c>
      <c r="L655" s="12" t="n">
        <v>9</v>
      </c>
      <c r="M655" s="11" t="e">
        <f aca="false">IF(AND(ISNUMBER(L655),L655&gt;0),(3*J655+K655)*#REF!/L655,"-")</f>
        <v>#REF!</v>
      </c>
      <c r="N655" s="11" t="e">
        <f aca="false">IF(AND(#REF!,ISNUMBER(L655),L655&gt;0),((3*J655+K655)*#REF!-I655)/L655,"-")</f>
        <v>#REF!</v>
      </c>
      <c r="O655" s="8"/>
      <c r="P655" s="8"/>
    </row>
    <row r="656" customFormat="false" ht="15.75" hidden="false" customHeight="true" outlineLevel="0" collapsed="false">
      <c r="A656" s="7" t="s">
        <v>1362</v>
      </c>
      <c r="B656" s="8" t="s">
        <v>1340</v>
      </c>
      <c r="C656" s="8" t="n">
        <v>1995</v>
      </c>
      <c r="D656" s="8" t="s">
        <v>1363</v>
      </c>
      <c r="E656" s="7" t="s">
        <v>222</v>
      </c>
      <c r="F656" s="10" t="n">
        <f aca="false">IF(ISBLANK($G656),,VLOOKUP($G656, Rarities!$A$1:$B869, 2, FALSE()))</f>
        <v>4</v>
      </c>
      <c r="G656" s="8" t="s">
        <v>41</v>
      </c>
      <c r="H656" s="8" t="str">
        <f aca="false">VLOOKUP(B656,Manufacturers!A$1:B869,2)</f>
        <v>JP</v>
      </c>
      <c r="I656" s="11" t="n">
        <v>1100000</v>
      </c>
      <c r="J656" s="8"/>
      <c r="K656" s="8" t="n">
        <v>1</v>
      </c>
      <c r="L656" s="12" t="n">
        <v>9</v>
      </c>
      <c r="M656" s="11" t="e">
        <f aca="false">IF(AND(ISNUMBER(L656),L656&gt;0),(3*J656+K656)*#REF!/L656,"-")</f>
        <v>#REF!</v>
      </c>
      <c r="N656" s="11" t="e">
        <f aca="false">IF(AND(#REF!,ISNUMBER(L656),L656&gt;0),((3*J656+K656)*#REF!-I656)/L656,"-")</f>
        <v>#REF!</v>
      </c>
      <c r="O656" s="8"/>
      <c r="P656" s="8"/>
    </row>
    <row r="657" customFormat="false" ht="15.75" hidden="false" customHeight="true" outlineLevel="0" collapsed="false">
      <c r="A657" s="7" t="s">
        <v>1364</v>
      </c>
      <c r="B657" s="8" t="s">
        <v>1340</v>
      </c>
      <c r="C657" s="8" t="n">
        <v>1997</v>
      </c>
      <c r="D657" s="9" t="s">
        <v>1355</v>
      </c>
      <c r="E657" s="7" t="s">
        <v>222</v>
      </c>
      <c r="F657" s="10" t="n">
        <f aca="false">IF(ISBLANK($G657),,VLOOKUP($G657, Rarities!$A$1:$B869, 2, FALSE()))</f>
        <v>2</v>
      </c>
      <c r="G657" s="8" t="s">
        <v>36</v>
      </c>
      <c r="H657" s="8" t="str">
        <f aca="false">VLOOKUP(B657,Manufacturers!A$1:B869,2)</f>
        <v>JP</v>
      </c>
      <c r="I657" s="11" t="n">
        <v>37000</v>
      </c>
      <c r="J657" s="8"/>
      <c r="K657" s="8" t="n">
        <v>1</v>
      </c>
      <c r="L657" s="12" t="n">
        <v>9</v>
      </c>
      <c r="M657" s="11" t="e">
        <f aca="false">IF(AND(ISNUMBER(L657),L657&gt;0),(3*J657+K657)*#REF!/L657,"-")</f>
        <v>#REF!</v>
      </c>
      <c r="N657" s="11" t="e">
        <f aca="false">IF(AND(#REF!,ISNUMBER(L657),L657&gt;0),((3*J657+K657)*#REF!-I657)/L657,"-")</f>
        <v>#REF!</v>
      </c>
      <c r="O657" s="8"/>
      <c r="P657" s="8"/>
    </row>
    <row r="658" customFormat="false" ht="15.75" hidden="false" customHeight="true" outlineLevel="0" collapsed="false">
      <c r="A658" s="7" t="s">
        <v>1365</v>
      </c>
      <c r="B658" s="8" t="s">
        <v>1340</v>
      </c>
      <c r="C658" s="8" t="n">
        <v>1998</v>
      </c>
      <c r="D658" s="9" t="s">
        <v>1366</v>
      </c>
      <c r="E658" s="7" t="s">
        <v>215</v>
      </c>
      <c r="F658" s="10" t="n">
        <f aca="false">IF(ISBLANK($G658),,VLOOKUP($G658, Rarities!$A$1:$B869, 2, FALSE()))</f>
        <v>4</v>
      </c>
      <c r="G658" s="8" t="s">
        <v>41</v>
      </c>
      <c r="H658" s="8" t="str">
        <f aca="false">VLOOKUP(B658,Manufacturers!A$1:B869,2)</f>
        <v>JP</v>
      </c>
      <c r="I658" s="11" t="n">
        <v>1250000</v>
      </c>
      <c r="J658" s="8"/>
      <c r="K658" s="8" t="n">
        <v>1</v>
      </c>
      <c r="L658" s="12" t="n">
        <v>9</v>
      </c>
      <c r="M658" s="11" t="e">
        <f aca="false">IF(AND(ISNUMBER(L658),L658&gt;0),(3*J658+K658)*#REF!/L658,"-")</f>
        <v>#REF!</v>
      </c>
      <c r="N658" s="11" t="e">
        <f aca="false">IF(AND(#REF!,ISNUMBER(L658),L658&gt;0),((3*J658+K658)*#REF!-I658)/L658,"-")</f>
        <v>#REF!</v>
      </c>
      <c r="O658" s="8"/>
      <c r="P658" s="8"/>
    </row>
    <row r="659" customFormat="false" ht="15.75" hidden="false" customHeight="true" outlineLevel="0" collapsed="false">
      <c r="A659" s="7" t="s">
        <v>1367</v>
      </c>
      <c r="B659" s="8" t="s">
        <v>1340</v>
      </c>
      <c r="C659" s="8" t="n">
        <v>1998</v>
      </c>
      <c r="D659" s="9" t="s">
        <v>1368</v>
      </c>
      <c r="E659" s="7" t="s">
        <v>222</v>
      </c>
      <c r="F659" s="10" t="n">
        <f aca="false">IF(ISBLANK($G659),,VLOOKUP($G659, Rarities!$A$1:$B869, 2, FALSE()))</f>
        <v>1</v>
      </c>
      <c r="G659" s="8" t="s">
        <v>17</v>
      </c>
      <c r="H659" s="8" t="str">
        <f aca="false">VLOOKUP(B659,Manufacturers!A$1:B869,2)</f>
        <v>JP</v>
      </c>
      <c r="I659" s="11" t="n">
        <v>25000</v>
      </c>
      <c r="J659" s="8"/>
      <c r="K659" s="8" t="n">
        <v>1</v>
      </c>
      <c r="L659" s="12" t="n">
        <v>9</v>
      </c>
      <c r="M659" s="11" t="e">
        <f aca="false">IF(AND(ISNUMBER(L659),L659&gt;0),(3*J659+K659)*#REF!/L659,"-")</f>
        <v>#REF!</v>
      </c>
      <c r="N659" s="11" t="e">
        <f aca="false">IF(AND(#REF!,ISNUMBER(L659),L659&gt;0),((3*J659+K659)*#REF!-I659)/L659,"-")</f>
        <v>#REF!</v>
      </c>
      <c r="O659" s="8"/>
      <c r="P659" s="8"/>
    </row>
    <row r="660" customFormat="false" ht="15.75" hidden="false" customHeight="true" outlineLevel="0" collapsed="false">
      <c r="A660" s="7" t="s">
        <v>1369</v>
      </c>
      <c r="B660" s="8" t="s">
        <v>1340</v>
      </c>
      <c r="C660" s="8" t="n">
        <v>2000</v>
      </c>
      <c r="D660" s="9" t="s">
        <v>1370</v>
      </c>
      <c r="E660" s="7" t="s">
        <v>222</v>
      </c>
      <c r="F660" s="10" t="n">
        <f aca="false">IF(ISBLANK($G660),,VLOOKUP($G660, Rarities!$A$1:$B869, 2, FALSE()))</f>
        <v>1</v>
      </c>
      <c r="G660" s="8" t="s">
        <v>17</v>
      </c>
      <c r="H660" s="8" t="str">
        <f aca="false">VLOOKUP(B660,Manufacturers!A$1:B869,2)</f>
        <v>JP</v>
      </c>
      <c r="I660" s="11" t="n">
        <v>35000</v>
      </c>
      <c r="J660" s="8"/>
      <c r="K660" s="8" t="n">
        <v>1</v>
      </c>
      <c r="L660" s="12" t="n">
        <v>9</v>
      </c>
      <c r="M660" s="11" t="e">
        <f aca="false">IF(AND(ISNUMBER(L660),L660&gt;0),(3*J660+K660)*#REF!/L660,"-")</f>
        <v>#REF!</v>
      </c>
      <c r="N660" s="11" t="e">
        <f aca="false">IF(AND(#REF!,ISNUMBER(L660),L660&gt;0),((3*J660+K660)*#REF!-I660)/L660,"-")</f>
        <v>#REF!</v>
      </c>
      <c r="O660" s="8"/>
      <c r="P660" s="8"/>
    </row>
    <row r="661" customFormat="false" ht="15.75" hidden="false" customHeight="true" outlineLevel="0" collapsed="false">
      <c r="A661" s="7" t="s">
        <v>1371</v>
      </c>
      <c r="B661" s="8" t="s">
        <v>1340</v>
      </c>
      <c r="C661" s="8" t="n">
        <v>2002</v>
      </c>
      <c r="D661" s="9" t="s">
        <v>1372</v>
      </c>
      <c r="E661" s="7" t="s">
        <v>222</v>
      </c>
      <c r="F661" s="10" t="n">
        <f aca="false">IF(ISBLANK($G661),,VLOOKUP($G661, Rarities!$A$1:$B869, 2, FALSE()))</f>
        <v>2</v>
      </c>
      <c r="G661" s="8" t="s">
        <v>36</v>
      </c>
      <c r="H661" s="8" t="str">
        <f aca="false">VLOOKUP(B661,Manufacturers!A$1:B869,2)</f>
        <v>JP</v>
      </c>
      <c r="I661" s="11" t="n">
        <v>63000</v>
      </c>
      <c r="J661" s="8"/>
      <c r="K661" s="8" t="n">
        <v>1</v>
      </c>
      <c r="L661" s="12" t="n">
        <v>9</v>
      </c>
      <c r="M661" s="11" t="e">
        <f aca="false">IF(AND(ISNUMBER(L661),L661&gt;0),(3*J661+K661)*#REF!/L661,"-")</f>
        <v>#REF!</v>
      </c>
      <c r="N661" s="11" t="e">
        <f aca="false">IF(AND(#REF!,ISNUMBER(L661),L661&gt;0),((3*J661+K661)*#REF!-I661)/L661,"-")</f>
        <v>#REF!</v>
      </c>
      <c r="O661" s="8"/>
      <c r="P661" s="8"/>
    </row>
    <row r="662" customFormat="false" ht="15.75" hidden="false" customHeight="true" outlineLevel="0" collapsed="false">
      <c r="A662" s="7" t="s">
        <v>1373</v>
      </c>
      <c r="B662" s="8" t="s">
        <v>1340</v>
      </c>
      <c r="C662" s="8" t="n">
        <v>2003</v>
      </c>
      <c r="D662" s="9" t="s">
        <v>1374</v>
      </c>
      <c r="E662" s="7" t="s">
        <v>72</v>
      </c>
      <c r="F662" s="10" t="n">
        <f aca="false">IF(ISBLANK($G662),,VLOOKUP($G662, Rarities!$A$1:$B869, 2, FALSE()))</f>
        <v>5</v>
      </c>
      <c r="G662" s="8" t="s">
        <v>239</v>
      </c>
      <c r="H662" s="8" t="str">
        <f aca="false">VLOOKUP(B662,Manufacturers!A$1:B869,2)</f>
        <v>JP</v>
      </c>
      <c r="I662" s="11" t="n">
        <v>500000</v>
      </c>
      <c r="J662" s="8"/>
      <c r="K662" s="8" t="n">
        <v>1</v>
      </c>
      <c r="L662" s="12" t="n">
        <v>6</v>
      </c>
      <c r="M662" s="11" t="e">
        <f aca="false">IF(AND(ISNUMBER(L662),L662&gt;0),(3*J662+K662)*#REF!/L662,"-")</f>
        <v>#REF!</v>
      </c>
      <c r="N662" s="11" t="e">
        <f aca="false">IF(AND(#REF!,ISNUMBER(L662),L662&gt;0),((3*J662+K662)*#REF!-I662)/L662,"-")</f>
        <v>#REF!</v>
      </c>
      <c r="O662" s="8"/>
      <c r="P662" s="8"/>
    </row>
    <row r="663" customFormat="false" ht="15.75" hidden="false" customHeight="true" outlineLevel="0" collapsed="false">
      <c r="A663" s="7" t="s">
        <v>1375</v>
      </c>
      <c r="B663" s="8" t="s">
        <v>1340</v>
      </c>
      <c r="C663" s="8" t="n">
        <v>2003</v>
      </c>
      <c r="D663" s="9" t="s">
        <v>1376</v>
      </c>
      <c r="E663" s="7" t="s">
        <v>111</v>
      </c>
      <c r="F663" s="10" t="n">
        <f aca="false">IF(ISBLANK($G663),,VLOOKUP($G663, Rarities!$A$1:$B869, 2, FALSE()))</f>
        <v>4</v>
      </c>
      <c r="G663" s="8" t="s">
        <v>41</v>
      </c>
      <c r="H663" s="8" t="str">
        <f aca="false">VLOOKUP(B663,Manufacturers!A$1:B869,2)</f>
        <v>JP</v>
      </c>
      <c r="I663" s="11" t="n">
        <v>250000</v>
      </c>
      <c r="J663" s="8"/>
      <c r="K663" s="8"/>
      <c r="L663" s="12"/>
      <c r="M663" s="11"/>
      <c r="N663" s="11"/>
      <c r="O663" s="8"/>
      <c r="P663" s="8"/>
    </row>
    <row r="664" customFormat="false" ht="15.75" hidden="false" customHeight="true" outlineLevel="0" collapsed="false">
      <c r="A664" s="7" t="s">
        <v>1377</v>
      </c>
      <c r="B664" s="8" t="s">
        <v>1340</v>
      </c>
      <c r="C664" s="8" t="n">
        <v>2003</v>
      </c>
      <c r="D664" s="9" t="s">
        <v>1378</v>
      </c>
      <c r="E664" s="7" t="s">
        <v>222</v>
      </c>
      <c r="F664" s="10" t="n">
        <f aca="false">IF(ISBLANK($G664),,VLOOKUP($G664, Rarities!$A$1:$B869, 2, FALSE()))</f>
        <v>1</v>
      </c>
      <c r="G664" s="8" t="s">
        <v>17</v>
      </c>
      <c r="H664" s="8" t="str">
        <f aca="false">VLOOKUP(B664,Manufacturers!A$1:B869,2)</f>
        <v>JP</v>
      </c>
      <c r="I664" s="11" t="n">
        <v>35000</v>
      </c>
      <c r="J664" s="8"/>
      <c r="K664" s="8" t="n">
        <v>1</v>
      </c>
      <c r="L664" s="12" t="n">
        <v>9</v>
      </c>
      <c r="M664" s="11" t="e">
        <f aca="false">IF(AND(ISNUMBER(L664),L664&gt;0),(3*J664+K664)*#REF!/L664,"-")</f>
        <v>#REF!</v>
      </c>
      <c r="N664" s="11" t="e">
        <f aca="false">IF(AND(#REF!,ISNUMBER(L664),L664&gt;0),((3*J664+K664)*#REF!-I664)/L664,"-")</f>
        <v>#REF!</v>
      </c>
      <c r="O664" s="8"/>
      <c r="P664" s="8"/>
    </row>
    <row r="665" customFormat="false" ht="15.75" hidden="false" customHeight="true" outlineLevel="0" collapsed="false">
      <c r="A665" s="7" t="s">
        <v>1379</v>
      </c>
      <c r="B665" s="8" t="s">
        <v>1340</v>
      </c>
      <c r="C665" s="8" t="n">
        <v>2004</v>
      </c>
      <c r="D665" s="9" t="s">
        <v>1380</v>
      </c>
      <c r="E665" s="7" t="s">
        <v>111</v>
      </c>
      <c r="F665" s="10" t="n">
        <f aca="false">IF(ISBLANK($G665),,VLOOKUP($G665, Rarities!$A$1:$B869, 2, FALSE()))</f>
        <v>4</v>
      </c>
      <c r="G665" s="8" t="s">
        <v>41</v>
      </c>
      <c r="H665" s="8" t="str">
        <f aca="false">VLOOKUP(B665,Manufacturers!A$1:B869,2)</f>
        <v>JP</v>
      </c>
      <c r="I665" s="11" t="n">
        <v>250000</v>
      </c>
      <c r="J665" s="8"/>
      <c r="K665" s="8"/>
      <c r="L665" s="12"/>
      <c r="M665" s="11"/>
      <c r="N665" s="11"/>
      <c r="O665" s="8"/>
      <c r="P665" s="8"/>
    </row>
    <row r="666" customFormat="false" ht="15.75" hidden="false" customHeight="true" outlineLevel="0" collapsed="false">
      <c r="A666" s="7" t="s">
        <v>1381</v>
      </c>
      <c r="B666" s="8" t="s">
        <v>1340</v>
      </c>
      <c r="C666" s="8" t="n">
        <v>2004</v>
      </c>
      <c r="D666" s="9" t="s">
        <v>1382</v>
      </c>
      <c r="E666" s="7" t="s">
        <v>72</v>
      </c>
      <c r="F666" s="10" t="n">
        <f aca="false">IF(ISBLANK($G666),,VLOOKUP($G666, Rarities!$A$1:$B869, 2, FALSE()))</f>
        <v>3</v>
      </c>
      <c r="G666" s="8" t="s">
        <v>53</v>
      </c>
      <c r="H666" s="8" t="str">
        <f aca="false">VLOOKUP(B666,Manufacturers!A$1:B869,2)</f>
        <v>JP</v>
      </c>
      <c r="I666" s="11" t="n">
        <v>500000</v>
      </c>
      <c r="J666" s="8"/>
      <c r="K666" s="8" t="n">
        <v>1</v>
      </c>
      <c r="L666" s="12" t="n">
        <v>9</v>
      </c>
      <c r="M666" s="11" t="e">
        <f aca="false">IF(AND(ISNUMBER(L666),L666&gt;0),(3*J666+K666)*#REF!/L666,"-")</f>
        <v>#REF!</v>
      </c>
      <c r="N666" s="11" t="e">
        <f aca="false">IF(AND(#REF!,ISNUMBER(L666),L666&gt;0),((3*J666+K666)*#REF!-I666)/L666,"-")</f>
        <v>#REF!</v>
      </c>
      <c r="O666" s="8"/>
      <c r="P666" s="8"/>
    </row>
    <row r="667" customFormat="false" ht="15.75" hidden="false" customHeight="true" outlineLevel="0" collapsed="false">
      <c r="A667" s="7" t="s">
        <v>1383</v>
      </c>
      <c r="B667" s="8" t="s">
        <v>1340</v>
      </c>
      <c r="C667" s="8" t="n">
        <v>2010</v>
      </c>
      <c r="D667" s="9" t="s">
        <v>1384</v>
      </c>
      <c r="E667" s="7" t="s">
        <v>49</v>
      </c>
      <c r="F667" s="10" t="n">
        <f aca="false">IF(ISBLANK($G667),,VLOOKUP($G667, Rarities!$A$1:$B869, 2, FALSE()))</f>
        <v>4</v>
      </c>
      <c r="G667" s="8" t="s">
        <v>41</v>
      </c>
      <c r="H667" s="8" t="str">
        <f aca="false">VLOOKUP(B667,Manufacturers!A$1:B869,2)</f>
        <v>JP</v>
      </c>
      <c r="I667" s="11" t="n">
        <v>250000</v>
      </c>
      <c r="J667" s="8"/>
      <c r="K667" s="8"/>
      <c r="L667" s="12"/>
      <c r="M667" s="11"/>
      <c r="N667" s="11"/>
      <c r="O667" s="8"/>
      <c r="P667" s="8"/>
    </row>
    <row r="668" customFormat="false" ht="15.75" hidden="false" customHeight="true" outlineLevel="0" collapsed="false">
      <c r="A668" s="7" t="s">
        <v>1385</v>
      </c>
      <c r="B668" s="8" t="s">
        <v>1340</v>
      </c>
      <c r="C668" s="8" t="n">
        <v>2010</v>
      </c>
      <c r="D668" s="9" t="s">
        <v>1386</v>
      </c>
      <c r="E668" s="7" t="s">
        <v>26</v>
      </c>
      <c r="F668" s="10" t="n">
        <f aca="false">IF(ISBLANK($G668),,VLOOKUP($G668, Rarities!$A$1:$B869, 2, FALSE()))</f>
        <v>1</v>
      </c>
      <c r="G668" s="8" t="s">
        <v>17</v>
      </c>
      <c r="H668" s="8" t="str">
        <f aca="false">VLOOKUP(B668,Manufacturers!A$1:B869,2)</f>
        <v>JP</v>
      </c>
      <c r="I668" s="11" t="n">
        <v>40000</v>
      </c>
      <c r="J668" s="8"/>
      <c r="K668" s="8" t="n">
        <v>1</v>
      </c>
      <c r="L668" s="12" t="n">
        <v>9</v>
      </c>
      <c r="M668" s="11" t="e">
        <f aca="false">IF(AND(ISNUMBER(L668),L668&gt;0),(3*J668+K668)*#REF!/L668,"-")</f>
        <v>#REF!</v>
      </c>
      <c r="N668" s="11" t="e">
        <f aca="false">IF(AND(#REF!,ISNUMBER(L668),L668&gt;0),((3*J668+K668)*#REF!-I668)/L668,"-")</f>
        <v>#REF!</v>
      </c>
      <c r="O668" s="8"/>
      <c r="P668" s="8"/>
    </row>
    <row r="669" customFormat="false" ht="15.75" hidden="false" customHeight="true" outlineLevel="0" collapsed="false">
      <c r="A669" s="7" t="s">
        <v>1387</v>
      </c>
      <c r="B669" s="8" t="s">
        <v>1340</v>
      </c>
      <c r="C669" s="8" t="n">
        <v>2012</v>
      </c>
      <c r="D669" s="9" t="s">
        <v>1388</v>
      </c>
      <c r="E669" s="7" t="s">
        <v>35</v>
      </c>
      <c r="F669" s="10" t="n">
        <f aca="false">IF(ISBLANK($G669),,VLOOKUP($G669, Rarities!$A$1:$B869, 2, FALSE()))</f>
        <v>2</v>
      </c>
      <c r="G669" s="8" t="s">
        <v>36</v>
      </c>
      <c r="H669" s="8" t="str">
        <f aca="false">VLOOKUP(B669,Manufacturers!A$1:B869,2)</f>
        <v>JP</v>
      </c>
      <c r="I669" s="11" t="n">
        <v>105000</v>
      </c>
      <c r="J669" s="8"/>
      <c r="K669" s="8" t="n">
        <v>1</v>
      </c>
      <c r="L669" s="12" t="n">
        <v>9</v>
      </c>
      <c r="M669" s="11" t="e">
        <f aca="false">IF(AND(ISNUMBER(L669),L669&gt;0),(3*J669+K669)*#REF!/L669,"-")</f>
        <v>#REF!</v>
      </c>
      <c r="N669" s="11" t="e">
        <f aca="false">IF(AND(#REF!,ISNUMBER(L669),L669&gt;0),((3*J669+K669)*#REF!-I669)/L669,"-")</f>
        <v>#REF!</v>
      </c>
      <c r="O669" s="8"/>
      <c r="P669" s="8"/>
    </row>
    <row r="670" customFormat="false" ht="15.75" hidden="false" customHeight="true" outlineLevel="0" collapsed="false">
      <c r="A670" s="7" t="s">
        <v>1389</v>
      </c>
      <c r="B670" s="8" t="s">
        <v>1340</v>
      </c>
      <c r="C670" s="8" t="n">
        <v>2016</v>
      </c>
      <c r="D670" s="9" t="s">
        <v>1390</v>
      </c>
      <c r="E670" s="7" t="s">
        <v>353</v>
      </c>
      <c r="F670" s="10" t="n">
        <f aca="false">IF(ISBLANK($G670),,VLOOKUP($G670, Rarities!$A$1:$B869, 2, FALSE()))</f>
        <v>1</v>
      </c>
      <c r="G670" s="8" t="s">
        <v>17</v>
      </c>
      <c r="H670" s="8" t="str">
        <f aca="false">VLOOKUP(B670,Manufacturers!A$1:B869,2)</f>
        <v>JP</v>
      </c>
      <c r="I670" s="11" t="n">
        <v>50000</v>
      </c>
      <c r="J670" s="8"/>
      <c r="K670" s="8" t="n">
        <v>1</v>
      </c>
      <c r="L670" s="12" t="n">
        <v>11</v>
      </c>
      <c r="M670" s="11" t="e">
        <f aca="false">IF(AND(ISNUMBER(L670),L670&gt;0),(3*J670+K670)*#REF!/L670,"-")</f>
        <v>#REF!</v>
      </c>
      <c r="N670" s="11" t="e">
        <f aca="false">IF(AND(#REF!,ISNUMBER(L670),L670&gt;0),((3*J670+K670)*#REF!-I670)/L670,"-")</f>
        <v>#REF!</v>
      </c>
      <c r="O670" s="8"/>
      <c r="P670" s="8"/>
    </row>
    <row r="671" customFormat="false" ht="15.75" hidden="false" customHeight="true" outlineLevel="0" collapsed="false">
      <c r="A671" s="7" t="s">
        <v>1391</v>
      </c>
      <c r="B671" s="8" t="s">
        <v>1340</v>
      </c>
      <c r="C671" s="8" t="n">
        <v>2017</v>
      </c>
      <c r="D671" s="9" t="s">
        <v>1392</v>
      </c>
      <c r="E671" s="7" t="s">
        <v>35</v>
      </c>
      <c r="F671" s="10" t="n">
        <f aca="false">IF(ISBLANK($G671),,VLOOKUP($G671, Rarities!$A$1:$B869, 2, FALSE()))</f>
        <v>2</v>
      </c>
      <c r="G671" s="8" t="s">
        <v>36</v>
      </c>
      <c r="H671" s="8" t="str">
        <f aca="false">VLOOKUP(B671,Manufacturers!A$1:B869,2)</f>
        <v>JP</v>
      </c>
      <c r="I671" s="11" t="n">
        <v>132000</v>
      </c>
      <c r="J671" s="8"/>
      <c r="K671" s="8" t="n">
        <v>1</v>
      </c>
      <c r="L671" s="12" t="n">
        <v>10</v>
      </c>
      <c r="M671" s="11" t="e">
        <f aca="false">IF(AND(ISNUMBER(L671),L671&gt;0),(3*J671+K671)*#REF!/L671,"-")</f>
        <v>#REF!</v>
      </c>
      <c r="N671" s="11" t="e">
        <f aca="false">IF(AND(#REF!,ISNUMBER(L671),L671&gt;0),((3*J671+K671)*#REF!-I671)/L671,"-")</f>
        <v>#REF!</v>
      </c>
      <c r="O671" s="8"/>
      <c r="P671" s="8"/>
    </row>
    <row r="672" customFormat="false" ht="15.75" hidden="false" customHeight="true" outlineLevel="0" collapsed="false">
      <c r="A672" s="7" t="s">
        <v>1393</v>
      </c>
      <c r="B672" s="8" t="s">
        <v>1340</v>
      </c>
      <c r="C672" s="8" t="n">
        <v>2018</v>
      </c>
      <c r="D672" s="9" t="s">
        <v>1394</v>
      </c>
      <c r="E672" s="7" t="s">
        <v>58</v>
      </c>
      <c r="F672" s="10" t="n">
        <f aca="false">IF(ISBLANK($G672),,VLOOKUP($G672, Rarities!$A$1:$B869, 2, FALSE()))</f>
        <v>2</v>
      </c>
      <c r="G672" s="8" t="s">
        <v>36</v>
      </c>
      <c r="H672" s="8" t="str">
        <f aca="false">VLOOKUP(B672,Manufacturers!A$1:B869,2)</f>
        <v>JP</v>
      </c>
      <c r="I672" s="11" t="n">
        <v>250000</v>
      </c>
      <c r="J672" s="8"/>
      <c r="K672" s="8"/>
      <c r="L672" s="12"/>
      <c r="M672" s="11"/>
      <c r="N672" s="11"/>
      <c r="O672" s="8"/>
      <c r="P672" s="8"/>
    </row>
    <row r="673" customFormat="false" ht="15.75" hidden="false" customHeight="true" outlineLevel="0" collapsed="false">
      <c r="A673" s="7" t="s">
        <v>1395</v>
      </c>
      <c r="B673" s="8" t="s">
        <v>1340</v>
      </c>
      <c r="C673" s="8" t="n">
        <v>2019</v>
      </c>
      <c r="D673" s="9" t="s">
        <v>1396</v>
      </c>
      <c r="E673" s="7" t="s">
        <v>26</v>
      </c>
      <c r="F673" s="10" t="n">
        <f aca="false">IF(ISBLANK($G673),,VLOOKUP($G673, Rarities!$A$1:$B869, 2, FALSE()))</f>
        <v>2</v>
      </c>
      <c r="G673" s="8" t="s">
        <v>36</v>
      </c>
      <c r="H673" s="8" t="str">
        <f aca="false">VLOOKUP(B673,Manufacturers!A$1:B869,2)</f>
        <v>JP</v>
      </c>
      <c r="I673" s="11" t="n">
        <v>50000</v>
      </c>
      <c r="J673" s="8"/>
      <c r="K673" s="8"/>
      <c r="L673" s="12"/>
      <c r="M673" s="11"/>
      <c r="N673" s="11"/>
      <c r="O673" s="8"/>
      <c r="P673" s="8"/>
    </row>
    <row r="674" customFormat="false" ht="15.75" hidden="false" customHeight="true" outlineLevel="0" collapsed="false">
      <c r="A674" s="7" t="s">
        <v>1397</v>
      </c>
      <c r="B674" s="8" t="s">
        <v>1340</v>
      </c>
      <c r="C674" s="8" t="n">
        <v>2020</v>
      </c>
      <c r="D674" s="9" t="s">
        <v>1398</v>
      </c>
      <c r="E674" s="7" t="s">
        <v>111</v>
      </c>
      <c r="F674" s="10" t="n">
        <f aca="false">IF(ISBLANK($G674),,VLOOKUP($G674, Rarities!$A$1:$B869, 2, FALSE()))</f>
        <v>3</v>
      </c>
      <c r="G674" s="8" t="s">
        <v>53</v>
      </c>
      <c r="H674" s="8" t="str">
        <f aca="false">VLOOKUP(B674,Manufacturers!A$1:B869,2)</f>
        <v>JP</v>
      </c>
      <c r="I674" s="11" t="n">
        <v>250000</v>
      </c>
      <c r="J674" s="8"/>
      <c r="K674" s="8"/>
      <c r="L674" s="12"/>
      <c r="M674" s="11"/>
      <c r="N674" s="11"/>
      <c r="O674" s="8"/>
      <c r="P674" s="8"/>
    </row>
    <row r="675" customFormat="false" ht="15.75" hidden="false" customHeight="true" outlineLevel="0" collapsed="false">
      <c r="A675" s="7" t="s">
        <v>1399</v>
      </c>
      <c r="B675" s="8" t="s">
        <v>1340</v>
      </c>
      <c r="C675" s="8" t="n">
        <v>2023</v>
      </c>
      <c r="D675" s="9" t="s">
        <v>1400</v>
      </c>
      <c r="E675" s="7" t="s">
        <v>26</v>
      </c>
      <c r="F675" s="10" t="n">
        <f aca="false">IF(ISBLANK($G675),,VLOOKUP($G675, Rarities!$A$1:$B869, 2, FALSE()))</f>
        <v>2</v>
      </c>
      <c r="G675" s="8" t="s">
        <v>36</v>
      </c>
      <c r="H675" s="8" t="str">
        <f aca="false">VLOOKUP(B675,Manufacturers!A$1:B869,2)</f>
        <v>JP</v>
      </c>
      <c r="I675" s="11" t="n">
        <v>250000</v>
      </c>
      <c r="J675" s="8"/>
      <c r="K675" s="8"/>
      <c r="L675" s="12"/>
      <c r="M675" s="11"/>
      <c r="N675" s="11"/>
      <c r="O675" s="8"/>
      <c r="P675" s="8"/>
    </row>
    <row r="676" customFormat="false" ht="15.75" hidden="false" customHeight="true" outlineLevel="0" collapsed="false">
      <c r="A676" s="7" t="s">
        <v>1401</v>
      </c>
      <c r="B676" s="8" t="s">
        <v>1402</v>
      </c>
      <c r="C676" s="8" t="n">
        <v>2006</v>
      </c>
      <c r="D676" s="9" t="s">
        <v>1403</v>
      </c>
      <c r="E676" s="7" t="s">
        <v>111</v>
      </c>
      <c r="F676" s="10" t="n">
        <f aca="false">IF(ISBLANK($G676),,VLOOKUP($G676, Rarities!$A$1:$B869, 2, FALSE()))</f>
        <v>2</v>
      </c>
      <c r="G676" s="8" t="s">
        <v>36</v>
      </c>
      <c r="H676" s="8" t="str">
        <f aca="false">VLOOKUP(B676,Manufacturers!A$1:B869,2)</f>
        <v>GB</v>
      </c>
      <c r="I676" s="11" t="n">
        <v>100000</v>
      </c>
      <c r="J676" s="8"/>
      <c r="K676" s="8"/>
      <c r="L676" s="12"/>
      <c r="M676" s="11"/>
      <c r="N676" s="11"/>
      <c r="O676" s="8"/>
      <c r="P676" s="8"/>
    </row>
    <row r="677" customFormat="false" ht="15.75" hidden="false" customHeight="true" outlineLevel="0" collapsed="false">
      <c r="A677" s="7" t="s">
        <v>1404</v>
      </c>
      <c r="B677" s="8" t="s">
        <v>1402</v>
      </c>
      <c r="C677" s="8" t="n">
        <v>2010</v>
      </c>
      <c r="D677" s="9" t="s">
        <v>1405</v>
      </c>
      <c r="E677" s="7" t="s">
        <v>35</v>
      </c>
      <c r="F677" s="10" t="n">
        <f aca="false">IF(ISBLANK($G677),,VLOOKUP($G677, Rarities!$A$1:$B869, 2, FALSE()))</f>
        <v>3</v>
      </c>
      <c r="G677" s="8" t="s">
        <v>53</v>
      </c>
      <c r="H677" s="8" t="str">
        <f aca="false">VLOOKUP(B677,Manufacturers!A$1:B869,2)</f>
        <v>GB</v>
      </c>
      <c r="I677" s="11" t="n">
        <v>450000</v>
      </c>
      <c r="J677" s="8"/>
      <c r="K677" s="8"/>
      <c r="L677" s="12"/>
      <c r="M677" s="11"/>
      <c r="N677" s="11"/>
      <c r="O677" s="8"/>
      <c r="P677" s="8"/>
    </row>
    <row r="678" customFormat="false" ht="15.75" hidden="false" customHeight="true" outlineLevel="0" collapsed="false">
      <c r="A678" s="7" t="s">
        <v>1406</v>
      </c>
      <c r="B678" s="8" t="s">
        <v>1407</v>
      </c>
      <c r="C678" s="8" t="n">
        <v>1966</v>
      </c>
      <c r="D678" s="9" t="s">
        <v>1408</v>
      </c>
      <c r="E678" s="7" t="s">
        <v>76</v>
      </c>
      <c r="F678" s="10" t="n">
        <f aca="false">IF(ISBLANK($G678),,VLOOKUP($G678, Rarities!$A$1:$B869, 2, FALSE()))</f>
        <v>1</v>
      </c>
      <c r="G678" s="8" t="s">
        <v>17</v>
      </c>
      <c r="H678" s="8" t="str">
        <f aca="false">VLOOKUP(B678,Manufacturers!A$1:B869,2)</f>
        <v>US</v>
      </c>
      <c r="I678" s="11" t="n">
        <v>35000</v>
      </c>
      <c r="J678" s="8"/>
      <c r="K678" s="8"/>
      <c r="L678" s="12"/>
      <c r="M678" s="11"/>
      <c r="N678" s="11"/>
      <c r="O678" s="8"/>
      <c r="P678" s="8"/>
    </row>
    <row r="679" customFormat="false" ht="15.75" hidden="false" customHeight="true" outlineLevel="0" collapsed="false">
      <c r="A679" s="7" t="s">
        <v>1409</v>
      </c>
      <c r="B679" s="8" t="s">
        <v>1410</v>
      </c>
      <c r="C679" s="8" t="n">
        <v>1984</v>
      </c>
      <c r="D679" s="9" t="s">
        <v>1411</v>
      </c>
      <c r="E679" s="7" t="s">
        <v>139</v>
      </c>
      <c r="F679" s="10" t="n">
        <f aca="false">IF(ISBLANK($G679),,VLOOKUP($G679, Rarities!$A$1:$B869, 2, FALSE()))</f>
        <v>2</v>
      </c>
      <c r="G679" s="8" t="s">
        <v>36</v>
      </c>
      <c r="H679" s="8" t="str">
        <f aca="false">VLOOKUP(B679,Manufacturers!A$1:B869,2)</f>
        <v>DE</v>
      </c>
      <c r="I679" s="11" t="n">
        <v>100000</v>
      </c>
      <c r="J679" s="8"/>
      <c r="K679" s="8" t="n">
        <v>3</v>
      </c>
      <c r="L679" s="12" t="n">
        <v>30</v>
      </c>
      <c r="M679" s="11" t="e">
        <f aca="false">IF(AND(ISNUMBER(L679),L679&gt;0),(3*J679+K679)*#REF!/L679,"-")</f>
        <v>#REF!</v>
      </c>
      <c r="N679" s="11" t="e">
        <f aca="false">IF(AND(#REF!,ISNUMBER(L679),L679&gt;0),((3*J679+K679)*#REF!-I679)/L679,"-")</f>
        <v>#REF!</v>
      </c>
      <c r="O679" s="8"/>
      <c r="P679" s="8"/>
    </row>
    <row r="680" customFormat="false" ht="15.75" hidden="false" customHeight="true" outlineLevel="0" collapsed="false">
      <c r="A680" s="7" t="s">
        <v>1412</v>
      </c>
      <c r="B680" s="8" t="s">
        <v>1413</v>
      </c>
      <c r="C680" s="8" t="n">
        <v>2009</v>
      </c>
      <c r="D680" s="9" t="s">
        <v>1414</v>
      </c>
      <c r="E680" s="7" t="s">
        <v>118</v>
      </c>
      <c r="F680" s="10" t="n">
        <f aca="false">IF(ISBLANK($G680),,VLOOKUP($G680, Rarities!$A$1:$B869, 2, FALSE()))</f>
        <v>4</v>
      </c>
      <c r="G680" s="8" t="s">
        <v>41</v>
      </c>
      <c r="H680" s="8" t="str">
        <f aca="false">VLOOKUP(B680,Manufacturers!A$1:B869,2)</f>
        <v>IT</v>
      </c>
      <c r="I680" s="11" t="n">
        <v>2100000</v>
      </c>
      <c r="J680" s="8" t="n">
        <v>2</v>
      </c>
      <c r="K680" s="8" t="n">
        <v>1</v>
      </c>
      <c r="L680" s="12" t="n">
        <v>24</v>
      </c>
      <c r="M680" s="11" t="e">
        <f aca="false">IF(AND(ISNUMBER(L680),L680&gt;0),(3*J680+K680)*#REF!/L680,"-")</f>
        <v>#REF!</v>
      </c>
      <c r="N680" s="11" t="e">
        <f aca="false">IF(AND(#REF!,ISNUMBER(L680),L680&gt;0),((3*J680+K680)*#REF!-I680)/L680,"-")</f>
        <v>#REF!</v>
      </c>
      <c r="O680" s="8"/>
      <c r="P680" s="8"/>
    </row>
    <row r="681" customFormat="false" ht="15.75" hidden="false" customHeight="true" outlineLevel="0" collapsed="false">
      <c r="A681" s="7" t="s">
        <v>1415</v>
      </c>
      <c r="B681" s="8" t="s">
        <v>1413</v>
      </c>
      <c r="C681" s="8" t="n">
        <v>2009</v>
      </c>
      <c r="D681" s="9" t="s">
        <v>1416</v>
      </c>
      <c r="E681" s="7" t="s">
        <v>118</v>
      </c>
      <c r="F681" s="10" t="n">
        <f aca="false">IF(ISBLANK($G681),,VLOOKUP($G681, Rarities!$A$1:$B869, 2, FALSE()))</f>
        <v>4</v>
      </c>
      <c r="G681" s="8" t="s">
        <v>41</v>
      </c>
      <c r="H681" s="8" t="str">
        <f aca="false">VLOOKUP(B681,Manufacturers!A$1:B869,2)</f>
        <v>IT</v>
      </c>
      <c r="I681" s="11" t="n">
        <v>2100000</v>
      </c>
      <c r="J681" s="8"/>
      <c r="K681" s="8"/>
      <c r="L681" s="12"/>
      <c r="M681" s="11"/>
      <c r="N681" s="11"/>
      <c r="O681" s="8"/>
      <c r="P681" s="8"/>
    </row>
    <row r="682" customFormat="false" ht="15.75" hidden="false" customHeight="true" outlineLevel="0" collapsed="false">
      <c r="A682" s="7" t="s">
        <v>1417</v>
      </c>
      <c r="B682" s="8" t="s">
        <v>1413</v>
      </c>
      <c r="C682" s="8" t="n">
        <v>2010</v>
      </c>
      <c r="D682" s="9" t="s">
        <v>1418</v>
      </c>
      <c r="E682" s="7" t="s">
        <v>86</v>
      </c>
      <c r="F682" s="10" t="n">
        <f aca="false">IF(ISBLANK($G682),,VLOOKUP($G682, Rarities!$A$1:$B869, 2, FALSE()))</f>
        <v>4</v>
      </c>
      <c r="G682" s="8" t="s">
        <v>41</v>
      </c>
      <c r="H682" s="8" t="str">
        <f aca="false">VLOOKUP(B682,Manufacturers!A$1:B869,2)</f>
        <v>IT</v>
      </c>
      <c r="I682" s="11" t="n">
        <v>1800000</v>
      </c>
      <c r="J682" s="8" t="n">
        <v>2</v>
      </c>
      <c r="K682" s="8" t="n">
        <v>1</v>
      </c>
      <c r="L682" s="12" t="n">
        <v>21</v>
      </c>
      <c r="M682" s="11" t="e">
        <f aca="false">IF(AND(ISNUMBER(L682),L682&gt;0),(3*J682+K682)*#REF!/L682,"-")</f>
        <v>#REF!</v>
      </c>
      <c r="N682" s="11" t="e">
        <f aca="false">IF(AND(#REF!,ISNUMBER(L682),L682&gt;0),((3*J682+K682)*#REF!-I682)/L682,"-")</f>
        <v>#REF!</v>
      </c>
      <c r="O682" s="8"/>
      <c r="P682" s="8"/>
    </row>
    <row r="683" customFormat="false" ht="15.75" hidden="false" customHeight="true" outlineLevel="0" collapsed="false">
      <c r="A683" s="7" t="s">
        <v>1419</v>
      </c>
      <c r="B683" s="8" t="s">
        <v>1413</v>
      </c>
      <c r="C683" s="8" t="n">
        <v>2012</v>
      </c>
      <c r="D683" s="9" t="s">
        <v>1420</v>
      </c>
      <c r="E683" s="7" t="s">
        <v>118</v>
      </c>
      <c r="F683" s="10" t="n">
        <f aca="false">IF(ISBLANK($G683),,VLOOKUP($G683, Rarities!$A$1:$B869, 2, FALSE()))</f>
        <v>4</v>
      </c>
      <c r="G683" s="8" t="s">
        <v>41</v>
      </c>
      <c r="H683" s="8" t="str">
        <f aca="false">VLOOKUP(B683,Manufacturers!A$1:B869,2)</f>
        <v>IT</v>
      </c>
      <c r="I683" s="11" t="n">
        <v>1400000</v>
      </c>
      <c r="J683" s="8"/>
      <c r="K683" s="8"/>
      <c r="L683" s="12"/>
      <c r="M683" s="11"/>
      <c r="N683" s="11"/>
      <c r="O683" s="8"/>
      <c r="P683" s="8"/>
    </row>
    <row r="684" customFormat="false" ht="15.75" hidden="false" customHeight="true" outlineLevel="0" collapsed="false">
      <c r="A684" s="7" t="s">
        <v>1421</v>
      </c>
      <c r="B684" s="8" t="s">
        <v>1413</v>
      </c>
      <c r="C684" s="8" t="n">
        <v>2016</v>
      </c>
      <c r="D684" s="9" t="s">
        <v>1422</v>
      </c>
      <c r="E684" s="7" t="s">
        <v>86</v>
      </c>
      <c r="F684" s="10" t="n">
        <f aca="false">IF(ISBLANK($G684),,VLOOKUP($G684, Rarities!$A$1:$B869, 2, FALSE()))</f>
        <v>5</v>
      </c>
      <c r="G684" s="8" t="s">
        <v>239</v>
      </c>
      <c r="H684" s="8" t="str">
        <f aca="false">VLOOKUP(B684,Manufacturers!A$1:B869,2)</f>
        <v>IT</v>
      </c>
      <c r="I684" s="11" t="n">
        <v>2700000</v>
      </c>
      <c r="J684" s="8" t="n">
        <v>1</v>
      </c>
      <c r="K684" s="8" t="n">
        <v>1</v>
      </c>
      <c r="L684" s="12" t="n">
        <v>14</v>
      </c>
      <c r="M684" s="11" t="e">
        <f aca="false">IF(AND(ISNUMBER(L684),L684&gt;0),(3*J684+K684)*#REF!/L684,"-")</f>
        <v>#REF!</v>
      </c>
      <c r="N684" s="11" t="e">
        <f aca="false">IF(AND(#REF!,ISNUMBER(L684),L684&gt;0),((3*J684+K684)*#REF!-I684)/L684,"-")</f>
        <v>#REF!</v>
      </c>
      <c r="O684" s="8"/>
      <c r="P684" s="8"/>
    </row>
    <row r="685" customFormat="false" ht="15.75" hidden="false" customHeight="true" outlineLevel="0" collapsed="false">
      <c r="A685" s="7" t="s">
        <v>1423</v>
      </c>
      <c r="B685" s="8" t="s">
        <v>1413</v>
      </c>
      <c r="C685" s="8" t="n">
        <v>2016</v>
      </c>
      <c r="D685" s="9" t="s">
        <v>1424</v>
      </c>
      <c r="E685" s="7" t="s">
        <v>118</v>
      </c>
      <c r="F685" s="10" t="n">
        <f aca="false">IF(ISBLANK($G685),,VLOOKUP($G685, Rarities!$A$1:$B869, 2, FALSE()))</f>
        <v>4</v>
      </c>
      <c r="G685" s="8" t="s">
        <v>41</v>
      </c>
      <c r="H685" s="8" t="str">
        <f aca="false">VLOOKUP(B685,Manufacturers!A$1:B869,2)</f>
        <v>IT</v>
      </c>
      <c r="I685" s="11" t="n">
        <v>2700000</v>
      </c>
      <c r="J685" s="8" t="n">
        <v>2</v>
      </c>
      <c r="K685" s="8" t="n">
        <v>1</v>
      </c>
      <c r="L685" s="12" t="n">
        <v>21</v>
      </c>
      <c r="M685" s="11" t="e">
        <f aca="false">IF(AND(ISNUMBER(L685),L685&gt;0),(3*J685+K685)*#REF!/L685,"-")</f>
        <v>#REF!</v>
      </c>
      <c r="N685" s="11" t="e">
        <f aca="false">IF(AND(#REF!,ISNUMBER(L685),L685&gt;0),((3*J685+K685)*#REF!-I685)/L685,"-")</f>
        <v>#REF!</v>
      </c>
      <c r="O685" s="8"/>
      <c r="P685" s="8"/>
    </row>
    <row r="686" customFormat="false" ht="15.75" hidden="false" customHeight="true" outlineLevel="0" collapsed="false">
      <c r="A686" s="7" t="s">
        <v>1425</v>
      </c>
      <c r="B686" s="8" t="s">
        <v>1413</v>
      </c>
      <c r="C686" s="8" t="n">
        <v>2022</v>
      </c>
      <c r="D686" s="9" t="s">
        <v>1426</v>
      </c>
      <c r="E686" s="7" t="s">
        <v>86</v>
      </c>
      <c r="F686" s="10" t="n">
        <f aca="false">IF(ISBLANK($G686),,VLOOKUP($G686, Rarities!$A$1:$B869, 2, FALSE()))</f>
        <v>4</v>
      </c>
      <c r="G686" s="8" t="s">
        <v>41</v>
      </c>
      <c r="H686" s="8" t="str">
        <f aca="false">VLOOKUP(B686,Manufacturers!A$1:B869,2)</f>
        <v>IT</v>
      </c>
      <c r="I686" s="11" t="n">
        <v>3100000</v>
      </c>
      <c r="J686" s="8"/>
      <c r="K686" s="8"/>
      <c r="L686" s="12"/>
      <c r="M686" s="11"/>
      <c r="N686" s="11"/>
      <c r="O686" s="8"/>
      <c r="P686" s="8"/>
    </row>
    <row r="687" customFormat="false" ht="15.75" hidden="false" customHeight="true" outlineLevel="0" collapsed="false">
      <c r="A687" s="7" t="s">
        <v>1427</v>
      </c>
      <c r="B687" s="8" t="s">
        <v>1428</v>
      </c>
      <c r="C687" s="8" t="n">
        <v>1962</v>
      </c>
      <c r="D687" s="9" t="s">
        <v>1429</v>
      </c>
      <c r="E687" s="7" t="s">
        <v>16</v>
      </c>
      <c r="F687" s="10" t="n">
        <f aca="false">IF(ISBLANK($G687),,VLOOKUP($G687, Rarities!$A$1:$B869, 2, FALSE()))</f>
        <v>4</v>
      </c>
      <c r="G687" s="8" t="s">
        <v>41</v>
      </c>
      <c r="H687" s="8" t="str">
        <f aca="false">VLOOKUP(B687,Manufacturers!A$1:B869,2)</f>
        <v>GB</v>
      </c>
      <c r="I687" s="11" t="n">
        <v>250000</v>
      </c>
      <c r="J687" s="8"/>
      <c r="K687" s="8" t="n">
        <v>1</v>
      </c>
      <c r="L687" s="12" t="n">
        <v>9</v>
      </c>
      <c r="M687" s="11" t="e">
        <f aca="false">IF(AND(ISNUMBER(L687),L687&gt;0),(3*J687+K687)*#REF!/L687,"-")</f>
        <v>#REF!</v>
      </c>
      <c r="N687" s="11" t="e">
        <f aca="false">IF(AND(#REF!,ISNUMBER(L687),L687&gt;0),((3*J687+K687)*#REF!-I687)/L687,"-")</f>
        <v>#REF!</v>
      </c>
      <c r="O687" s="8"/>
      <c r="P687" s="8"/>
    </row>
    <row r="688" customFormat="false" ht="15.75" hidden="false" customHeight="true" outlineLevel="0" collapsed="false">
      <c r="A688" s="7" t="s">
        <v>1430</v>
      </c>
      <c r="B688" s="8" t="s">
        <v>1428</v>
      </c>
      <c r="C688" s="8" t="n">
        <v>1965</v>
      </c>
      <c r="D688" s="9" t="s">
        <v>1431</v>
      </c>
      <c r="E688" s="7" t="s">
        <v>16</v>
      </c>
      <c r="F688" s="10" t="n">
        <f aca="false">IF(ISBLANK($G688),,VLOOKUP($G688, Rarities!$A$1:$B869, 2, FALSE()))</f>
        <v>2</v>
      </c>
      <c r="G688" s="8" t="s">
        <v>36</v>
      </c>
      <c r="H688" s="8" t="str">
        <f aca="false">VLOOKUP(B688,Manufacturers!A$1:B869,2)</f>
        <v>GB</v>
      </c>
      <c r="I688" s="11" t="n">
        <v>250000</v>
      </c>
      <c r="J688" s="8"/>
      <c r="K688" s="8" t="n">
        <v>1</v>
      </c>
      <c r="L688" s="12" t="n">
        <v>9</v>
      </c>
      <c r="M688" s="11" t="e">
        <f aca="false">IF(AND(ISNUMBER(L688),L688&gt;0),(3*J688+K688)*#REF!/L688,"-")</f>
        <v>#REF!</v>
      </c>
      <c r="N688" s="11" t="e">
        <f aca="false">IF(AND(#REF!,ISNUMBER(L688),L688&gt;0),((3*J688+K688)*#REF!-I688)/L688,"-")</f>
        <v>#REF!</v>
      </c>
      <c r="O688" s="8"/>
      <c r="P688" s="8"/>
    </row>
    <row r="689" customFormat="false" ht="15.75" hidden="false" customHeight="true" outlineLevel="0" collapsed="false">
      <c r="A689" s="7" t="s">
        <v>1432</v>
      </c>
      <c r="B689" s="8" t="s">
        <v>1433</v>
      </c>
      <c r="C689" s="8" t="n">
        <v>2011</v>
      </c>
      <c r="D689" s="9" t="s">
        <v>1434</v>
      </c>
      <c r="E689" s="7" t="s">
        <v>67</v>
      </c>
      <c r="F689" s="10" t="n">
        <f aca="false">IF(ISBLANK($G689),,VLOOKUP($G689, Rarities!$A$1:$B869, 2, FALSE()))</f>
        <v>2</v>
      </c>
      <c r="G689" s="8" t="s">
        <v>36</v>
      </c>
      <c r="H689" s="8" t="str">
        <f aca="false">VLOOKUP(B689,Manufacturers!A$1:B869,2)</f>
        <v>US</v>
      </c>
      <c r="I689" s="11" t="n">
        <v>100000</v>
      </c>
      <c r="J689" s="8"/>
      <c r="K689" s="8" t="n">
        <v>2</v>
      </c>
      <c r="L689" s="12" t="n">
        <v>16</v>
      </c>
      <c r="M689" s="11" t="e">
        <f aca="false">IF(AND(ISNUMBER(L689),L689&gt;0),(3*J689+K689)*#REF!/L689,"-")</f>
        <v>#REF!</v>
      </c>
      <c r="N689" s="11" t="e">
        <f aca="false">IF(AND(#REF!,ISNUMBER(L689),L689&gt;0),((3*J689+K689)*#REF!-I689)/L689,"-")</f>
        <v>#REF!</v>
      </c>
      <c r="O689" s="8"/>
      <c r="P689" s="8"/>
    </row>
    <row r="690" customFormat="false" ht="15.75" hidden="false" customHeight="true" outlineLevel="0" collapsed="false">
      <c r="A690" s="7" t="s">
        <v>1435</v>
      </c>
      <c r="B690" s="8" t="s">
        <v>1436</v>
      </c>
      <c r="C690" s="8" t="n">
        <v>1984</v>
      </c>
      <c r="D690" s="9" t="s">
        <v>1437</v>
      </c>
      <c r="E690" s="7" t="s">
        <v>136</v>
      </c>
      <c r="F690" s="10" t="n">
        <f aca="false">IF(ISBLANK($G690),,VLOOKUP($G690, Rarities!$A$1:$B869, 2, FALSE()))</f>
        <v>4</v>
      </c>
      <c r="G690" s="8" t="s">
        <v>41</v>
      </c>
      <c r="H690" s="8" t="str">
        <f aca="false">VLOOKUP(B690,Manufacturers!A$1:B869,2)</f>
        <v>FR</v>
      </c>
      <c r="I690" s="11" t="n">
        <v>200000</v>
      </c>
      <c r="J690" s="8"/>
      <c r="K690" s="8" t="n">
        <v>1</v>
      </c>
      <c r="L690" s="12" t="n">
        <v>9</v>
      </c>
      <c r="M690" s="11" t="e">
        <f aca="false">IF(AND(ISNUMBER(L690),L690&gt;0),(3*J690+K690)*#REF!/L690,"-")</f>
        <v>#REF!</v>
      </c>
      <c r="N690" s="11" t="e">
        <f aca="false">IF(AND(#REF!,ISNUMBER(L690),L690&gt;0),((3*J690+K690)*#REF!-I690)/L690,"-")</f>
        <v>#REF!</v>
      </c>
      <c r="O690" s="8"/>
      <c r="P690" s="8"/>
    </row>
    <row r="691" customFormat="false" ht="15.75" hidden="false" customHeight="true" outlineLevel="0" collapsed="false">
      <c r="A691" s="7" t="s">
        <v>244</v>
      </c>
      <c r="B691" s="8" t="s">
        <v>1436</v>
      </c>
      <c r="C691" s="8" t="n">
        <v>1984</v>
      </c>
      <c r="D691" s="9" t="s">
        <v>1438</v>
      </c>
      <c r="E691" s="7" t="s">
        <v>136</v>
      </c>
      <c r="F691" s="10" t="n">
        <f aca="false">IF(ISBLANK($G691),,VLOOKUP($G691, Rarities!$A$1:$B869, 2, FALSE()))</f>
        <v>0</v>
      </c>
      <c r="G691" s="8" t="s">
        <v>244</v>
      </c>
      <c r="H691" s="8" t="str">
        <f aca="false">VLOOKUP(B691,Manufacturers!A$1:B869,2)</f>
        <v>FR</v>
      </c>
      <c r="I691" s="11" t="s">
        <v>244</v>
      </c>
      <c r="J691" s="8"/>
      <c r="K691" s="8"/>
      <c r="L691" s="12" t="s">
        <v>244</v>
      </c>
      <c r="M691" s="11" t="str">
        <f aca="false">IF(AND(ISNUMBER(L691),L691&gt;0),(3*J691+K691)*#REF!/L691,"-")</f>
        <v>-</v>
      </c>
      <c r="N691" s="11" t="e">
        <f aca="false">IF(AND(#REF!,ISNUMBER(L691),L691&gt;0),((3*J691+K691)*#REF!-I691)/L691,"-")</f>
        <v>#REF!</v>
      </c>
      <c r="O691" s="8"/>
      <c r="P691" s="8"/>
    </row>
    <row r="692" customFormat="false" ht="15.75" hidden="false" customHeight="true" outlineLevel="0" collapsed="false">
      <c r="A692" s="7" t="s">
        <v>1439</v>
      </c>
      <c r="B692" s="8" t="s">
        <v>1436</v>
      </c>
      <c r="C692" s="8" t="n">
        <v>1991</v>
      </c>
      <c r="D692" s="9" t="s">
        <v>1440</v>
      </c>
      <c r="E692" s="7" t="s">
        <v>30</v>
      </c>
      <c r="F692" s="10" t="n">
        <f aca="false">IF(ISBLANK($G692),,VLOOKUP($G692, Rarities!$A$1:$B869, 2, FALSE()))</f>
        <v>2</v>
      </c>
      <c r="G692" s="8" t="s">
        <v>36</v>
      </c>
      <c r="H692" s="8" t="str">
        <f aca="false">VLOOKUP(B692,Manufacturers!A$1:B869,2)</f>
        <v>FR</v>
      </c>
      <c r="I692" s="11" t="n">
        <v>20000</v>
      </c>
      <c r="J692" s="8"/>
      <c r="K692" s="8" t="n">
        <v>1</v>
      </c>
      <c r="L692" s="12" t="n">
        <v>9</v>
      </c>
      <c r="M692" s="11" t="e">
        <f aca="false">IF(AND(ISNUMBER(L692),L692&gt;0),(3*J692+K692)*#REF!/L692,"-")</f>
        <v>#REF!</v>
      </c>
      <c r="N692" s="11" t="e">
        <f aca="false">IF(AND(#REF!,ISNUMBER(L692),L692&gt;0),((3*J692+K692)*#REF!-I692)/L692,"-")</f>
        <v>#REF!</v>
      </c>
      <c r="O692" s="8"/>
      <c r="P692" s="8"/>
    </row>
    <row r="693" customFormat="false" ht="15.75" hidden="false" customHeight="true" outlineLevel="0" collapsed="false">
      <c r="A693" s="7" t="s">
        <v>1441</v>
      </c>
      <c r="B693" s="8" t="s">
        <v>1436</v>
      </c>
      <c r="C693" s="8" t="n">
        <v>2007</v>
      </c>
      <c r="D693" s="9" t="s">
        <v>1442</v>
      </c>
      <c r="E693" s="7" t="s">
        <v>139</v>
      </c>
      <c r="F693" s="10" t="n">
        <f aca="false">IF(ISBLANK($G693),,VLOOKUP($G693, Rarities!$A$1:$B869, 2, FALSE()))</f>
        <v>2</v>
      </c>
      <c r="G693" s="8" t="s">
        <v>36</v>
      </c>
      <c r="H693" s="8" t="str">
        <f aca="false">VLOOKUP(B693,Manufacturers!A$1:B869,2)</f>
        <v>FR</v>
      </c>
      <c r="I693" s="11" t="n">
        <v>150000</v>
      </c>
      <c r="J693" s="8"/>
      <c r="K693" s="8" t="n">
        <v>1</v>
      </c>
      <c r="L693" s="12" t="n">
        <v>23</v>
      </c>
      <c r="M693" s="11" t="e">
        <f aca="false">IF(AND(ISNUMBER(L693),L693&gt;0),(3*J693+K693)*#REF!/L693,"-")</f>
        <v>#REF!</v>
      </c>
      <c r="N693" s="11" t="e">
        <f aca="false">IF(AND(#REF!,ISNUMBER(L693),L693&gt;0),((3*J693+K693)*#REF!-I693)/L693,"-")</f>
        <v>#REF!</v>
      </c>
      <c r="O693" s="8"/>
      <c r="P693" s="8"/>
    </row>
    <row r="694" customFormat="false" ht="15.75" hidden="false" customHeight="true" outlineLevel="0" collapsed="false">
      <c r="A694" s="7" t="s">
        <v>1443</v>
      </c>
      <c r="B694" s="8" t="s">
        <v>1444</v>
      </c>
      <c r="C694" s="8" t="n">
        <v>1958</v>
      </c>
      <c r="D694" s="9" t="s">
        <v>1445</v>
      </c>
      <c r="E694" s="7" t="s">
        <v>327</v>
      </c>
      <c r="F694" s="10" t="n">
        <f aca="false">IF(ISBLANK($G694),,VLOOKUP($G694, Rarities!$A$1:$B869, 2, FALSE()))</f>
        <v>2</v>
      </c>
      <c r="G694" s="8" t="s">
        <v>36</v>
      </c>
      <c r="H694" s="8" t="str">
        <f aca="false">VLOOKUP(B694,Manufacturers!A$1:B869,2)</f>
        <v>US</v>
      </c>
      <c r="I694" s="11" t="n">
        <v>250000</v>
      </c>
      <c r="J694" s="8"/>
      <c r="K694" s="8"/>
      <c r="L694" s="12"/>
      <c r="M694" s="11"/>
      <c r="N694" s="11"/>
      <c r="O694" s="8"/>
      <c r="P694" s="8"/>
    </row>
    <row r="695" customFormat="false" ht="15.75" hidden="false" customHeight="true" outlineLevel="0" collapsed="false">
      <c r="A695" s="7" t="s">
        <v>1446</v>
      </c>
      <c r="B695" s="8" t="s">
        <v>1444</v>
      </c>
      <c r="C695" s="8" t="n">
        <v>1964</v>
      </c>
      <c r="D695" s="9" t="s">
        <v>1447</v>
      </c>
      <c r="E695" s="7" t="s">
        <v>76</v>
      </c>
      <c r="F695" s="10" t="n">
        <f aca="false">IF(ISBLANK($G695),,VLOOKUP($G695, Rarities!$A$1:$B869, 2, FALSE()))</f>
        <v>2</v>
      </c>
      <c r="G695" s="8" t="s">
        <v>36</v>
      </c>
      <c r="H695" s="8" t="str">
        <f aca="false">VLOOKUP(B695,Manufacturers!A$1:B869,2)</f>
        <v>US</v>
      </c>
      <c r="I695" s="11" t="n">
        <v>250000</v>
      </c>
      <c r="J695" s="8"/>
      <c r="K695" s="8"/>
      <c r="L695" s="12"/>
      <c r="M695" s="11"/>
      <c r="N695" s="11"/>
      <c r="O695" s="8"/>
      <c r="P695" s="8"/>
    </row>
    <row r="696" customFormat="false" ht="15.75" hidden="false" customHeight="true" outlineLevel="0" collapsed="false">
      <c r="A696" s="7" t="s">
        <v>1448</v>
      </c>
      <c r="B696" s="8" t="s">
        <v>1444</v>
      </c>
      <c r="C696" s="8" t="n">
        <v>1968</v>
      </c>
      <c r="D696" s="9" t="s">
        <v>1449</v>
      </c>
      <c r="E696" s="7" t="s">
        <v>76</v>
      </c>
      <c r="F696" s="10" t="n">
        <f aca="false">IF(ISBLANK($G696),,VLOOKUP($G696, Rarities!$A$1:$B869, 2, FALSE()))</f>
        <v>2</v>
      </c>
      <c r="G696" s="8" t="s">
        <v>36</v>
      </c>
      <c r="H696" s="8" t="str">
        <f aca="false">VLOOKUP(B696,Manufacturers!A$1:B869,2)</f>
        <v>US</v>
      </c>
      <c r="I696" s="11" t="n">
        <v>250000</v>
      </c>
      <c r="J696" s="8"/>
      <c r="K696" s="8"/>
      <c r="L696" s="12"/>
      <c r="M696" s="11"/>
      <c r="N696" s="11"/>
      <c r="O696" s="8"/>
      <c r="P696" s="8"/>
    </row>
    <row r="697" customFormat="false" ht="15.75" hidden="false" customHeight="true" outlineLevel="0" collapsed="false">
      <c r="A697" s="7" t="s">
        <v>1450</v>
      </c>
      <c r="B697" s="8" t="s">
        <v>1444</v>
      </c>
      <c r="C697" s="8" t="n">
        <v>1971</v>
      </c>
      <c r="D697" s="9" t="s">
        <v>1451</v>
      </c>
      <c r="E697" s="7" t="s">
        <v>76</v>
      </c>
      <c r="F697" s="10" t="n">
        <f aca="false">IF(ISBLANK($G697),,VLOOKUP($G697, Rarities!$A$1:$B869, 2, FALSE()))</f>
        <v>3</v>
      </c>
      <c r="G697" s="8" t="s">
        <v>53</v>
      </c>
      <c r="H697" s="8" t="str">
        <f aca="false">VLOOKUP(B697,Manufacturers!A$1:B869,2)</f>
        <v>US</v>
      </c>
      <c r="I697" s="11" t="n">
        <v>160000</v>
      </c>
      <c r="J697" s="8"/>
      <c r="K697" s="8" t="n">
        <v>2</v>
      </c>
      <c r="L697" s="12" t="n">
        <v>14</v>
      </c>
      <c r="M697" s="11" t="e">
        <f aca="false">IF(AND(ISNUMBER(L697),L697&gt;0),(3*J697+K697)*#REF!/L697,"-")</f>
        <v>#REF!</v>
      </c>
      <c r="N697" s="11" t="e">
        <f aca="false">IF(AND(#REF!,ISNUMBER(L697),L697&gt;0),((3*J697+K697)*#REF!-I697)/L697,"-")</f>
        <v>#REF!</v>
      </c>
      <c r="O697" s="8"/>
      <c r="P697" s="8"/>
    </row>
    <row r="698" customFormat="false" ht="15.75" hidden="false" customHeight="true" outlineLevel="0" collapsed="false">
      <c r="A698" s="7" t="s">
        <v>1452</v>
      </c>
      <c r="B698" s="8" t="s">
        <v>1453</v>
      </c>
      <c r="C698" s="8" t="n">
        <v>2015</v>
      </c>
      <c r="D698" s="9" t="s">
        <v>1454</v>
      </c>
      <c r="E698" s="7" t="s">
        <v>313</v>
      </c>
      <c r="F698" s="10" t="n">
        <f aca="false">IF(ISBLANK($G698),,VLOOKUP($G698, Rarities!$A$1:$B869, 2, FALSE()))</f>
        <v>1</v>
      </c>
      <c r="G698" s="8" t="s">
        <v>17</v>
      </c>
      <c r="H698" s="8" t="str">
        <f aca="false">VLOOKUP(B698,Manufacturers!A$1:B869,2)</f>
        <v>US</v>
      </c>
      <c r="I698" s="11" t="n">
        <v>25000</v>
      </c>
      <c r="J698" s="8"/>
      <c r="K698" s="8" t="n">
        <v>1</v>
      </c>
      <c r="L698" s="12" t="n">
        <v>16</v>
      </c>
      <c r="M698" s="11" t="e">
        <f aca="false">IF(AND(ISNUMBER(L698),L698&gt;0),(3*J698+K698)*#REF!/L698,"-")</f>
        <v>#REF!</v>
      </c>
      <c r="N698" s="11" t="e">
        <f aca="false">IF(AND(#REF!,ISNUMBER(L698),L698&gt;0),((3*J698+K698)*#REF!-I698)/L698,"-")</f>
        <v>#REF!</v>
      </c>
      <c r="O698" s="8"/>
      <c r="P698" s="8"/>
    </row>
    <row r="699" customFormat="false" ht="15.75" hidden="false" customHeight="true" outlineLevel="0" collapsed="false">
      <c r="A699" s="7" t="s">
        <v>1455</v>
      </c>
      <c r="B699" s="8" t="s">
        <v>1453</v>
      </c>
      <c r="C699" s="8" t="n">
        <v>2021</v>
      </c>
      <c r="D699" s="9" t="s">
        <v>1456</v>
      </c>
      <c r="E699" s="7" t="s">
        <v>313</v>
      </c>
      <c r="F699" s="10" t="n">
        <f aca="false">IF(ISBLANK($G699),,VLOOKUP($G699, Rarities!$A$1:$B869, 2, FALSE()))</f>
        <v>2</v>
      </c>
      <c r="G699" s="8" t="s">
        <v>36</v>
      </c>
      <c r="H699" s="8" t="str">
        <f aca="false">VLOOKUP(B699,Manufacturers!A$1:B869,2)</f>
        <v>US</v>
      </c>
      <c r="I699" s="11" t="n">
        <v>75000</v>
      </c>
      <c r="J699" s="8"/>
      <c r="K699" s="8"/>
      <c r="L699" s="12"/>
      <c r="M699" s="11"/>
      <c r="N699" s="11"/>
      <c r="O699" s="8"/>
      <c r="P699" s="8"/>
    </row>
    <row r="700" customFormat="false" ht="15.75" hidden="false" customHeight="true" outlineLevel="0" collapsed="false">
      <c r="A700" s="7" t="s">
        <v>1457</v>
      </c>
      <c r="B700" s="8" t="s">
        <v>1453</v>
      </c>
      <c r="C700" s="8" t="n">
        <v>2021</v>
      </c>
      <c r="D700" s="9" t="s">
        <v>1458</v>
      </c>
      <c r="E700" s="7" t="s">
        <v>313</v>
      </c>
      <c r="F700" s="10" t="n">
        <f aca="false">IF(ISBLANK($G700),,VLOOKUP($G700, Rarities!$A$1:$B869, 2, FALSE()))</f>
        <v>2</v>
      </c>
      <c r="G700" s="8" t="s">
        <v>36</v>
      </c>
      <c r="H700" s="8" t="str">
        <f aca="false">VLOOKUP(B700,Manufacturers!A$1:B869,2)</f>
        <v>US</v>
      </c>
      <c r="I700" s="11" t="n">
        <v>250000</v>
      </c>
      <c r="J700" s="8"/>
      <c r="K700" s="8"/>
      <c r="L700" s="12"/>
      <c r="M700" s="11"/>
      <c r="N700" s="11"/>
      <c r="O700" s="8"/>
      <c r="P700" s="8"/>
    </row>
    <row r="701" customFormat="false" ht="15.75" hidden="false" customHeight="true" outlineLevel="0" collapsed="false">
      <c r="A701" s="7" t="s">
        <v>1459</v>
      </c>
      <c r="B701" s="8" t="s">
        <v>1460</v>
      </c>
      <c r="C701" s="8" t="n">
        <v>1965</v>
      </c>
      <c r="D701" s="9" t="s">
        <v>1300</v>
      </c>
      <c r="E701" s="7" t="s">
        <v>76</v>
      </c>
      <c r="F701" s="10" t="n">
        <f aca="false">IF(ISBLANK($G701),,VLOOKUP($G701, Rarities!$A$1:$B869, 2, FALSE()))</f>
        <v>1</v>
      </c>
      <c r="G701" s="8" t="s">
        <v>17</v>
      </c>
      <c r="H701" s="8" t="str">
        <f aca="false">VLOOKUP(B701,Manufacturers!A$1:B869,2)</f>
        <v>US</v>
      </c>
      <c r="I701" s="11" t="n">
        <v>48000</v>
      </c>
      <c r="J701" s="8"/>
      <c r="K701" s="8" t="n">
        <v>1</v>
      </c>
      <c r="L701" s="12" t="n">
        <v>9</v>
      </c>
      <c r="M701" s="11" t="e">
        <f aca="false">IF(AND(ISNUMBER(L701),L701&gt;0),(3*J701+K701)*#REF!/L701,"-")</f>
        <v>#REF!</v>
      </c>
      <c r="N701" s="11" t="e">
        <f aca="false">IF(AND(#REF!,ISNUMBER(L701),L701&gt;0),((3*J701+K701)*#REF!-I701)/L701,"-")</f>
        <v>#REF!</v>
      </c>
      <c r="O701" s="8"/>
      <c r="P701" s="8"/>
    </row>
    <row r="702" customFormat="false" ht="15.75" hidden="false" customHeight="true" outlineLevel="0" collapsed="false">
      <c r="A702" s="7" t="s">
        <v>1461</v>
      </c>
      <c r="B702" s="8" t="s">
        <v>1460</v>
      </c>
      <c r="C702" s="8" t="n">
        <v>1968</v>
      </c>
      <c r="D702" s="9" t="s">
        <v>1462</v>
      </c>
      <c r="E702" s="7" t="s">
        <v>76</v>
      </c>
      <c r="F702" s="10" t="n">
        <f aca="false">IF(ISBLANK($G702),,VLOOKUP($G702, Rarities!$A$1:$B869, 2, FALSE()))</f>
        <v>3</v>
      </c>
      <c r="G702" s="8" t="s">
        <v>53</v>
      </c>
      <c r="H702" s="8" t="str">
        <f aca="false">VLOOKUP(B702,Manufacturers!A$1:B869,2)</f>
        <v>US</v>
      </c>
      <c r="I702" s="11" t="n">
        <v>250000</v>
      </c>
      <c r="J702" s="8"/>
      <c r="K702" s="8"/>
      <c r="L702" s="12"/>
      <c r="M702" s="11"/>
      <c r="N702" s="11"/>
      <c r="O702" s="8"/>
      <c r="P702" s="8"/>
    </row>
    <row r="703" customFormat="false" ht="15.75" hidden="false" customHeight="true" outlineLevel="0" collapsed="false">
      <c r="A703" s="7" t="s">
        <v>1463</v>
      </c>
      <c r="B703" s="8" t="s">
        <v>1460</v>
      </c>
      <c r="C703" s="8" t="n">
        <v>1969</v>
      </c>
      <c r="D703" s="9" t="s">
        <v>1464</v>
      </c>
      <c r="E703" s="7" t="s">
        <v>76</v>
      </c>
      <c r="F703" s="10" t="n">
        <f aca="false">IF(ISBLANK($G703),,VLOOKUP($G703, Rarities!$A$1:$B869, 2, FALSE()))</f>
        <v>2</v>
      </c>
      <c r="G703" s="8" t="s">
        <v>36</v>
      </c>
      <c r="H703" s="8" t="str">
        <f aca="false">VLOOKUP(B703,Manufacturers!A$1:B869,2)</f>
        <v>US</v>
      </c>
      <c r="I703" s="11" t="n">
        <v>250000</v>
      </c>
      <c r="J703" s="8"/>
      <c r="K703" s="8"/>
      <c r="L703" s="12"/>
      <c r="M703" s="11"/>
      <c r="N703" s="11"/>
      <c r="O703" s="8"/>
      <c r="P703" s="8"/>
    </row>
    <row r="704" customFormat="false" ht="15.75" hidden="false" customHeight="true" outlineLevel="0" collapsed="false">
      <c r="A704" s="7" t="s">
        <v>1465</v>
      </c>
      <c r="B704" s="8" t="s">
        <v>1460</v>
      </c>
      <c r="C704" s="8" t="n">
        <v>1973</v>
      </c>
      <c r="D704" s="9" t="s">
        <v>1466</v>
      </c>
      <c r="E704" s="7" t="s">
        <v>76</v>
      </c>
      <c r="F704" s="10" t="n">
        <f aca="false">IF(ISBLANK($G704),,VLOOKUP($G704, Rarities!$A$1:$B869, 2, FALSE()))</f>
        <v>1</v>
      </c>
      <c r="G704" s="8" t="s">
        <v>17</v>
      </c>
      <c r="H704" s="8" t="str">
        <f aca="false">VLOOKUP(B704,Manufacturers!A$1:B869,2)</f>
        <v>US</v>
      </c>
      <c r="I704" s="11" t="n">
        <v>250000</v>
      </c>
      <c r="J704" s="8"/>
      <c r="K704" s="8"/>
      <c r="L704" s="12"/>
      <c r="M704" s="11"/>
      <c r="N704" s="11"/>
      <c r="O704" s="8"/>
      <c r="P704" s="8"/>
    </row>
    <row r="705" customFormat="false" ht="15.75" hidden="false" customHeight="true" outlineLevel="0" collapsed="false">
      <c r="A705" s="7" t="s">
        <v>1467</v>
      </c>
      <c r="B705" s="8" t="s">
        <v>1460</v>
      </c>
      <c r="C705" s="8" t="n">
        <v>1977</v>
      </c>
      <c r="D705" s="9" t="s">
        <v>1468</v>
      </c>
      <c r="E705" s="7" t="s">
        <v>76</v>
      </c>
      <c r="F705" s="10" t="n">
        <f aca="false">IF(ISBLANK($G705),,VLOOKUP($G705, Rarities!$A$1:$B869, 2, FALSE()))</f>
        <v>2</v>
      </c>
      <c r="G705" s="8" t="s">
        <v>36</v>
      </c>
      <c r="H705" s="8" t="str">
        <f aca="false">VLOOKUP(B705,Manufacturers!A$1:B869,2)</f>
        <v>US</v>
      </c>
      <c r="I705" s="11" t="n">
        <v>45000</v>
      </c>
      <c r="J705" s="8"/>
      <c r="K705" s="8" t="n">
        <v>1</v>
      </c>
      <c r="L705" s="12" t="n">
        <v>9</v>
      </c>
      <c r="M705" s="11" t="e">
        <f aca="false">IF(AND(ISNUMBER(L705),L705&gt;0),(3*J705+K705)*#REF!/L705,"-")</f>
        <v>#REF!</v>
      </c>
      <c r="N705" s="11" t="e">
        <f aca="false">IF(AND(#REF!,ISNUMBER(L705),L705&gt;0),((3*J705+K705)*#REF!-I705)/L705,"-")</f>
        <v>#REF!</v>
      </c>
      <c r="O705" s="8"/>
      <c r="P705" s="8"/>
    </row>
    <row r="706" customFormat="false" ht="15.75" hidden="false" customHeight="true" outlineLevel="0" collapsed="false">
      <c r="A706" s="7" t="s">
        <v>1469</v>
      </c>
      <c r="B706" s="8" t="s">
        <v>1460</v>
      </c>
      <c r="C706" s="8" t="n">
        <v>1987</v>
      </c>
      <c r="D706" s="9" t="s">
        <v>1470</v>
      </c>
      <c r="E706" s="7" t="s">
        <v>111</v>
      </c>
      <c r="F706" s="10" t="n">
        <f aca="false">IF(ISBLANK($G706),,VLOOKUP($G706, Rarities!$A$1:$B869, 2, FALSE()))</f>
        <v>5</v>
      </c>
      <c r="G706" s="8" t="s">
        <v>239</v>
      </c>
      <c r="H706" s="8" t="str">
        <f aca="false">VLOOKUP(B706,Manufacturers!A$1:B869,2)</f>
        <v>US</v>
      </c>
      <c r="I706" s="11" t="n">
        <v>500000</v>
      </c>
      <c r="J706" s="8" t="n">
        <v>2</v>
      </c>
      <c r="K706" s="8"/>
      <c r="L706" s="12" t="n">
        <v>20</v>
      </c>
      <c r="M706" s="11" t="e">
        <f aca="false">IF(AND(ISNUMBER(L706),L706&gt;0),(3*J706+K706)*#REF!/L706,"-")</f>
        <v>#REF!</v>
      </c>
      <c r="N706" s="11" t="e">
        <f aca="false">IF(AND(#REF!,ISNUMBER(L706),L706&gt;0),((3*J706+K706)*#REF!-I706)/L706,"-")</f>
        <v>#REF!</v>
      </c>
      <c r="O706" s="8"/>
      <c r="P706" s="8"/>
    </row>
    <row r="707" customFormat="false" ht="15.75" hidden="false" customHeight="true" outlineLevel="0" collapsed="false">
      <c r="A707" s="7" t="s">
        <v>1471</v>
      </c>
      <c r="B707" s="8" t="s">
        <v>1460</v>
      </c>
      <c r="C707" s="8" t="n">
        <v>1987</v>
      </c>
      <c r="D707" s="9" t="s">
        <v>1472</v>
      </c>
      <c r="E707" s="7" t="s">
        <v>295</v>
      </c>
      <c r="F707" s="10" t="n">
        <f aca="false">IF(ISBLANK($G707),,VLOOKUP($G707, Rarities!$A$1:$B869, 2, FALSE()))</f>
        <v>1</v>
      </c>
      <c r="G707" s="8" t="s">
        <v>17</v>
      </c>
      <c r="H707" s="8" t="str">
        <f aca="false">VLOOKUP(B707,Manufacturers!A$1:B869,2)</f>
        <v>US</v>
      </c>
      <c r="I707" s="11" t="n">
        <v>25000</v>
      </c>
      <c r="J707" s="8" t="n">
        <v>1</v>
      </c>
      <c r="K707" s="8"/>
      <c r="L707" s="12" t="n">
        <v>14</v>
      </c>
      <c r="M707" s="11" t="e">
        <f aca="false">IF(AND(ISNUMBER(L707),L707&gt;0),(3*J707+K707)*#REF!/L707,"-")</f>
        <v>#REF!</v>
      </c>
      <c r="N707" s="11" t="e">
        <f aca="false">IF(AND(#REF!,ISNUMBER(L707),L707&gt;0),((3*J707+K707)*#REF!-I707)/L707,"-")</f>
        <v>#REF!</v>
      </c>
      <c r="O707" s="8"/>
      <c r="P707" s="8"/>
    </row>
    <row r="708" customFormat="false" ht="15.75" hidden="false" customHeight="true" outlineLevel="0" collapsed="false">
      <c r="A708" s="7" t="s">
        <v>1473</v>
      </c>
      <c r="B708" s="8" t="s">
        <v>1474</v>
      </c>
      <c r="C708" s="8" t="n">
        <v>1951</v>
      </c>
      <c r="D708" s="9" t="s">
        <v>1475</v>
      </c>
      <c r="E708" s="7" t="s">
        <v>40</v>
      </c>
      <c r="F708" s="10" t="n">
        <f aca="false">IF(ISBLANK($G708),,VLOOKUP($G708, Rarities!$A$1:$B869, 2, FALSE()))</f>
        <v>4</v>
      </c>
      <c r="G708" s="8" t="s">
        <v>41</v>
      </c>
      <c r="H708" s="8" t="str">
        <f aca="false">VLOOKUP(B708,Manufacturers!A$1:B869,2)</f>
        <v>DE</v>
      </c>
      <c r="I708" s="11" t="n">
        <v>1000000</v>
      </c>
      <c r="J708" s="8"/>
      <c r="K708" s="8"/>
      <c r="L708" s="12"/>
      <c r="M708" s="11"/>
      <c r="N708" s="11"/>
      <c r="O708" s="8"/>
      <c r="P708" s="8"/>
    </row>
    <row r="709" customFormat="false" ht="15.75" hidden="false" customHeight="true" outlineLevel="0" collapsed="false">
      <c r="A709" s="7" t="s">
        <v>1476</v>
      </c>
      <c r="B709" s="8" t="s">
        <v>1474</v>
      </c>
      <c r="C709" s="8" t="n">
        <v>1955</v>
      </c>
      <c r="D709" s="9" t="s">
        <v>1477</v>
      </c>
      <c r="E709" s="7" t="s">
        <v>40</v>
      </c>
      <c r="F709" s="10" t="n">
        <f aca="false">IF(ISBLANK($G709),,VLOOKUP($G709, Rarities!$A$1:$B869, 2, FALSE()))</f>
        <v>4</v>
      </c>
      <c r="G709" s="8" t="s">
        <v>41</v>
      </c>
      <c r="H709" s="8" t="str">
        <f aca="false">VLOOKUP(B709,Manufacturers!A$1:B869,2)</f>
        <v>DE</v>
      </c>
      <c r="I709" s="11" t="n">
        <v>600000</v>
      </c>
      <c r="J709" s="8"/>
      <c r="K709" s="8"/>
      <c r="L709" s="12"/>
      <c r="M709" s="11"/>
      <c r="N709" s="11"/>
      <c r="O709" s="8"/>
      <c r="P709" s="8"/>
    </row>
    <row r="710" customFormat="false" ht="15.75" hidden="false" customHeight="true" outlineLevel="0" collapsed="false">
      <c r="A710" s="7" t="s">
        <v>1478</v>
      </c>
      <c r="B710" s="8" t="s">
        <v>1474</v>
      </c>
      <c r="C710" s="8" t="n">
        <v>1959</v>
      </c>
      <c r="D710" s="9" t="s">
        <v>1479</v>
      </c>
      <c r="E710" s="7" t="s">
        <v>44</v>
      </c>
      <c r="F710" s="10" t="n">
        <f aca="false">IF(ISBLANK($G710),,VLOOKUP($G710, Rarities!$A$1:$B869, 2, FALSE()))</f>
        <v>3</v>
      </c>
      <c r="G710" s="8" t="s">
        <v>53</v>
      </c>
      <c r="H710" s="8" t="str">
        <f aca="false">VLOOKUP(B710,Manufacturers!A$1:B869,2)</f>
        <v>DE</v>
      </c>
      <c r="I710" s="11" t="n">
        <v>240000</v>
      </c>
      <c r="J710" s="8"/>
      <c r="K710" s="8" t="n">
        <v>3</v>
      </c>
      <c r="L710" s="12" t="n">
        <v>28</v>
      </c>
      <c r="M710" s="11" t="e">
        <f aca="false">IF(AND(ISNUMBER(L710),L710&gt;0),(3*J710+K710)*#REF!/L710,"-")</f>
        <v>#REF!</v>
      </c>
      <c r="N710" s="11" t="e">
        <f aca="false">IF(AND(#REF!,ISNUMBER(L710),L710&gt;0),((3*J710+K710)*#REF!-I710)/L710,"-")</f>
        <v>#REF!</v>
      </c>
      <c r="O710" s="8"/>
      <c r="P710" s="8"/>
    </row>
    <row r="711" customFormat="false" ht="15.75" hidden="false" customHeight="true" outlineLevel="0" collapsed="false">
      <c r="A711" s="7" t="s">
        <v>1480</v>
      </c>
      <c r="B711" s="8" t="s">
        <v>1474</v>
      </c>
      <c r="C711" s="8" t="n">
        <v>1960</v>
      </c>
      <c r="D711" s="9" t="s">
        <v>1481</v>
      </c>
      <c r="E711" s="7" t="s">
        <v>184</v>
      </c>
      <c r="F711" s="10" t="n">
        <f aca="false">IF(ISBLANK($G711),,VLOOKUP($G711, Rarities!$A$1:$B869, 2, FALSE()))</f>
        <v>3</v>
      </c>
      <c r="G711" s="8" t="s">
        <v>53</v>
      </c>
      <c r="H711" s="8" t="str">
        <f aca="false">VLOOKUP(B711,Manufacturers!A$1:B869,2)</f>
        <v>DE</v>
      </c>
      <c r="I711" s="11" t="n">
        <v>400000</v>
      </c>
      <c r="J711" s="8"/>
      <c r="K711" s="8"/>
      <c r="L711" s="12"/>
      <c r="M711" s="11"/>
      <c r="N711" s="11"/>
      <c r="O711" s="8"/>
      <c r="P711" s="8"/>
    </row>
    <row r="712" customFormat="false" ht="15.75" hidden="false" customHeight="true" outlineLevel="0" collapsed="false">
      <c r="A712" s="7" t="s">
        <v>1482</v>
      </c>
      <c r="B712" s="8" t="s">
        <v>1474</v>
      </c>
      <c r="C712" s="8" t="n">
        <v>1966</v>
      </c>
      <c r="D712" s="9" t="s">
        <v>1483</v>
      </c>
      <c r="E712" s="7" t="s">
        <v>40</v>
      </c>
      <c r="F712" s="10" t="n">
        <f aca="false">IF(ISBLANK($G712),,VLOOKUP($G712, Rarities!$A$1:$B869, 2, FALSE()))</f>
        <v>4</v>
      </c>
      <c r="G712" s="8" t="s">
        <v>41</v>
      </c>
      <c r="H712" s="8" t="str">
        <f aca="false">VLOOKUP(B712,Manufacturers!A$1:B869,2)</f>
        <v>DE</v>
      </c>
      <c r="I712" s="11" t="n">
        <v>2000000</v>
      </c>
      <c r="J712" s="8"/>
      <c r="K712" s="8"/>
      <c r="L712" s="12"/>
      <c r="M712" s="11"/>
      <c r="N712" s="11"/>
      <c r="O712" s="8"/>
      <c r="P712" s="8"/>
    </row>
    <row r="713" customFormat="false" ht="15.75" hidden="false" customHeight="true" outlineLevel="0" collapsed="false">
      <c r="A713" s="7" t="s">
        <v>1484</v>
      </c>
      <c r="B713" s="8" t="s">
        <v>1474</v>
      </c>
      <c r="C713" s="8" t="n">
        <v>1970</v>
      </c>
      <c r="D713" s="9" t="s">
        <v>1485</v>
      </c>
      <c r="E713" s="7" t="s">
        <v>40</v>
      </c>
      <c r="F713" s="10" t="n">
        <f aca="false">IF(ISBLANK($G713),,VLOOKUP($G713, Rarities!$A$1:$B869, 2, FALSE()))</f>
        <v>4</v>
      </c>
      <c r="G713" s="8" t="s">
        <v>41</v>
      </c>
      <c r="H713" s="8" t="str">
        <f aca="false">VLOOKUP(B713,Manufacturers!A$1:B869,2)</f>
        <v>DE</v>
      </c>
      <c r="I713" s="11" t="n">
        <v>15000000</v>
      </c>
      <c r="J713" s="8" t="n">
        <v>2</v>
      </c>
      <c r="K713" s="8" t="n">
        <v>1</v>
      </c>
      <c r="L713" s="12" t="n">
        <v>23</v>
      </c>
      <c r="M713" s="11" t="e">
        <f aca="false">IF(AND(ISNUMBER(L713),L713&gt;0),(3*J713+K713)*#REF!/L713,"-")</f>
        <v>#REF!</v>
      </c>
      <c r="N713" s="11" t="e">
        <f aca="false">IF(AND(#REF!,ISNUMBER(L713),L713&gt;0),((3*J713+K713)*#REF!-I713)/L713,"-")</f>
        <v>#REF!</v>
      </c>
      <c r="O713" s="8"/>
      <c r="P713" s="8"/>
    </row>
    <row r="714" customFormat="false" ht="15.75" hidden="false" customHeight="true" outlineLevel="0" collapsed="false">
      <c r="A714" s="7" t="s">
        <v>1486</v>
      </c>
      <c r="B714" s="8" t="s">
        <v>1474</v>
      </c>
      <c r="C714" s="8" t="n">
        <v>1970</v>
      </c>
      <c r="D714" s="9" t="s">
        <v>1487</v>
      </c>
      <c r="E714" s="7" t="s">
        <v>184</v>
      </c>
      <c r="F714" s="10" t="n">
        <f aca="false">IF(ISBLANK($G714),,VLOOKUP($G714, Rarities!$A$1:$B869, 2, FALSE()))</f>
        <v>2</v>
      </c>
      <c r="G714" s="8" t="s">
        <v>36</v>
      </c>
      <c r="H714" s="8" t="str">
        <f aca="false">VLOOKUP(B714,Manufacturers!A$1:B869,2)</f>
        <v>DE</v>
      </c>
      <c r="I714" s="11" t="n">
        <v>24000</v>
      </c>
      <c r="J714" s="8"/>
      <c r="K714" s="8" t="n">
        <v>1</v>
      </c>
      <c r="L714" s="12" t="n">
        <v>9</v>
      </c>
      <c r="M714" s="11" t="e">
        <f aca="false">IF(AND(ISNUMBER(L714),L714&gt;0),(3*J714+K714)*#REF!/L714,"-")</f>
        <v>#REF!</v>
      </c>
      <c r="N714" s="11" t="e">
        <f aca="false">IF(AND(#REF!,ISNUMBER(L714),L714&gt;0),((3*J714+K714)*#REF!-I714)/L714,"-")</f>
        <v>#REF!</v>
      </c>
      <c r="O714" s="8"/>
      <c r="P714" s="8"/>
    </row>
    <row r="715" customFormat="false" ht="15.75" hidden="false" customHeight="true" outlineLevel="0" collapsed="false">
      <c r="A715" s="7" t="s">
        <v>1488</v>
      </c>
      <c r="B715" s="8" t="s">
        <v>1474</v>
      </c>
      <c r="C715" s="8" t="n">
        <v>1971</v>
      </c>
      <c r="D715" s="9" t="s">
        <v>1489</v>
      </c>
      <c r="E715" s="7" t="s">
        <v>40</v>
      </c>
      <c r="F715" s="10" t="n">
        <f aca="false">IF(ISBLANK($G715),,VLOOKUP($G715, Rarities!$A$1:$B869, 2, FALSE()))</f>
        <v>4</v>
      </c>
      <c r="G715" s="8" t="s">
        <v>41</v>
      </c>
      <c r="H715" s="8" t="str">
        <f aca="false">VLOOKUP(B715,Manufacturers!A$1:B869,2)</f>
        <v>DE</v>
      </c>
      <c r="I715" s="11" t="n">
        <v>15000000</v>
      </c>
      <c r="J715" s="8"/>
      <c r="K715" s="8"/>
      <c r="L715" s="12"/>
      <c r="M715" s="11"/>
      <c r="N715" s="11"/>
      <c r="O715" s="8"/>
      <c r="P715" s="8"/>
    </row>
    <row r="716" customFormat="false" ht="15.75" hidden="false" customHeight="true" outlineLevel="0" collapsed="false">
      <c r="A716" s="7" t="s">
        <v>1490</v>
      </c>
      <c r="B716" s="8" t="s">
        <v>1474</v>
      </c>
      <c r="C716" s="8" t="n">
        <v>1973</v>
      </c>
      <c r="D716" s="9" t="s">
        <v>1491</v>
      </c>
      <c r="E716" s="7" t="s">
        <v>44</v>
      </c>
      <c r="F716" s="10" t="n">
        <f aca="false">IF(ISBLANK($G716),,VLOOKUP($G716, Rarities!$A$1:$B869, 2, FALSE()))</f>
        <v>4</v>
      </c>
      <c r="G716" s="8" t="s">
        <v>41</v>
      </c>
      <c r="H716" s="8" t="str">
        <f aca="false">VLOOKUP(B716,Manufacturers!A$1:B869,2)</f>
        <v>DE</v>
      </c>
      <c r="I716" s="11" t="n">
        <v>350000</v>
      </c>
      <c r="J716" s="8" t="n">
        <v>1</v>
      </c>
      <c r="K716" s="8"/>
      <c r="L716" s="12" t="n">
        <v>10</v>
      </c>
      <c r="M716" s="11" t="e">
        <f aca="false">IF(AND(ISNUMBER(L716),L716&gt;0),(3*J716+K716)*#REF!/L716,"-")</f>
        <v>#REF!</v>
      </c>
      <c r="N716" s="11" t="e">
        <f aca="false">IF(AND(#REF!,ISNUMBER(L716),L716&gt;0),((3*J716+K716)*#REF!-I716)/L716,"-")</f>
        <v>#REF!</v>
      </c>
      <c r="O716" s="8"/>
      <c r="P716" s="8"/>
    </row>
    <row r="717" customFormat="false" ht="15.75" hidden="false" customHeight="true" outlineLevel="0" collapsed="false">
      <c r="A717" s="7" t="s">
        <v>1492</v>
      </c>
      <c r="B717" s="8" t="s">
        <v>1474</v>
      </c>
      <c r="C717" s="8" t="n">
        <v>1982</v>
      </c>
      <c r="D717" s="9" t="s">
        <v>1493</v>
      </c>
      <c r="E717" s="7" t="s">
        <v>215</v>
      </c>
      <c r="F717" s="10" t="n">
        <f aca="false">IF(ISBLANK($G717),,VLOOKUP($G717, Rarities!$A$1:$B869, 2, FALSE()))</f>
        <v>3</v>
      </c>
      <c r="G717" s="8" t="s">
        <v>53</v>
      </c>
      <c r="H717" s="8" t="str">
        <f aca="false">VLOOKUP(B717,Manufacturers!A$1:B869,2)</f>
        <v>DE</v>
      </c>
      <c r="I717" s="11" t="n">
        <v>150000</v>
      </c>
      <c r="J717" s="8"/>
      <c r="K717" s="8" t="n">
        <v>1</v>
      </c>
      <c r="L717" s="12" t="n">
        <v>9</v>
      </c>
      <c r="M717" s="11" t="e">
        <f aca="false">IF(AND(ISNUMBER(L717),L717&gt;0),(3*J717+K717)*#REF!/L717,"-")</f>
        <v>#REF!</v>
      </c>
      <c r="N717" s="11" t="e">
        <f aca="false">IF(AND(#REF!,ISNUMBER(L717),L717&gt;0),((3*J717+K717)*#REF!-I717)/L717,"-")</f>
        <v>#REF!</v>
      </c>
      <c r="O717" s="8"/>
      <c r="P717" s="8"/>
    </row>
    <row r="718" customFormat="false" ht="15.75" hidden="false" customHeight="true" outlineLevel="0" collapsed="false">
      <c r="A718" s="7" t="s">
        <v>1494</v>
      </c>
      <c r="B718" s="8" t="s">
        <v>1474</v>
      </c>
      <c r="C718" s="8" t="n">
        <v>1985</v>
      </c>
      <c r="D718" s="9" t="s">
        <v>1495</v>
      </c>
      <c r="E718" s="7" t="s">
        <v>139</v>
      </c>
      <c r="F718" s="10" t="n">
        <f aca="false">IF(ISBLANK($G718),,VLOOKUP($G718, Rarities!$A$1:$B869, 2, FALSE()))</f>
        <v>4</v>
      </c>
      <c r="G718" s="8" t="s">
        <v>41</v>
      </c>
      <c r="H718" s="8" t="str">
        <f aca="false">VLOOKUP(B718,Manufacturers!A$1:B869,2)</f>
        <v>DE</v>
      </c>
      <c r="I718" s="11" t="n">
        <v>1500000</v>
      </c>
      <c r="J718" s="8"/>
      <c r="K718" s="8" t="n">
        <v>3</v>
      </c>
      <c r="L718" s="12" t="n">
        <v>30</v>
      </c>
      <c r="M718" s="11" t="e">
        <f aca="false">IF(AND(ISNUMBER(L718),L718&gt;0),(3*J718+K718)*#REF!/L718,"-")</f>
        <v>#REF!</v>
      </c>
      <c r="N718" s="11" t="e">
        <f aca="false">IF(AND(#REF!,ISNUMBER(L718),L718&gt;0),((3*J718+K718)*#REF!-I718)/L718,"-")</f>
        <v>#REF!</v>
      </c>
      <c r="O718" s="8"/>
      <c r="P718" s="8"/>
    </row>
    <row r="719" customFormat="false" ht="15.75" hidden="false" customHeight="true" outlineLevel="0" collapsed="false">
      <c r="A719" s="7" t="s">
        <v>1496</v>
      </c>
      <c r="B719" s="8" t="s">
        <v>1474</v>
      </c>
      <c r="C719" s="8" t="n">
        <v>1987</v>
      </c>
      <c r="D719" s="9" t="s">
        <v>1497</v>
      </c>
      <c r="E719" s="7" t="s">
        <v>215</v>
      </c>
      <c r="F719" s="10" t="n">
        <f aca="false">IF(ISBLANK($G719),,VLOOKUP($G719, Rarities!$A$1:$B869, 2, FALSE()))</f>
        <v>4</v>
      </c>
      <c r="G719" s="8" t="s">
        <v>41</v>
      </c>
      <c r="H719" s="8" t="str">
        <f aca="false">VLOOKUP(B719,Manufacturers!A$1:B869,2)</f>
        <v>DE</v>
      </c>
      <c r="I719" s="11" t="n">
        <v>2000000</v>
      </c>
      <c r="J719" s="8"/>
      <c r="K719" s="8" t="n">
        <v>3</v>
      </c>
      <c r="L719" s="12" t="n">
        <v>13</v>
      </c>
      <c r="M719" s="11" t="e">
        <f aca="false">IF(AND(ISNUMBER(L719),L719&gt;0),(3*J719+K719)*#REF!/L719,"-")</f>
        <v>#REF!</v>
      </c>
      <c r="N719" s="11" t="e">
        <f aca="false">IF(AND(#REF!,ISNUMBER(L719),L719&gt;0),((3*J719+K719)*#REF!-I719)/L719,"-")</f>
        <v>#REF!</v>
      </c>
      <c r="O719" s="8"/>
      <c r="P719" s="8"/>
    </row>
    <row r="720" customFormat="false" ht="15.75" hidden="false" customHeight="true" outlineLevel="0" collapsed="false">
      <c r="A720" s="7" t="s">
        <v>1498</v>
      </c>
      <c r="B720" s="8" t="s">
        <v>1474</v>
      </c>
      <c r="C720" s="8" t="n">
        <v>1989</v>
      </c>
      <c r="D720" s="9" t="s">
        <v>1499</v>
      </c>
      <c r="E720" s="7" t="s">
        <v>139</v>
      </c>
      <c r="F720" s="10" t="n">
        <f aca="false">IF(ISBLANK($G720),,VLOOKUP($G720, Rarities!$A$1:$B869, 2, FALSE()))</f>
        <v>3</v>
      </c>
      <c r="G720" s="8" t="s">
        <v>53</v>
      </c>
      <c r="H720" s="8" t="str">
        <f aca="false">VLOOKUP(B720,Manufacturers!A$1:B869,2)</f>
        <v>DE</v>
      </c>
      <c r="I720" s="11" t="n">
        <v>500000</v>
      </c>
      <c r="J720" s="8"/>
      <c r="K720" s="8" t="n">
        <v>3</v>
      </c>
      <c r="L720" s="12" t="n">
        <v>30</v>
      </c>
      <c r="M720" s="11" t="e">
        <f aca="false">IF(AND(ISNUMBER(L720),L720&gt;0),(3*J720+K720)*#REF!/L720,"-")</f>
        <v>#REF!</v>
      </c>
      <c r="N720" s="11" t="e">
        <f aca="false">IF(AND(#REF!,ISNUMBER(L720),L720&gt;0),((3*J720+K720)*#REF!-I720)/L720,"-")</f>
        <v>#REF!</v>
      </c>
      <c r="O720" s="8"/>
      <c r="P720" s="8"/>
    </row>
    <row r="721" customFormat="false" ht="15.75" hidden="false" customHeight="true" outlineLevel="0" collapsed="false">
      <c r="A721" s="7" t="s">
        <v>1500</v>
      </c>
      <c r="B721" s="8" t="s">
        <v>1474</v>
      </c>
      <c r="C721" s="8" t="n">
        <v>1989</v>
      </c>
      <c r="D721" s="9" t="s">
        <v>1501</v>
      </c>
      <c r="E721" s="7" t="s">
        <v>222</v>
      </c>
      <c r="F721" s="10" t="n">
        <f aca="false">IF(ISBLANK($G721),,VLOOKUP($G721, Rarities!$A$1:$B869, 2, FALSE()))</f>
        <v>2</v>
      </c>
      <c r="G721" s="8" t="s">
        <v>36</v>
      </c>
      <c r="H721" s="8" t="str">
        <f aca="false">VLOOKUP(B721,Manufacturers!A$1:B869,2)</f>
        <v>DE</v>
      </c>
      <c r="I721" s="11" t="n">
        <v>35000</v>
      </c>
      <c r="J721" s="8"/>
      <c r="K721" s="8" t="n">
        <v>2</v>
      </c>
      <c r="L721" s="12" t="n">
        <v>11</v>
      </c>
      <c r="M721" s="11" t="e">
        <f aca="false">IF(AND(ISNUMBER(L721),L721&gt;0),(3*J721+K721)*#REF!/L721,"-")</f>
        <v>#REF!</v>
      </c>
      <c r="N721" s="11" t="e">
        <f aca="false">IF(AND(#REF!,ISNUMBER(L721),L721&gt;0),((3*J721+K721)*#REF!-I721)/L721,"-")</f>
        <v>#REF!</v>
      </c>
      <c r="O721" s="8"/>
      <c r="P721" s="8"/>
    </row>
    <row r="722" customFormat="false" ht="15.75" hidden="false" customHeight="true" outlineLevel="0" collapsed="false">
      <c r="A722" s="7" t="s">
        <v>1502</v>
      </c>
      <c r="B722" s="8" t="s">
        <v>1474</v>
      </c>
      <c r="C722" s="8" t="n">
        <v>1990</v>
      </c>
      <c r="D722" s="9" t="s">
        <v>1503</v>
      </c>
      <c r="E722" s="7" t="s">
        <v>35</v>
      </c>
      <c r="F722" s="10" t="n">
        <f aca="false">IF(ISBLANK($G722),,VLOOKUP($G722, Rarities!$A$1:$B869, 2, FALSE()))</f>
        <v>3</v>
      </c>
      <c r="G722" s="8" t="s">
        <v>53</v>
      </c>
      <c r="H722" s="8" t="str">
        <f aca="false">VLOOKUP(B722,Manufacturers!A$1:B869,2)</f>
        <v>DE</v>
      </c>
      <c r="I722" s="11" t="n">
        <v>1800000</v>
      </c>
      <c r="J722" s="8"/>
      <c r="K722" s="8"/>
      <c r="L722" s="12"/>
      <c r="M722" s="11"/>
      <c r="N722" s="11"/>
      <c r="O722" s="8"/>
      <c r="P722" s="8"/>
    </row>
    <row r="723" customFormat="false" ht="15.75" hidden="false" customHeight="true" outlineLevel="0" collapsed="false">
      <c r="A723" s="7" t="s">
        <v>1504</v>
      </c>
      <c r="B723" s="8" t="s">
        <v>1474</v>
      </c>
      <c r="C723" s="8" t="n">
        <v>1993</v>
      </c>
      <c r="D723" s="9" t="s">
        <v>1505</v>
      </c>
      <c r="E723" s="7" t="s">
        <v>222</v>
      </c>
      <c r="F723" s="10" t="n">
        <f aca="false">IF(ISBLANK($G723),,VLOOKUP($G723, Rarities!$A$1:$B869, 2, FALSE()))</f>
        <v>2</v>
      </c>
      <c r="G723" s="8" t="s">
        <v>36</v>
      </c>
      <c r="H723" s="8" t="str">
        <f aca="false">VLOOKUP(B723,Manufacturers!A$1:B869,2)</f>
        <v>DE</v>
      </c>
      <c r="I723" s="11" t="n">
        <v>140000</v>
      </c>
      <c r="J723" s="8"/>
      <c r="K723" s="8" t="n">
        <v>2</v>
      </c>
      <c r="L723" s="12" t="n">
        <v>11</v>
      </c>
      <c r="M723" s="11" t="e">
        <f aca="false">IF(AND(ISNUMBER(L723),L723&gt;0),(3*J723+K723)*#REF!/L723,"-")</f>
        <v>#REF!</v>
      </c>
      <c r="N723" s="11" t="e">
        <f aca="false">IF(AND(#REF!,ISNUMBER(L723),L723&gt;0),((3*J723+K723)*#REF!-I723)/L723,"-")</f>
        <v>#REF!</v>
      </c>
      <c r="O723" s="8"/>
      <c r="P723" s="8"/>
    </row>
    <row r="724" customFormat="false" ht="15.75" hidden="false" customHeight="true" outlineLevel="0" collapsed="false">
      <c r="A724" s="7" t="s">
        <v>1506</v>
      </c>
      <c r="B724" s="8" t="s">
        <v>1474</v>
      </c>
      <c r="C724" s="8" t="n">
        <v>1995</v>
      </c>
      <c r="D724" s="9" t="s">
        <v>1507</v>
      </c>
      <c r="E724" s="7" t="s">
        <v>26</v>
      </c>
      <c r="F724" s="10" t="n">
        <f aca="false">IF(ISBLANK($G724),,VLOOKUP($G724, Rarities!$A$1:$B869, 2, FALSE()))</f>
        <v>3</v>
      </c>
      <c r="G724" s="8" t="s">
        <v>53</v>
      </c>
      <c r="H724" s="8" t="str">
        <f aca="false">VLOOKUP(B724,Manufacturers!A$1:B869,2)</f>
        <v>DE</v>
      </c>
      <c r="I724" s="11" t="n">
        <v>575000</v>
      </c>
      <c r="J724" s="8"/>
      <c r="K724" s="8"/>
      <c r="L724" s="12"/>
      <c r="M724" s="11"/>
      <c r="N724" s="11"/>
      <c r="O724" s="8"/>
      <c r="P724" s="8"/>
    </row>
    <row r="725" customFormat="false" ht="15.75" hidden="false" customHeight="true" outlineLevel="0" collapsed="false">
      <c r="A725" s="7" t="s">
        <v>1508</v>
      </c>
      <c r="B725" s="8" t="s">
        <v>1474</v>
      </c>
      <c r="C725" s="8" t="n">
        <v>1995</v>
      </c>
      <c r="D725" s="9" t="s">
        <v>1509</v>
      </c>
      <c r="E725" s="7" t="s">
        <v>215</v>
      </c>
      <c r="F725" s="10" t="n">
        <f aca="false">IF(ISBLANK($G725),,VLOOKUP($G725, Rarities!$A$1:$B869, 2, FALSE()))</f>
        <v>3</v>
      </c>
      <c r="G725" s="8" t="s">
        <v>53</v>
      </c>
      <c r="H725" s="8" t="str">
        <f aca="false">VLOOKUP(B725,Manufacturers!A$1:B869,2)</f>
        <v>DE</v>
      </c>
      <c r="I725" s="11" t="n">
        <v>550000</v>
      </c>
      <c r="J725" s="8"/>
      <c r="K725" s="8" t="n">
        <v>1</v>
      </c>
      <c r="L725" s="12" t="n">
        <v>9</v>
      </c>
      <c r="M725" s="11" t="e">
        <f aca="false">IF(AND(ISNUMBER(L725),L725&gt;0),(3*J725+K725)*#REF!/L725,"-")</f>
        <v>#REF!</v>
      </c>
      <c r="N725" s="11" t="e">
        <f aca="false">IF(AND(#REF!,ISNUMBER(L725),L725&gt;0),((3*J725+K725)*#REF!-I725)/L725,"-")</f>
        <v>#REF!</v>
      </c>
      <c r="O725" s="8"/>
      <c r="P725" s="8"/>
    </row>
    <row r="726" customFormat="false" ht="15.75" hidden="false" customHeight="true" outlineLevel="0" collapsed="false">
      <c r="A726" s="7" t="s">
        <v>1510</v>
      </c>
      <c r="B726" s="8" t="s">
        <v>1474</v>
      </c>
      <c r="C726" s="8" t="n">
        <v>1998</v>
      </c>
      <c r="D726" s="9" t="s">
        <v>1511</v>
      </c>
      <c r="E726" s="7" t="s">
        <v>215</v>
      </c>
      <c r="F726" s="10" t="n">
        <f aca="false">IF(ISBLANK($G726),,VLOOKUP($G726, Rarities!$A$1:$B869, 2, FALSE()))</f>
        <v>4</v>
      </c>
      <c r="G726" s="8" t="s">
        <v>41</v>
      </c>
      <c r="H726" s="8" t="str">
        <f aca="false">VLOOKUP(B726,Manufacturers!A$1:B869,2)</f>
        <v>DE</v>
      </c>
      <c r="I726" s="11" t="n">
        <v>2500000</v>
      </c>
      <c r="J726" s="8"/>
      <c r="K726" s="8" t="n">
        <v>2</v>
      </c>
      <c r="L726" s="12" t="n">
        <v>13</v>
      </c>
      <c r="M726" s="11" t="e">
        <f aca="false">IF(AND(ISNUMBER(L726),L726&gt;0),(3*J726+K726)*#REF!/L726,"-")</f>
        <v>#REF!</v>
      </c>
      <c r="N726" s="11" t="e">
        <f aca="false">IF(AND(#REF!,ISNUMBER(L726),L726&gt;0),((3*J726+K726)*#REF!-I726)/L726,"-")</f>
        <v>#REF!</v>
      </c>
      <c r="O726" s="8"/>
      <c r="P726" s="8"/>
    </row>
    <row r="727" customFormat="false" ht="15.75" hidden="false" customHeight="true" outlineLevel="0" collapsed="false">
      <c r="A727" s="7" t="s">
        <v>1512</v>
      </c>
      <c r="B727" s="8" t="s">
        <v>1474</v>
      </c>
      <c r="C727" s="8" t="n">
        <v>2003</v>
      </c>
      <c r="D727" s="9" t="s">
        <v>1513</v>
      </c>
      <c r="E727" s="7" t="s">
        <v>215</v>
      </c>
      <c r="F727" s="10" t="n">
        <f aca="false">IF(ISBLANK($G727),,VLOOKUP($G727, Rarities!$A$1:$B869, 2, FALSE()))</f>
        <v>3</v>
      </c>
      <c r="G727" s="8" t="s">
        <v>53</v>
      </c>
      <c r="H727" s="8" t="str">
        <f aca="false">VLOOKUP(B727,Manufacturers!A$1:B869,2)</f>
        <v>DE</v>
      </c>
      <c r="I727" s="11" t="n">
        <v>1000000</v>
      </c>
      <c r="J727" s="8"/>
      <c r="K727" s="8" t="n">
        <v>1</v>
      </c>
      <c r="L727" s="12" t="n">
        <v>9</v>
      </c>
      <c r="M727" s="11" t="e">
        <f aca="false">IF(AND(ISNUMBER(L727),L727&gt;0),(3*J727+K727)*#REF!/L727,"-")</f>
        <v>#REF!</v>
      </c>
      <c r="N727" s="11" t="e">
        <f aca="false">IF(AND(#REF!,ISNUMBER(L727),L727&gt;0),((3*J727+K727)*#REF!-I727)/L727,"-")</f>
        <v>#REF!</v>
      </c>
      <c r="O727" s="8"/>
      <c r="P727" s="8"/>
    </row>
    <row r="728" customFormat="false" ht="15.75" hidden="false" customHeight="true" outlineLevel="0" collapsed="false">
      <c r="A728" s="7" t="s">
        <v>1514</v>
      </c>
      <c r="B728" s="8" t="s">
        <v>1474</v>
      </c>
      <c r="C728" s="8" t="n">
        <v>2004</v>
      </c>
      <c r="D728" s="9" t="s">
        <v>1515</v>
      </c>
      <c r="E728" s="7" t="s">
        <v>215</v>
      </c>
      <c r="F728" s="10" t="n">
        <f aca="false">IF(ISBLANK($G728),,VLOOKUP($G728, Rarities!$A$1:$B869, 2, FALSE()))</f>
        <v>2</v>
      </c>
      <c r="G728" s="8" t="s">
        <v>36</v>
      </c>
      <c r="H728" s="8" t="str">
        <f aca="false">VLOOKUP(B728,Manufacturers!A$1:B869,2)</f>
        <v>DE</v>
      </c>
      <c r="I728" s="11" t="n">
        <v>65000</v>
      </c>
      <c r="J728" s="8"/>
      <c r="K728" s="8" t="n">
        <v>1</v>
      </c>
      <c r="L728" s="12" t="n">
        <v>9</v>
      </c>
      <c r="M728" s="11" t="e">
        <f aca="false">IF(AND(ISNUMBER(L728),L728&gt;0),(3*J728+K728)*#REF!/L728,"-")</f>
        <v>#REF!</v>
      </c>
      <c r="N728" s="11" t="e">
        <f aca="false">IF(AND(#REF!,ISNUMBER(L728),L728&gt;0),((3*J728+K728)*#REF!-I728)/L728,"-")</f>
        <v>#REF!</v>
      </c>
      <c r="O728" s="8"/>
      <c r="P728" s="8"/>
    </row>
    <row r="729" customFormat="false" ht="15.75" hidden="false" customHeight="true" outlineLevel="0" collapsed="false">
      <c r="A729" s="7" t="s">
        <v>1516</v>
      </c>
      <c r="B729" s="8" t="s">
        <v>1474</v>
      </c>
      <c r="C729" s="8" t="n">
        <v>2010</v>
      </c>
      <c r="D729" s="9" t="s">
        <v>1517</v>
      </c>
      <c r="E729" s="7" t="s">
        <v>35</v>
      </c>
      <c r="F729" s="10" t="n">
        <f aca="false">IF(ISBLANK($G729),,VLOOKUP($G729, Rarities!$A$1:$B869, 2, FALSE()))</f>
        <v>3</v>
      </c>
      <c r="G729" s="8" t="s">
        <v>53</v>
      </c>
      <c r="H729" s="8" t="str">
        <f aca="false">VLOOKUP(B729,Manufacturers!A$1:B869,2)</f>
        <v>DE</v>
      </c>
      <c r="I729" s="11" t="n">
        <v>205000</v>
      </c>
      <c r="J729" s="8"/>
      <c r="K729" s="8"/>
      <c r="L729" s="12"/>
      <c r="M729" s="11" t="str">
        <f aca="false">IF(AND(ISNUMBER(L729),L729&gt;0),(3*J729+K729)*#REF!/L729,"-")</f>
        <v>-</v>
      </c>
      <c r="N729" s="11" t="e">
        <f aca="false">IF(AND(#REF!,ISNUMBER(L729),L729&gt;0),((3*J729+K729)*#REF!-I729)/L729,"-")</f>
        <v>#REF!</v>
      </c>
      <c r="O729" s="8"/>
      <c r="P729" s="8"/>
    </row>
    <row r="730" customFormat="false" ht="15.75" hidden="false" customHeight="true" outlineLevel="0" collapsed="false">
      <c r="A730" s="7" t="s">
        <v>1518</v>
      </c>
      <c r="B730" s="8" t="s">
        <v>1474</v>
      </c>
      <c r="C730" s="8" t="n">
        <v>2012</v>
      </c>
      <c r="D730" s="9" t="s">
        <v>1519</v>
      </c>
      <c r="E730" s="7" t="s">
        <v>111</v>
      </c>
      <c r="F730" s="10" t="n">
        <f aca="false">IF(ISBLANK($G730),,VLOOKUP($G730, Rarities!$A$1:$B869, 2, FALSE()))</f>
        <v>3</v>
      </c>
      <c r="G730" s="8" t="s">
        <v>53</v>
      </c>
      <c r="H730" s="8" t="str">
        <f aca="false">VLOOKUP(B730,Manufacturers!A$1:B869,2)</f>
        <v>DE</v>
      </c>
      <c r="I730" s="11" t="n">
        <v>240000</v>
      </c>
      <c r="J730" s="8"/>
      <c r="K730" s="8" t="n">
        <v>1</v>
      </c>
      <c r="L730" s="12" t="n">
        <v>9</v>
      </c>
      <c r="M730" s="11" t="e">
        <f aca="false">IF(AND(ISNUMBER(L730),L730&gt;0),(3*J730+K730)*#REF!/L730,"-")</f>
        <v>#REF!</v>
      </c>
      <c r="N730" s="11" t="e">
        <f aca="false">IF(AND(#REF!,ISNUMBER(L730),L730&gt;0),((3*J730+K730)*#REF!-I730)/L730,"-")</f>
        <v>#REF!</v>
      </c>
      <c r="O730" s="8"/>
      <c r="P730" s="8"/>
    </row>
    <row r="731" customFormat="false" ht="15.75" hidden="false" customHeight="true" outlineLevel="0" collapsed="false">
      <c r="A731" s="7" t="s">
        <v>1520</v>
      </c>
      <c r="B731" s="8" t="s">
        <v>1474</v>
      </c>
      <c r="C731" s="8" t="n">
        <v>2012</v>
      </c>
      <c r="D731" s="9" t="s">
        <v>1521</v>
      </c>
      <c r="E731" s="7" t="s">
        <v>111</v>
      </c>
      <c r="F731" s="10" t="n">
        <f aca="false">IF(ISBLANK($G731),,VLOOKUP($G731, Rarities!$A$1:$B869, 2, FALSE()))</f>
        <v>3</v>
      </c>
      <c r="G731" s="8" t="s">
        <v>53</v>
      </c>
      <c r="H731" s="8" t="str">
        <f aca="false">VLOOKUP(B731,Manufacturers!A$1:B869,2)</f>
        <v>DE</v>
      </c>
      <c r="I731" s="11" t="n">
        <v>250000</v>
      </c>
      <c r="J731" s="8"/>
      <c r="K731" s="8"/>
      <c r="L731" s="12"/>
      <c r="M731" s="11" t="str">
        <f aca="false">IF(AND(ISNUMBER(L731),L731&gt;0),(3*J731+K731)*#REF!/L731,"-")</f>
        <v>-</v>
      </c>
      <c r="N731" s="11" t="e">
        <f aca="false">IF(AND(#REF!,ISNUMBER(L731),L731&gt;0),((3*J731+K731)*#REF!-I731)/L731,"-")</f>
        <v>#REF!</v>
      </c>
      <c r="O731" s="8"/>
      <c r="P731" s="8"/>
    </row>
    <row r="732" customFormat="false" ht="15.75" hidden="false" customHeight="true" outlineLevel="0" collapsed="false">
      <c r="A732" s="7" t="s">
        <v>1522</v>
      </c>
      <c r="B732" s="8" t="s">
        <v>1474</v>
      </c>
      <c r="C732" s="8" t="n">
        <v>2014</v>
      </c>
      <c r="D732" s="9" t="s">
        <v>1523</v>
      </c>
      <c r="E732" s="7" t="s">
        <v>118</v>
      </c>
      <c r="F732" s="10" t="n">
        <f aca="false">IF(ISBLANK($G732),,VLOOKUP($G732, Rarities!$A$1:$B869, 2, FALSE()))</f>
        <v>4</v>
      </c>
      <c r="G732" s="8" t="s">
        <v>41</v>
      </c>
      <c r="H732" s="8" t="str">
        <f aca="false">VLOOKUP(B732,Manufacturers!A$1:B869,2)</f>
        <v>DE</v>
      </c>
      <c r="I732" s="11" t="n">
        <v>850000</v>
      </c>
      <c r="J732" s="8" t="n">
        <v>2</v>
      </c>
      <c r="K732" s="8" t="n">
        <v>1</v>
      </c>
      <c r="L732" s="12" t="n">
        <v>24</v>
      </c>
      <c r="M732" s="11" t="e">
        <f aca="false">IF(AND(ISNUMBER(L732),L732&gt;0),(3*J732+K732)*#REF!/L732,"-")</f>
        <v>#REF!</v>
      </c>
      <c r="N732" s="11" t="e">
        <f aca="false">IF(AND(#REF!,ISNUMBER(L732),L732&gt;0),((3*J732+K732)*#REF!-I732)/L732,"-")</f>
        <v>#REF!</v>
      </c>
      <c r="O732" s="8"/>
      <c r="P732" s="8"/>
    </row>
    <row r="733" customFormat="false" ht="15.75" hidden="false" customHeight="true" outlineLevel="0" collapsed="false">
      <c r="A733" s="7" t="s">
        <v>1524</v>
      </c>
      <c r="B733" s="8" t="s">
        <v>1474</v>
      </c>
      <c r="C733" s="8" t="n">
        <v>2014</v>
      </c>
      <c r="D733" s="9" t="s">
        <v>1525</v>
      </c>
      <c r="E733" s="7" t="s">
        <v>35</v>
      </c>
      <c r="F733" s="10" t="n">
        <f aca="false">IF(ISBLANK($G733),,VLOOKUP($G733, Rarities!$A$1:$B869, 2, FALSE()))</f>
        <v>2</v>
      </c>
      <c r="G733" s="8" t="s">
        <v>36</v>
      </c>
      <c r="H733" s="8" t="str">
        <f aca="false">VLOOKUP(B733,Manufacturers!A$1:B869,2)</f>
        <v>DE</v>
      </c>
      <c r="I733" s="11" t="n">
        <v>150000</v>
      </c>
      <c r="J733" s="8" t="n">
        <v>2</v>
      </c>
      <c r="K733" s="8"/>
      <c r="L733" s="12" t="n">
        <v>34</v>
      </c>
      <c r="M733" s="11" t="e">
        <f aca="false">IF(AND(ISNUMBER(L733),L733&gt;0),(3*J733+K733)*#REF!/L733,"-")</f>
        <v>#REF!</v>
      </c>
      <c r="N733" s="11" t="e">
        <f aca="false">IF(AND(#REF!,ISNUMBER(L733),L733&gt;0),((3*J733+K733)*#REF!-I733)/L733,"-")</f>
        <v>#REF!</v>
      </c>
      <c r="O733" s="8"/>
      <c r="P733" s="8"/>
    </row>
    <row r="734" customFormat="false" ht="15.75" hidden="false" customHeight="true" outlineLevel="0" collapsed="false">
      <c r="A734" s="7" t="s">
        <v>1526</v>
      </c>
      <c r="B734" s="8" t="s">
        <v>1474</v>
      </c>
      <c r="C734" s="8" t="n">
        <v>2015</v>
      </c>
      <c r="D734" s="9" t="s">
        <v>1527</v>
      </c>
      <c r="E734" s="7" t="s">
        <v>26</v>
      </c>
      <c r="F734" s="10" t="n">
        <f aca="false">IF(ISBLANK($G734),,VLOOKUP($G734, Rarities!$A$1:$B869, 2, FALSE()))</f>
        <v>2</v>
      </c>
      <c r="G734" s="8" t="s">
        <v>36</v>
      </c>
      <c r="H734" s="8" t="str">
        <f aca="false">VLOOKUP(B734,Manufacturers!A$1:B869,2)</f>
        <v>DE</v>
      </c>
      <c r="I734" s="11" t="n">
        <v>80000</v>
      </c>
      <c r="J734" s="8" t="n">
        <v>1</v>
      </c>
      <c r="K734" s="8" t="n">
        <v>1</v>
      </c>
      <c r="L734" s="12" t="n">
        <v>14</v>
      </c>
      <c r="M734" s="11" t="e">
        <f aca="false">IF(AND(ISNUMBER(L734),L734&gt;0),(3*J734+K734)*#REF!/L734,"-")</f>
        <v>#REF!</v>
      </c>
      <c r="N734" s="11" t="e">
        <f aca="false">IF(AND(#REF!,ISNUMBER(L734),L734&gt;0),((3*J734+K734)*#REF!-I734)/L734,"-")</f>
        <v>#REF!</v>
      </c>
      <c r="O734" s="8"/>
      <c r="P734" s="8"/>
    </row>
    <row r="735" customFormat="false" ht="15.75" hidden="false" customHeight="true" outlineLevel="0" collapsed="false">
      <c r="A735" s="7" t="s">
        <v>1528</v>
      </c>
      <c r="B735" s="8" t="s">
        <v>1474</v>
      </c>
      <c r="C735" s="8" t="n">
        <v>2016</v>
      </c>
      <c r="D735" s="9" t="s">
        <v>1529</v>
      </c>
      <c r="E735" s="7" t="s">
        <v>111</v>
      </c>
      <c r="F735" s="10" t="n">
        <f aca="false">IF(ISBLANK($G735),,VLOOKUP($G735, Rarities!$A$1:$B869, 2, FALSE()))</f>
        <v>3</v>
      </c>
      <c r="G735" s="8" t="s">
        <v>53</v>
      </c>
      <c r="H735" s="8" t="str">
        <f aca="false">VLOOKUP(B735,Manufacturers!A$1:B869,2)</f>
        <v>DE</v>
      </c>
      <c r="I735" s="11" t="n">
        <v>235000</v>
      </c>
      <c r="J735" s="8"/>
      <c r="K735" s="8" t="n">
        <v>1</v>
      </c>
      <c r="L735" s="12" t="n">
        <v>9</v>
      </c>
      <c r="M735" s="11" t="e">
        <f aca="false">IF(AND(ISNUMBER(L735),L735&gt;0),(3*J735+K735)*#REF!/L735,"-")</f>
        <v>#REF!</v>
      </c>
      <c r="N735" s="11" t="e">
        <f aca="false">IF(AND(#REF!,ISNUMBER(L735),L735&gt;0),((3*J735+K735)*#REF!-I735)/L735,"-")</f>
        <v>#REF!</v>
      </c>
      <c r="O735" s="8"/>
      <c r="P735" s="8"/>
    </row>
    <row r="736" customFormat="false" ht="15.75" hidden="false" customHeight="true" outlineLevel="0" collapsed="false">
      <c r="A736" s="7" t="s">
        <v>1530</v>
      </c>
      <c r="B736" s="8" t="s">
        <v>1474</v>
      </c>
      <c r="C736" s="8" t="n">
        <v>2016</v>
      </c>
      <c r="D736" s="9" t="s">
        <v>1531</v>
      </c>
      <c r="E736" s="7" t="s">
        <v>111</v>
      </c>
      <c r="F736" s="10" t="n">
        <f aca="false">IF(ISBLANK($G736),,VLOOKUP($G736, Rarities!$A$1:$B869, 2, FALSE()))</f>
        <v>2</v>
      </c>
      <c r="G736" s="8" t="s">
        <v>36</v>
      </c>
      <c r="H736" s="8" t="str">
        <f aca="false">VLOOKUP(B736,Manufacturers!A$1:B869,2)</f>
        <v>DE</v>
      </c>
      <c r="I736" s="11" t="n">
        <v>85000</v>
      </c>
      <c r="J736" s="8"/>
      <c r="K736" s="8" t="n">
        <v>1</v>
      </c>
      <c r="L736" s="12" t="n">
        <v>9</v>
      </c>
      <c r="M736" s="11" t="e">
        <f aca="false">IF(AND(ISNUMBER(L736),L736&gt;0),(3*J736+K736)*#REF!/L736,"-")</f>
        <v>#REF!</v>
      </c>
      <c r="N736" s="11" t="e">
        <f aca="false">IF(AND(#REF!,ISNUMBER(L736),L736&gt;0),((3*J736+K736)*#REF!-I736)/L736,"-")</f>
        <v>#REF!</v>
      </c>
      <c r="O736" s="8"/>
      <c r="P736" s="8"/>
    </row>
    <row r="737" customFormat="false" ht="15.75" hidden="false" customHeight="true" outlineLevel="0" collapsed="false">
      <c r="A737" s="7" t="s">
        <v>1532</v>
      </c>
      <c r="B737" s="8" t="s">
        <v>1474</v>
      </c>
      <c r="C737" s="8" t="n">
        <v>2017</v>
      </c>
      <c r="D737" s="9" t="s">
        <v>1533</v>
      </c>
      <c r="E737" s="7" t="s">
        <v>86</v>
      </c>
      <c r="F737" s="10" t="n">
        <f aca="false">IF(ISBLANK($G737),,VLOOKUP($G737, Rarities!$A$1:$B869, 2, FALSE()))</f>
        <v>3</v>
      </c>
      <c r="G737" s="8" t="s">
        <v>53</v>
      </c>
      <c r="H737" s="8" t="str">
        <f aca="false">VLOOKUP(B737,Manufacturers!A$1:B869,2)</f>
        <v>DE</v>
      </c>
      <c r="I737" s="11" t="n">
        <v>650000</v>
      </c>
      <c r="J737" s="8"/>
      <c r="K737" s="8"/>
      <c r="L737" s="12"/>
      <c r="M737" s="11"/>
      <c r="N737" s="11"/>
      <c r="O737" s="8"/>
      <c r="P737" s="8"/>
    </row>
    <row r="738" customFormat="false" ht="15.75" hidden="false" customHeight="true" outlineLevel="0" collapsed="false">
      <c r="A738" s="7" t="s">
        <v>1534</v>
      </c>
      <c r="B738" s="8" t="s">
        <v>1474</v>
      </c>
      <c r="C738" s="8" t="n">
        <v>2017</v>
      </c>
      <c r="D738" s="9" t="s">
        <v>1535</v>
      </c>
      <c r="E738" s="7" t="s">
        <v>58</v>
      </c>
      <c r="F738" s="10" t="n">
        <f aca="false">IF(ISBLANK($G738),,VLOOKUP($G738, Rarities!$A$1:$B869, 2, FALSE()))</f>
        <v>2</v>
      </c>
      <c r="G738" s="8" t="s">
        <v>36</v>
      </c>
      <c r="H738" s="8" t="str">
        <f aca="false">VLOOKUP(B738,Manufacturers!A$1:B869,2)</f>
        <v>DE</v>
      </c>
      <c r="I738" s="11" t="n">
        <v>150000</v>
      </c>
      <c r="J738" s="8"/>
      <c r="K738" s="8" t="n">
        <v>1</v>
      </c>
      <c r="L738" s="12" t="n">
        <v>9</v>
      </c>
      <c r="M738" s="11" t="e">
        <f aca="false">IF(AND(ISNUMBER(L738),L738&gt;0),(3*J738+K738)*#REF!/L738,"-")</f>
        <v>#REF!</v>
      </c>
      <c r="N738" s="11" t="e">
        <f aca="false">IF(AND(#REF!,ISNUMBER(L738),L738&gt;0),((3*J738+K738)*#REF!-I738)/L738,"-")</f>
        <v>#REF!</v>
      </c>
      <c r="O738" s="8"/>
      <c r="P738" s="8"/>
    </row>
    <row r="739" customFormat="false" ht="15.75" hidden="false" customHeight="true" outlineLevel="0" collapsed="false">
      <c r="A739" s="7" t="s">
        <v>1536</v>
      </c>
      <c r="B739" s="8" t="s">
        <v>1474</v>
      </c>
      <c r="C739" s="8" t="n">
        <v>2018</v>
      </c>
      <c r="D739" s="9" t="s">
        <v>1537</v>
      </c>
      <c r="E739" s="7" t="s">
        <v>26</v>
      </c>
      <c r="F739" s="10" t="n">
        <f aca="false">IF(ISBLANK($G739),,VLOOKUP($G739, Rarities!$A$1:$B869, 2, FALSE()))</f>
        <v>3</v>
      </c>
      <c r="G739" s="8" t="s">
        <v>53</v>
      </c>
      <c r="H739" s="8" t="str">
        <f aca="false">VLOOKUP(B739,Manufacturers!A$1:B869,2)</f>
        <v>DE</v>
      </c>
      <c r="I739" s="11" t="n">
        <v>90000</v>
      </c>
      <c r="J739" s="8"/>
      <c r="K739" s="8" t="n">
        <v>1</v>
      </c>
      <c r="L739" s="12" t="n">
        <v>14</v>
      </c>
      <c r="M739" s="11" t="e">
        <f aca="false">IF(AND(ISNUMBER(L739),L739&gt;0),(3*J739+K739)*#REF!/L739,"-")</f>
        <v>#REF!</v>
      </c>
      <c r="N739" s="11" t="e">
        <f aca="false">IF(AND(#REF!,ISNUMBER(L739),L739&gt;0),((3*J739+K739)*#REF!-I739)/L739,"-")</f>
        <v>#REF!</v>
      </c>
      <c r="O739" s="8"/>
      <c r="P739" s="8"/>
    </row>
    <row r="740" customFormat="false" ht="15.75" hidden="false" customHeight="true" outlineLevel="0" collapsed="false">
      <c r="A740" s="7" t="s">
        <v>1538</v>
      </c>
      <c r="B740" s="8" t="s">
        <v>1474</v>
      </c>
      <c r="C740" s="8" t="n">
        <v>2018</v>
      </c>
      <c r="D740" s="9" t="s">
        <v>1519</v>
      </c>
      <c r="E740" s="7" t="s">
        <v>111</v>
      </c>
      <c r="F740" s="10" t="n">
        <f aca="false">IF(ISBLANK($G740),,VLOOKUP($G740, Rarities!$A$1:$B869, 2, FALSE()))</f>
        <v>3</v>
      </c>
      <c r="G740" s="8" t="s">
        <v>53</v>
      </c>
      <c r="H740" s="8" t="str">
        <f aca="false">VLOOKUP(B740,Manufacturers!A$1:B869,2)</f>
        <v>DE</v>
      </c>
      <c r="I740" s="11" t="n">
        <v>315000</v>
      </c>
      <c r="J740" s="8"/>
      <c r="K740" s="8" t="n">
        <v>1</v>
      </c>
      <c r="L740" s="12" t="n">
        <v>9</v>
      </c>
      <c r="M740" s="11" t="e">
        <f aca="false">IF(AND(ISNUMBER(L740),L740&gt;0),(3*J740+K740)*#REF!/L740,"-")</f>
        <v>#REF!</v>
      </c>
      <c r="N740" s="11" t="e">
        <f aca="false">IF(AND(#REF!,ISNUMBER(L740),L740&gt;0),((3*J740+K740)*#REF!-I740)/L740,"-")</f>
        <v>#REF!</v>
      </c>
      <c r="O740" s="8"/>
      <c r="P740" s="8"/>
    </row>
    <row r="741" customFormat="false" ht="15.75" hidden="false" customHeight="true" outlineLevel="0" collapsed="false">
      <c r="A741" s="7" t="s">
        <v>1539</v>
      </c>
      <c r="B741" s="8" t="s">
        <v>1474</v>
      </c>
      <c r="C741" s="8" t="n">
        <v>2018</v>
      </c>
      <c r="D741" s="9" t="s">
        <v>1540</v>
      </c>
      <c r="E741" s="7" t="s">
        <v>125</v>
      </c>
      <c r="F741" s="10" t="n">
        <f aca="false">IF(ISBLANK($G741),,VLOOKUP($G741, Rarities!$A$1:$B869, 2, FALSE()))</f>
        <v>3</v>
      </c>
      <c r="G741" s="8" t="s">
        <v>53</v>
      </c>
      <c r="H741" s="8" t="str">
        <f aca="false">VLOOKUP(B741,Manufacturers!A$1:B869,2)</f>
        <v>DE</v>
      </c>
      <c r="I741" s="11" t="n">
        <v>220000</v>
      </c>
      <c r="J741" s="8"/>
      <c r="K741" s="8" t="n">
        <v>1</v>
      </c>
      <c r="L741" s="12" t="n">
        <v>11</v>
      </c>
      <c r="M741" s="11" t="e">
        <f aca="false">IF(AND(ISNUMBER(L741),L741&gt;0),(3*J741+K741)*#REF!/L741,"-")</f>
        <v>#REF!</v>
      </c>
      <c r="N741" s="11" t="e">
        <f aca="false">IF(AND(#REF!,ISNUMBER(L741),L741&gt;0),((3*J741+K741)*#REF!-I741)/L741,"-")</f>
        <v>#REF!</v>
      </c>
      <c r="O741" s="8"/>
      <c r="P741" s="8"/>
    </row>
    <row r="742" customFormat="false" ht="15.75" hidden="false" customHeight="true" outlineLevel="0" collapsed="false">
      <c r="A742" s="7" t="s">
        <v>1541</v>
      </c>
      <c r="B742" s="8" t="s">
        <v>1474</v>
      </c>
      <c r="C742" s="8" t="n">
        <v>2018</v>
      </c>
      <c r="D742" s="9" t="s">
        <v>1542</v>
      </c>
      <c r="E742" s="7" t="s">
        <v>687</v>
      </c>
      <c r="F742" s="10" t="n">
        <f aca="false">IF(ISBLANK($G742),,VLOOKUP($G742, Rarities!$A$1:$B869, 2, FALSE()))</f>
        <v>3</v>
      </c>
      <c r="G742" s="8" t="s">
        <v>53</v>
      </c>
      <c r="H742" s="8" t="str">
        <f aca="false">VLOOKUP(B742,Manufacturers!A$1:B869,2)</f>
        <v>DE</v>
      </c>
      <c r="I742" s="11" t="n">
        <v>250000</v>
      </c>
      <c r="J742" s="8" t="n">
        <v>1</v>
      </c>
      <c r="K742" s="8"/>
      <c r="L742" s="12" t="n">
        <v>20</v>
      </c>
      <c r="M742" s="11" t="e">
        <f aca="false">IF(AND(ISNUMBER(L742),L742&gt;0),(3*J742+K742)*#REF!/L742,"-")</f>
        <v>#REF!</v>
      </c>
      <c r="N742" s="11" t="e">
        <f aca="false">IF(AND(#REF!,ISNUMBER(L742),L742&gt;0),((3*J742+K742)*#REF!-I742)/L742,"-")</f>
        <v>#REF!</v>
      </c>
      <c r="O742" s="8"/>
      <c r="P742" s="8"/>
    </row>
    <row r="743" customFormat="false" ht="15.75" hidden="false" customHeight="true" outlineLevel="0" collapsed="false">
      <c r="A743" s="7" t="s">
        <v>1543</v>
      </c>
      <c r="B743" s="8" t="s">
        <v>1474</v>
      </c>
      <c r="C743" s="8" t="n">
        <v>2018</v>
      </c>
      <c r="D743" s="9" t="s">
        <v>1544</v>
      </c>
      <c r="E743" s="7" t="s">
        <v>86</v>
      </c>
      <c r="F743" s="10" t="n">
        <f aca="false">IF(ISBLANK($G743),,VLOOKUP($G743, Rarities!$A$1:$B869, 2, FALSE()))</f>
        <v>2</v>
      </c>
      <c r="G743" s="8" t="s">
        <v>36</v>
      </c>
      <c r="H743" s="8" t="str">
        <f aca="false">VLOOKUP(B743,Manufacturers!A$1:B869,2)</f>
        <v>DE</v>
      </c>
      <c r="I743" s="11" t="n">
        <v>500000</v>
      </c>
      <c r="J743" s="8"/>
      <c r="K743" s="8"/>
      <c r="L743" s="12"/>
      <c r="M743" s="11"/>
      <c r="N743" s="11"/>
      <c r="O743" s="8"/>
      <c r="P743" s="8"/>
    </row>
    <row r="744" customFormat="false" ht="15.75" hidden="false" customHeight="true" outlineLevel="0" collapsed="false">
      <c r="A744" s="7" t="s">
        <v>1545</v>
      </c>
      <c r="B744" s="8" t="s">
        <v>1474</v>
      </c>
      <c r="C744" s="8" t="n">
        <v>2019</v>
      </c>
      <c r="D744" s="9" t="s">
        <v>1546</v>
      </c>
      <c r="E744" s="7" t="s">
        <v>139</v>
      </c>
      <c r="F744" s="10" t="n">
        <f aca="false">IF(ISBLANK($G744),,VLOOKUP($G744, Rarities!$A$1:$B869, 2, FALSE()))</f>
        <v>5</v>
      </c>
      <c r="G744" s="8" t="s">
        <v>239</v>
      </c>
      <c r="H744" s="8" t="str">
        <f aca="false">VLOOKUP(B744,Manufacturers!A$1:B869,2)</f>
        <v>DE</v>
      </c>
      <c r="I744" s="11" t="n">
        <v>255000</v>
      </c>
      <c r="J744" s="8"/>
      <c r="K744" s="8" t="n">
        <v>1</v>
      </c>
      <c r="L744" s="12" t="n">
        <v>9</v>
      </c>
      <c r="M744" s="11" t="e">
        <f aca="false">IF(AND(ISNUMBER(L744),L744&gt;0),(3*J744+K744)*#REF!/L744,"-")</f>
        <v>#REF!</v>
      </c>
      <c r="N744" s="11" t="e">
        <f aca="false">IF(AND(#REF!,ISNUMBER(L744),L744&gt;0),((3*J744+K744)*#REF!-I744)/L744,"-")</f>
        <v>#REF!</v>
      </c>
      <c r="O744" s="8"/>
      <c r="P744" s="8"/>
    </row>
    <row r="745" customFormat="false" ht="15.75" hidden="false" customHeight="true" outlineLevel="0" collapsed="false">
      <c r="A745" s="7" t="s">
        <v>1547</v>
      </c>
      <c r="B745" s="8" t="s">
        <v>1474</v>
      </c>
      <c r="C745" s="8" t="n">
        <v>2019</v>
      </c>
      <c r="D745" s="9" t="s">
        <v>1548</v>
      </c>
      <c r="E745" s="7" t="s">
        <v>86</v>
      </c>
      <c r="F745" s="10" t="n">
        <f aca="false">IF(ISBLANK($G745),,VLOOKUP($G745, Rarities!$A$1:$B869, 2, FALSE()))</f>
        <v>4</v>
      </c>
      <c r="G745" s="8" t="s">
        <v>41</v>
      </c>
      <c r="H745" s="8" t="str">
        <f aca="false">VLOOKUP(B745,Manufacturers!A$1:B869,2)</f>
        <v>DE</v>
      </c>
      <c r="I745" s="11" t="n">
        <v>1000000</v>
      </c>
      <c r="J745" s="8"/>
      <c r="K745" s="8"/>
      <c r="L745" s="12"/>
      <c r="M745" s="11"/>
      <c r="N745" s="11"/>
      <c r="O745" s="8"/>
      <c r="P745" s="8"/>
    </row>
    <row r="746" customFormat="false" ht="15.75" hidden="false" customHeight="true" outlineLevel="0" collapsed="false">
      <c r="A746" s="7" t="s">
        <v>1549</v>
      </c>
      <c r="B746" s="8" t="s">
        <v>1474</v>
      </c>
      <c r="C746" s="8" t="n">
        <v>2019</v>
      </c>
      <c r="D746" s="9" t="s">
        <v>1529</v>
      </c>
      <c r="E746" s="7" t="s">
        <v>111</v>
      </c>
      <c r="F746" s="10" t="n">
        <f aca="false">IF(ISBLANK($G746),,VLOOKUP($G746, Rarities!$A$1:$B869, 2, FALSE()))</f>
        <v>3</v>
      </c>
      <c r="G746" s="8" t="s">
        <v>53</v>
      </c>
      <c r="H746" s="8" t="str">
        <f aca="false">VLOOKUP(B746,Manufacturers!A$1:B869,2)</f>
        <v>DE</v>
      </c>
      <c r="I746" s="11" t="n">
        <v>255000</v>
      </c>
      <c r="J746" s="8"/>
      <c r="K746" s="8" t="n">
        <v>1</v>
      </c>
      <c r="L746" s="12" t="n">
        <v>9</v>
      </c>
      <c r="M746" s="11" t="e">
        <f aca="false">IF(AND(ISNUMBER(L746),L746&gt;0),(3*J746+K746)*#REF!/L746,"-")</f>
        <v>#REF!</v>
      </c>
      <c r="N746" s="11" t="e">
        <f aca="false">IF(AND(#REF!,ISNUMBER(L746),L746&gt;0),((3*J746+K746)*#REF!-I746)/L746,"-")</f>
        <v>#REF!</v>
      </c>
      <c r="O746" s="8"/>
      <c r="P746" s="8"/>
    </row>
    <row r="747" customFormat="false" ht="15.75" hidden="false" customHeight="true" outlineLevel="0" collapsed="false">
      <c r="A747" s="7" t="s">
        <v>1550</v>
      </c>
      <c r="B747" s="8" t="s">
        <v>1474</v>
      </c>
      <c r="C747" s="8" t="n">
        <v>2019</v>
      </c>
      <c r="D747" s="9" t="s">
        <v>1551</v>
      </c>
      <c r="E747" s="7" t="s">
        <v>26</v>
      </c>
      <c r="F747" s="10" t="n">
        <f aca="false">IF(ISBLANK($G747),,VLOOKUP($G747, Rarities!$A$1:$B869, 2, FALSE()))</f>
        <v>2</v>
      </c>
      <c r="G747" s="8" t="s">
        <v>36</v>
      </c>
      <c r="H747" s="8" t="str">
        <f aca="false">VLOOKUP(B747,Manufacturers!A$1:B869,2)</f>
        <v>DE</v>
      </c>
      <c r="I747" s="11" t="n">
        <v>105000</v>
      </c>
      <c r="J747" s="8"/>
      <c r="K747" s="8" t="n">
        <v>1</v>
      </c>
      <c r="L747" s="12" t="n">
        <v>11</v>
      </c>
      <c r="M747" s="11" t="e">
        <f aca="false">IF(AND(ISNUMBER(L747),L747&gt;0),(3*J747+K747)*#REF!/L747,"-")</f>
        <v>#REF!</v>
      </c>
      <c r="N747" s="11" t="e">
        <f aca="false">IF(AND(#REF!,ISNUMBER(L747),L747&gt;0),((3*J747+K747)*#REF!-I747)/L747,"-")</f>
        <v>#REF!</v>
      </c>
      <c r="O747" s="8"/>
      <c r="P747" s="8"/>
    </row>
    <row r="748" customFormat="false" ht="15.75" hidden="false" customHeight="true" outlineLevel="0" collapsed="false">
      <c r="A748" s="7" t="s">
        <v>1552</v>
      </c>
      <c r="B748" s="8" t="s">
        <v>1474</v>
      </c>
      <c r="C748" s="8" t="n">
        <v>2019</v>
      </c>
      <c r="D748" s="9" t="s">
        <v>1552</v>
      </c>
      <c r="E748" s="7" t="s">
        <v>26</v>
      </c>
      <c r="F748" s="10" t="n">
        <f aca="false">IF(ISBLANK($G748),,VLOOKUP($G748, Rarities!$A$1:$B869, 2, FALSE()))</f>
        <v>2</v>
      </c>
      <c r="G748" s="8" t="s">
        <v>36</v>
      </c>
      <c r="H748" s="8" t="str">
        <f aca="false">VLOOKUP(B748,Manufacturers!A$1:B869,2)</f>
        <v>DE</v>
      </c>
      <c r="I748" s="11" t="n">
        <v>275000</v>
      </c>
      <c r="J748" s="8"/>
      <c r="K748" s="8"/>
      <c r="L748" s="12"/>
      <c r="M748" s="11"/>
      <c r="N748" s="11"/>
      <c r="O748" s="8"/>
      <c r="P748" s="8"/>
    </row>
    <row r="749" customFormat="false" ht="15.75" hidden="false" customHeight="true" outlineLevel="0" collapsed="false">
      <c r="A749" s="7" t="s">
        <v>1553</v>
      </c>
      <c r="B749" s="8" t="s">
        <v>1474</v>
      </c>
      <c r="C749" s="8" t="n">
        <v>2019</v>
      </c>
      <c r="D749" s="9" t="s">
        <v>1554</v>
      </c>
      <c r="E749" s="7" t="s">
        <v>125</v>
      </c>
      <c r="F749" s="10" t="n">
        <f aca="false">IF(ISBLANK($G749),,VLOOKUP($G749, Rarities!$A$1:$B869, 2, FALSE()))</f>
        <v>2</v>
      </c>
      <c r="G749" s="8" t="s">
        <v>36</v>
      </c>
      <c r="H749" s="8" t="str">
        <f aca="false">VLOOKUP(B749,Manufacturers!A$1:B869,2)</f>
        <v>DE</v>
      </c>
      <c r="I749" s="11" t="n">
        <v>135000</v>
      </c>
      <c r="J749" s="8"/>
      <c r="K749" s="8" t="n">
        <v>1</v>
      </c>
      <c r="L749" s="12" t="n">
        <v>11</v>
      </c>
      <c r="M749" s="11" t="e">
        <f aca="false">IF(AND(ISNUMBER(L749),L749&gt;0),(3*J749+K749)*#REF!/L749,"-")</f>
        <v>#REF!</v>
      </c>
      <c r="N749" s="11" t="e">
        <f aca="false">IF(AND(#REF!,ISNUMBER(L749),L749&gt;0),((3*J749+K749)*#REF!-I749)/L749,"-")</f>
        <v>#REF!</v>
      </c>
      <c r="O749" s="8"/>
      <c r="P749" s="8"/>
    </row>
    <row r="750" customFormat="false" ht="15.75" hidden="false" customHeight="true" outlineLevel="0" collapsed="false">
      <c r="A750" s="7" t="s">
        <v>1555</v>
      </c>
      <c r="B750" s="8" t="s">
        <v>1474</v>
      </c>
      <c r="C750" s="8" t="n">
        <v>2020</v>
      </c>
      <c r="D750" s="9" t="s">
        <v>1556</v>
      </c>
      <c r="E750" s="7" t="s">
        <v>58</v>
      </c>
      <c r="F750" s="10" t="n">
        <f aca="false">IF(ISBLANK($G750),,VLOOKUP($G750, Rarities!$A$1:$B869, 2, FALSE()))</f>
        <v>1</v>
      </c>
      <c r="G750" s="8" t="s">
        <v>17</v>
      </c>
      <c r="H750" s="8" t="str">
        <f aca="false">VLOOKUP(B750,Manufacturers!A$1:B869,2)</f>
        <v>DE</v>
      </c>
      <c r="I750" s="11" t="n">
        <v>185000</v>
      </c>
      <c r="J750" s="8"/>
      <c r="K750" s="8" t="n">
        <v>1</v>
      </c>
      <c r="L750" s="12" t="n">
        <v>14</v>
      </c>
      <c r="M750" s="11" t="e">
        <f aca="false">IF(AND(ISNUMBER(L750),L750&gt;0),(3*J750+K750)*#REF!/L750,"-")</f>
        <v>#REF!</v>
      </c>
      <c r="N750" s="11" t="e">
        <f aca="false">IF(AND(#REF!,ISNUMBER(L750),L750&gt;0),((3*J750+K750)*#REF!-I750)/L750,"-")</f>
        <v>#REF!</v>
      </c>
      <c r="O750" s="8"/>
      <c r="P750" s="8"/>
    </row>
    <row r="751" customFormat="false" ht="15.75" hidden="false" customHeight="true" outlineLevel="0" collapsed="false">
      <c r="A751" s="7" t="s">
        <v>1557</v>
      </c>
      <c r="B751" s="8" t="s">
        <v>1474</v>
      </c>
      <c r="C751" s="8" t="n">
        <v>2020</v>
      </c>
      <c r="D751" s="9" t="s">
        <v>1558</v>
      </c>
      <c r="E751" s="7" t="s">
        <v>58</v>
      </c>
      <c r="F751" s="10" t="n">
        <f aca="false">IF(ISBLANK($G751),,VLOOKUP($G751, Rarities!$A$1:$B869, 2, FALSE()))</f>
        <v>1</v>
      </c>
      <c r="G751" s="8" t="s">
        <v>17</v>
      </c>
      <c r="H751" s="8" t="str">
        <f aca="false">VLOOKUP(B751,Manufacturers!A$1:B869,2)</f>
        <v>DE</v>
      </c>
      <c r="I751" s="11" t="n">
        <v>185000</v>
      </c>
      <c r="J751" s="8"/>
      <c r="K751" s="8" t="n">
        <v>1</v>
      </c>
      <c r="L751" s="12" t="n">
        <v>14</v>
      </c>
      <c r="M751" s="11" t="e">
        <f aca="false">IF(AND(ISNUMBER(L751),L751&gt;0),(3*J751+K751)*#REF!/L751,"-")</f>
        <v>#REF!</v>
      </c>
      <c r="N751" s="11" t="e">
        <f aca="false">IF(AND(#REF!,ISNUMBER(L751),L751&gt;0),((3*J751+K751)*#REF!-I751)/L751,"-")</f>
        <v>#REF!</v>
      </c>
      <c r="O751" s="8"/>
      <c r="P751" s="8"/>
    </row>
    <row r="752" customFormat="false" ht="15.75" hidden="false" customHeight="true" outlineLevel="0" collapsed="false">
      <c r="A752" s="7" t="s">
        <v>1559</v>
      </c>
      <c r="B752" s="8" t="s">
        <v>1474</v>
      </c>
      <c r="C752" s="8" t="n">
        <v>2021</v>
      </c>
      <c r="D752" s="9" t="s">
        <v>1515</v>
      </c>
      <c r="E752" s="7" t="s">
        <v>111</v>
      </c>
      <c r="F752" s="10" t="n">
        <f aca="false">IF(ISBLANK($G752),,VLOOKUP($G752, Rarities!$A$1:$B869, 2, FALSE()))</f>
        <v>3</v>
      </c>
      <c r="G752" s="8" t="s">
        <v>53</v>
      </c>
      <c r="H752" s="8" t="str">
        <f aca="false">VLOOKUP(B752,Manufacturers!A$1:B869,2)</f>
        <v>DE</v>
      </c>
      <c r="I752" s="11" t="n">
        <v>250000</v>
      </c>
      <c r="J752" s="8"/>
      <c r="K752" s="8"/>
      <c r="L752" s="12"/>
      <c r="M752" s="11"/>
      <c r="N752" s="11"/>
      <c r="O752" s="8"/>
      <c r="P752" s="8"/>
    </row>
    <row r="753" customFormat="false" ht="15.75" hidden="false" customHeight="true" outlineLevel="0" collapsed="false">
      <c r="A753" s="7" t="s">
        <v>1560</v>
      </c>
      <c r="B753" s="8" t="s">
        <v>1474</v>
      </c>
      <c r="C753" s="8" t="n">
        <v>2022</v>
      </c>
      <c r="D753" s="9" t="s">
        <v>1561</v>
      </c>
      <c r="E753" s="7" t="s">
        <v>86</v>
      </c>
      <c r="F753" s="10" t="n">
        <f aca="false">IF(ISBLANK($G753),,VLOOKUP($G753, Rarities!$A$1:$B869, 2, FALSE()))</f>
        <v>4</v>
      </c>
      <c r="G753" s="8" t="s">
        <v>41</v>
      </c>
      <c r="H753" s="8" t="str">
        <f aca="false">VLOOKUP(B753,Manufacturers!A$1:B869,2)</f>
        <v>DE</v>
      </c>
      <c r="I753" s="11" t="n">
        <v>10000000</v>
      </c>
      <c r="J753" s="8"/>
      <c r="K753" s="8"/>
      <c r="L753" s="12"/>
      <c r="M753" s="11"/>
      <c r="N753" s="11"/>
      <c r="O753" s="8"/>
      <c r="P753" s="8"/>
    </row>
    <row r="754" customFormat="false" ht="15.75" hidden="false" customHeight="true" outlineLevel="0" collapsed="false">
      <c r="A754" s="7" t="s">
        <v>1562</v>
      </c>
      <c r="B754" s="8" t="s">
        <v>1474</v>
      </c>
      <c r="C754" s="8" t="n">
        <v>2022</v>
      </c>
      <c r="D754" s="9" t="s">
        <v>1563</v>
      </c>
      <c r="E754" s="7" t="s">
        <v>111</v>
      </c>
      <c r="F754" s="10" t="n">
        <f aca="false">IF(ISBLANK($G754),,VLOOKUP($G754, Rarities!$A$1:$B869, 2, FALSE()))</f>
        <v>3</v>
      </c>
      <c r="G754" s="8" t="s">
        <v>53</v>
      </c>
      <c r="H754" s="8" t="str">
        <f aca="false">VLOOKUP(B754,Manufacturers!A$1:B869,2)</f>
        <v>DE</v>
      </c>
      <c r="I754" s="11" t="n">
        <v>150000</v>
      </c>
      <c r="J754" s="8"/>
      <c r="K754" s="8"/>
      <c r="L754" s="12"/>
      <c r="M754" s="11"/>
      <c r="N754" s="11"/>
      <c r="O754" s="8"/>
      <c r="P754" s="8"/>
    </row>
    <row r="755" customFormat="false" ht="15.75" hidden="false" customHeight="true" outlineLevel="0" collapsed="false">
      <c r="A755" s="7" t="s">
        <v>1564</v>
      </c>
      <c r="B755" s="8" t="s">
        <v>1565</v>
      </c>
      <c r="C755" s="8" t="n">
        <v>2015</v>
      </c>
      <c r="D755" s="9" t="s">
        <v>1566</v>
      </c>
      <c r="E755" s="7" t="s">
        <v>86</v>
      </c>
      <c r="F755" s="10" t="n">
        <f aca="false">IF(ISBLANK($G755),,VLOOKUP($G755, Rarities!$A$1:$B869, 2, FALSE()))</f>
        <v>3</v>
      </c>
      <c r="G755" s="8" t="s">
        <v>53</v>
      </c>
      <c r="H755" s="8" t="str">
        <f aca="false">VLOOKUP(B755,Manufacturers!A$1:B869,2)</f>
        <v>GB</v>
      </c>
      <c r="I755" s="11" t="n">
        <v>330000</v>
      </c>
      <c r="J755" s="8"/>
      <c r="K755" s="8" t="n">
        <v>2</v>
      </c>
      <c r="L755" s="12" t="n">
        <v>11</v>
      </c>
      <c r="M755" s="11" t="e">
        <f aca="false">IF(AND(ISNUMBER(L755),L755&gt;0),(3*J755+K755)*#REF!/L755,"-")</f>
        <v>#REF!</v>
      </c>
      <c r="N755" s="11" t="e">
        <f aca="false">IF(AND(#REF!,ISNUMBER(L755),L755&gt;0),((3*J755+K755)*#REF!-I755)/L755,"-")</f>
        <v>#REF!</v>
      </c>
      <c r="O755" s="8"/>
      <c r="P755" s="8"/>
    </row>
    <row r="756" customFormat="false" ht="15.75" hidden="false" customHeight="true" outlineLevel="0" collapsed="false">
      <c r="A756" s="7" t="s">
        <v>1567</v>
      </c>
      <c r="B756" s="8" t="s">
        <v>1568</v>
      </c>
      <c r="C756" s="8" t="n">
        <v>2019</v>
      </c>
      <c r="D756" s="9" t="s">
        <v>1569</v>
      </c>
      <c r="E756" s="7" t="s">
        <v>118</v>
      </c>
      <c r="F756" s="10" t="n">
        <f aca="false">IF(ISBLANK($G756),,VLOOKUP($G756, Rarities!$A$1:$B869, 2, FALSE()))</f>
        <v>3</v>
      </c>
      <c r="G756" s="8" t="s">
        <v>53</v>
      </c>
      <c r="H756" s="8" t="str">
        <f aca="false">VLOOKUP(B756,Manufacturers!A$1:B869,2)</f>
        <v>US</v>
      </c>
      <c r="I756" s="11" t="n">
        <v>1050000</v>
      </c>
      <c r="J756" s="8" t="n">
        <v>2</v>
      </c>
      <c r="K756" s="8" t="n">
        <v>1</v>
      </c>
      <c r="L756" s="12" t="n">
        <v>24</v>
      </c>
      <c r="M756" s="11" t="e">
        <f aca="false">IF(AND(ISNUMBER(L756),L756&gt;0),(3*J756+K756)*#REF!/L756,"-")</f>
        <v>#REF!</v>
      </c>
      <c r="N756" s="11" t="e">
        <f aca="false">IF(AND(#REF!,ISNUMBER(L756),L756&gt;0),((3*J756+K756)*#REF!-I756)/L756,"-")</f>
        <v>#REF!</v>
      </c>
      <c r="O756" s="8"/>
      <c r="P756" s="8"/>
    </row>
    <row r="757" customFormat="false" ht="15.75" hidden="false" customHeight="true" outlineLevel="0" collapsed="false">
      <c r="A757" s="7" t="s">
        <v>1570</v>
      </c>
      <c r="B757" s="8" t="s">
        <v>1571</v>
      </c>
      <c r="C757" s="8" t="n">
        <v>2017</v>
      </c>
      <c r="D757" s="9" t="s">
        <v>1572</v>
      </c>
      <c r="E757" s="7" t="s">
        <v>353</v>
      </c>
      <c r="F757" s="10" t="n">
        <f aca="false">IF(ISBLANK($G757),,VLOOKUP($G757, Rarities!$A$1:$B869, 2, FALSE()))</f>
        <v>1</v>
      </c>
      <c r="G757" s="8" t="s">
        <v>17</v>
      </c>
      <c r="H757" s="8" t="str">
        <f aca="false">VLOOKUP(B757,Manufacturers!A$1:B869,2)</f>
        <v>US</v>
      </c>
      <c r="I757" s="11" t="n">
        <v>47000</v>
      </c>
      <c r="J757" s="8"/>
      <c r="K757" s="8" t="n">
        <v>1</v>
      </c>
      <c r="L757" s="12" t="n">
        <v>9</v>
      </c>
      <c r="M757" s="11" t="e">
        <f aca="false">IF(AND(ISNUMBER(L757),L757&gt;0),(3*J757+K757)*#REF!/L757,"-")</f>
        <v>#REF!</v>
      </c>
      <c r="N757" s="11" t="e">
        <f aca="false">IF(AND(#REF!,ISNUMBER(L757),L757&gt;0),((3*J757+K757)*#REF!-I757)/L757,"-")</f>
        <v>#REF!</v>
      </c>
      <c r="O757" s="8"/>
      <c r="P757" s="8"/>
    </row>
    <row r="758" customFormat="false" ht="15.75" hidden="false" customHeight="true" outlineLevel="0" collapsed="false">
      <c r="A758" s="7" t="s">
        <v>1573</v>
      </c>
      <c r="B758" s="8" t="s">
        <v>1574</v>
      </c>
      <c r="C758" s="8" t="n">
        <v>1972</v>
      </c>
      <c r="D758" s="9" t="s">
        <v>1575</v>
      </c>
      <c r="E758" s="7" t="s">
        <v>16</v>
      </c>
      <c r="F758" s="10" t="n">
        <f aca="false">IF(ISBLANK($G758),,VLOOKUP($G758, Rarities!$A$1:$B869, 2, FALSE()))</f>
        <v>1</v>
      </c>
      <c r="G758" s="8" t="s">
        <v>17</v>
      </c>
      <c r="H758" s="8" t="str">
        <f aca="false">VLOOKUP(B758,Manufacturers!A$1:B869,2)</f>
        <v>GB</v>
      </c>
      <c r="I758" s="11" t="n">
        <v>35000</v>
      </c>
      <c r="J758" s="8"/>
      <c r="K758" s="8" t="n">
        <v>2</v>
      </c>
      <c r="L758" s="12" t="n">
        <v>20</v>
      </c>
      <c r="M758" s="11" t="e">
        <f aca="false">IF(AND(ISNUMBER(L758),L758&gt;0),(3*J758+K758)*#REF!/L758,"-")</f>
        <v>#REF!</v>
      </c>
      <c r="N758" s="11" t="e">
        <f aca="false">IF(AND(#REF!,ISNUMBER(L758),L758&gt;0),((3*J758+K758)*#REF!-I758)/L758,"-")</f>
        <v>#REF!</v>
      </c>
      <c r="O758" s="8"/>
      <c r="P758" s="8"/>
    </row>
    <row r="759" customFormat="false" ht="15.75" hidden="false" customHeight="true" outlineLevel="0" collapsed="false">
      <c r="A759" s="7" t="s">
        <v>1576</v>
      </c>
      <c r="B759" s="8" t="s">
        <v>1577</v>
      </c>
      <c r="C759" s="8" t="n">
        <v>1967</v>
      </c>
      <c r="D759" s="9" t="s">
        <v>1578</v>
      </c>
      <c r="E759" s="7" t="s">
        <v>20</v>
      </c>
      <c r="F759" s="10" t="n">
        <f aca="false">IF(ISBLANK($G759),,VLOOKUP($G759, Rarities!$A$1:$B869, 2, FALSE()))</f>
        <v>1</v>
      </c>
      <c r="G759" s="8" t="s">
        <v>17</v>
      </c>
      <c r="H759" s="8" t="str">
        <f aca="false">VLOOKUP(B759,Manufacturers!A$1:B869,2)</f>
        <v>FR</v>
      </c>
      <c r="I759" s="11" t="n">
        <v>65000</v>
      </c>
      <c r="J759" s="8"/>
      <c r="K759" s="8" t="n">
        <v>1</v>
      </c>
      <c r="L759" s="12" t="n">
        <v>9</v>
      </c>
      <c r="M759" s="11" t="e">
        <f aca="false">IF(AND(ISNUMBER(L759),L759&gt;0),(3*J759+K759)*#REF!/L759,"-")</f>
        <v>#REF!</v>
      </c>
      <c r="N759" s="11" t="e">
        <f aca="false">IF(AND(#REF!,ISNUMBER(L759),L759&gt;0),((3*J759+K759)*#REF!-I759)/L759,"-")</f>
        <v>#REF!</v>
      </c>
      <c r="O759" s="8"/>
      <c r="P759" s="8"/>
    </row>
    <row r="760" customFormat="false" ht="15.75" hidden="false" customHeight="true" outlineLevel="0" collapsed="false">
      <c r="A760" s="7" t="s">
        <v>1579</v>
      </c>
      <c r="B760" s="8" t="s">
        <v>1577</v>
      </c>
      <c r="C760" s="8" t="n">
        <v>1968</v>
      </c>
      <c r="D760" s="9" t="s">
        <v>1580</v>
      </c>
      <c r="E760" s="7" t="s">
        <v>16</v>
      </c>
      <c r="F760" s="10" t="n">
        <f aca="false">IF(ISBLANK($G760),,VLOOKUP($G760, Rarities!$A$1:$B869, 2, FALSE()))</f>
        <v>4</v>
      </c>
      <c r="G760" s="8" t="s">
        <v>41</v>
      </c>
      <c r="H760" s="8" t="str">
        <f aca="false">VLOOKUP(B760,Manufacturers!A$1:B869,2)</f>
        <v>FR</v>
      </c>
      <c r="I760" s="11" t="n">
        <v>20000</v>
      </c>
      <c r="J760" s="8"/>
      <c r="K760" s="8" t="n">
        <v>1</v>
      </c>
      <c r="L760" s="12" t="n">
        <v>9</v>
      </c>
      <c r="M760" s="11" t="e">
        <f aca="false">IF(AND(ISNUMBER(L760),L760&gt;0),(3*J760+K760)*#REF!/L760,"-")</f>
        <v>#REF!</v>
      </c>
      <c r="N760" s="11" t="e">
        <f aca="false">IF(AND(#REF!,ISNUMBER(L760),L760&gt;0),((3*J760+K760)*#REF!-I760)/L760,"-")</f>
        <v>#REF!</v>
      </c>
      <c r="O760" s="8"/>
      <c r="P760" s="8"/>
    </row>
    <row r="761" customFormat="false" ht="15.75" hidden="false" customHeight="true" outlineLevel="0" collapsed="false">
      <c r="A761" s="7" t="s">
        <v>1581</v>
      </c>
      <c r="B761" s="8" t="s">
        <v>1577</v>
      </c>
      <c r="C761" s="8" t="n">
        <v>1980</v>
      </c>
      <c r="D761" s="9" t="s">
        <v>1582</v>
      </c>
      <c r="E761" s="7" t="s">
        <v>136</v>
      </c>
      <c r="F761" s="10" t="n">
        <f aca="false">IF(ISBLANK($G761),,VLOOKUP($G761, Rarities!$A$1:$B869, 2, FALSE()))</f>
        <v>2</v>
      </c>
      <c r="G761" s="8" t="s">
        <v>36</v>
      </c>
      <c r="H761" s="8" t="str">
        <f aca="false">VLOOKUP(B761,Manufacturers!A$1:B869,2)</f>
        <v>FR</v>
      </c>
      <c r="I761" s="11" t="n">
        <v>120000</v>
      </c>
      <c r="J761" s="8"/>
      <c r="K761" s="8" t="n">
        <v>1</v>
      </c>
      <c r="L761" s="12" t="n">
        <v>9</v>
      </c>
      <c r="M761" s="11" t="e">
        <f aca="false">IF(AND(ISNUMBER(L761),L761&gt;0),(3*J761+K761)*#REF!/L761,"-")</f>
        <v>#REF!</v>
      </c>
      <c r="N761" s="11" t="e">
        <f aca="false">IF(AND(#REF!,ISNUMBER(L761),L761&gt;0),((3*J761+K761)*#REF!-I761)/L761,"-")</f>
        <v>#REF!</v>
      </c>
      <c r="O761" s="8"/>
      <c r="P761" s="8"/>
    </row>
    <row r="762" customFormat="false" ht="15.75" hidden="false" customHeight="true" outlineLevel="0" collapsed="false">
      <c r="A762" s="7" t="s">
        <v>1583</v>
      </c>
      <c r="B762" s="8" t="s">
        <v>1577</v>
      </c>
      <c r="C762" s="8" t="n">
        <v>1993</v>
      </c>
      <c r="D762" s="9" t="s">
        <v>1584</v>
      </c>
      <c r="E762" s="7" t="s">
        <v>30</v>
      </c>
      <c r="F762" s="10" t="n">
        <f aca="false">IF(ISBLANK($G762),,VLOOKUP($G762, Rarities!$A$1:$B869, 2, FALSE()))</f>
        <v>1</v>
      </c>
      <c r="G762" s="8" t="s">
        <v>17</v>
      </c>
      <c r="H762" s="8" t="str">
        <f aca="false">VLOOKUP(B762,Manufacturers!A$1:B869,2)</f>
        <v>FR</v>
      </c>
      <c r="I762" s="11" t="n">
        <v>30000</v>
      </c>
      <c r="J762" s="8"/>
      <c r="K762" s="8" t="n">
        <v>1</v>
      </c>
      <c r="L762" s="12" t="n">
        <v>9</v>
      </c>
      <c r="M762" s="11" t="e">
        <f aca="false">IF(AND(ISNUMBER(L762),L762&gt;0),(3*J762+K762)*#REF!/L762,"-")</f>
        <v>#REF!</v>
      </c>
      <c r="N762" s="11" t="e">
        <f aca="false">IF(AND(#REF!,ISNUMBER(L762),L762&gt;0),((3*J762+K762)*#REF!-I762)/L762,"-")</f>
        <v>#REF!</v>
      </c>
      <c r="O762" s="8"/>
      <c r="P762" s="8"/>
    </row>
    <row r="763" customFormat="false" ht="15.75" hidden="false" customHeight="true" outlineLevel="0" collapsed="false">
      <c r="A763" s="7" t="s">
        <v>1585</v>
      </c>
      <c r="B763" s="8" t="s">
        <v>1577</v>
      </c>
      <c r="C763" s="8" t="n">
        <v>2008</v>
      </c>
      <c r="D763" s="9" t="s">
        <v>1585</v>
      </c>
      <c r="E763" s="7" t="s">
        <v>155</v>
      </c>
      <c r="F763" s="10" t="n">
        <f aca="false">IF(ISBLANK($G763),,VLOOKUP($G763, Rarities!$A$1:$B869, 2, FALSE()))</f>
        <v>2</v>
      </c>
      <c r="G763" s="8" t="s">
        <v>36</v>
      </c>
      <c r="H763" s="8" t="str">
        <f aca="false">VLOOKUP(B763,Manufacturers!A$1:B869,2)</f>
        <v>FR</v>
      </c>
      <c r="I763" s="11" t="n">
        <v>28000</v>
      </c>
      <c r="J763" s="8"/>
      <c r="K763" s="8"/>
      <c r="L763" s="12" t="s">
        <v>244</v>
      </c>
      <c r="M763" s="11" t="str">
        <f aca="false">IF(AND(ISNUMBER(L763),L763&gt;0),(3*J763+K763)*#REF!/L763,"-")</f>
        <v>-</v>
      </c>
      <c r="N763" s="11" t="e">
        <f aca="false">IF(AND(#REF!,ISNUMBER(L763),L763&gt;0),((3*J763+K763)*#REF!-I763)/L763,"-")</f>
        <v>#REF!</v>
      </c>
      <c r="O763" s="8"/>
      <c r="P763" s="8"/>
    </row>
    <row r="764" customFormat="false" ht="15.75" hidden="false" customHeight="true" outlineLevel="0" collapsed="false">
      <c r="A764" s="7" t="s">
        <v>1586</v>
      </c>
      <c r="B764" s="8" t="s">
        <v>1577</v>
      </c>
      <c r="C764" s="8" t="n">
        <v>2010</v>
      </c>
      <c r="D764" s="9" t="s">
        <v>1587</v>
      </c>
      <c r="E764" s="7" t="s">
        <v>23</v>
      </c>
      <c r="F764" s="10" t="n">
        <f aca="false">IF(ISBLANK($G764),,VLOOKUP($G764, Rarities!$A$1:$B869, 2, FALSE()))</f>
        <v>1</v>
      </c>
      <c r="G764" s="8" t="s">
        <v>17</v>
      </c>
      <c r="H764" s="8" t="str">
        <f aca="false">VLOOKUP(B764,Manufacturers!A$1:B869,2)</f>
        <v>FR</v>
      </c>
      <c r="I764" s="11" t="n">
        <v>250000</v>
      </c>
      <c r="J764" s="8"/>
      <c r="K764" s="8"/>
      <c r="L764" s="12"/>
      <c r="M764" s="11"/>
      <c r="N764" s="11"/>
      <c r="O764" s="8"/>
      <c r="P764" s="8"/>
    </row>
    <row r="765" customFormat="false" ht="15.75" hidden="false" customHeight="true" outlineLevel="0" collapsed="false">
      <c r="A765" s="7" t="s">
        <v>1588</v>
      </c>
      <c r="B765" s="8" t="s">
        <v>1577</v>
      </c>
      <c r="C765" s="8" t="n">
        <v>2010</v>
      </c>
      <c r="D765" s="9" t="s">
        <v>1588</v>
      </c>
      <c r="E765" s="7" t="s">
        <v>155</v>
      </c>
      <c r="F765" s="10" t="n">
        <f aca="false">IF(ISBLANK($G765),,VLOOKUP($G765, Rarities!$A$1:$B869, 2, FALSE()))</f>
        <v>1</v>
      </c>
      <c r="G765" s="8" t="s">
        <v>17</v>
      </c>
      <c r="H765" s="8" t="str">
        <f aca="false">VLOOKUP(B765,Manufacturers!A$1:B869,2)</f>
        <v>FR</v>
      </c>
      <c r="I765" s="11" t="n">
        <v>250000</v>
      </c>
      <c r="J765" s="8"/>
      <c r="K765" s="8"/>
      <c r="L765" s="12"/>
      <c r="M765" s="11"/>
      <c r="N765" s="11"/>
      <c r="O765" s="8"/>
      <c r="P765" s="8"/>
    </row>
    <row r="766" customFormat="false" ht="15.75" hidden="false" customHeight="true" outlineLevel="0" collapsed="false">
      <c r="A766" s="7" t="s">
        <v>1589</v>
      </c>
      <c r="B766" s="8" t="s">
        <v>1577</v>
      </c>
      <c r="C766" s="8" t="n">
        <v>2013</v>
      </c>
      <c r="D766" s="9" t="s">
        <v>1590</v>
      </c>
      <c r="E766" s="7" t="s">
        <v>23</v>
      </c>
      <c r="F766" s="10" t="n">
        <f aca="false">IF(ISBLANK($G766),,VLOOKUP($G766, Rarities!$A$1:$B869, 2, FALSE()))</f>
        <v>1</v>
      </c>
      <c r="G766" s="8" t="s">
        <v>17</v>
      </c>
      <c r="H766" s="8" t="str">
        <f aca="false">VLOOKUP(B766,Manufacturers!A$1:B869,2)</f>
        <v>FR</v>
      </c>
      <c r="I766" s="11" t="n">
        <v>29000</v>
      </c>
      <c r="J766" s="8"/>
      <c r="K766" s="8" t="n">
        <v>1</v>
      </c>
      <c r="L766" s="12" t="n">
        <v>9</v>
      </c>
      <c r="M766" s="11" t="e">
        <f aca="false">IF(AND(ISNUMBER(L766),L766&gt;0),(3*J766+K766)*#REF!/L766,"-")</f>
        <v>#REF!</v>
      </c>
      <c r="N766" s="11" t="e">
        <f aca="false">IF(AND(#REF!,ISNUMBER(L766),L766&gt;0),((3*J766+K766)*#REF!-I766)/L766,"-")</f>
        <v>#REF!</v>
      </c>
      <c r="O766" s="8"/>
      <c r="P766" s="8"/>
    </row>
    <row r="767" customFormat="false" ht="15.75" hidden="false" customHeight="true" outlineLevel="0" collapsed="false">
      <c r="A767" s="7" t="s">
        <v>1591</v>
      </c>
      <c r="B767" s="8" t="s">
        <v>1577</v>
      </c>
      <c r="C767" s="8" t="n">
        <v>2016</v>
      </c>
      <c r="D767" s="9" t="s">
        <v>1592</v>
      </c>
      <c r="E767" s="7" t="s">
        <v>155</v>
      </c>
      <c r="F767" s="10" t="n">
        <f aca="false">IF(ISBLANK($G767),,VLOOKUP($G767, Rarities!$A$1:$B869, 2, FALSE()))</f>
        <v>2</v>
      </c>
      <c r="G767" s="8" t="s">
        <v>36</v>
      </c>
      <c r="H767" s="8" t="str">
        <f aca="false">VLOOKUP(B767,Manufacturers!A$1:B869,2)</f>
        <v>FR</v>
      </c>
      <c r="I767" s="11" t="n">
        <v>250000</v>
      </c>
      <c r="J767" s="8"/>
      <c r="K767" s="8"/>
      <c r="L767" s="12"/>
      <c r="M767" s="11"/>
      <c r="N767" s="11"/>
      <c r="O767" s="8"/>
      <c r="P767" s="8"/>
    </row>
    <row r="768" customFormat="false" ht="15.75" hidden="false" customHeight="true" outlineLevel="0" collapsed="false">
      <c r="A768" s="7" t="s">
        <v>1593</v>
      </c>
      <c r="B768" s="8" t="s">
        <v>1577</v>
      </c>
      <c r="C768" s="8" t="n">
        <v>2018</v>
      </c>
      <c r="D768" s="9" t="s">
        <v>1594</v>
      </c>
      <c r="E768" s="7" t="s">
        <v>155</v>
      </c>
      <c r="F768" s="10" t="n">
        <f aca="false">IF(ISBLANK($G768),,VLOOKUP($G768, Rarities!$A$1:$B869, 2, FALSE()))</f>
        <v>2</v>
      </c>
      <c r="G768" s="8" t="s">
        <v>36</v>
      </c>
      <c r="H768" s="8" t="str">
        <f aca="false">VLOOKUP(B768,Manufacturers!A$1:B869,2)</f>
        <v>FR</v>
      </c>
      <c r="I768" s="11" t="n">
        <v>37000</v>
      </c>
      <c r="J768" s="8"/>
      <c r="K768" s="8" t="n">
        <v>1</v>
      </c>
      <c r="L768" s="12" t="n">
        <v>9</v>
      </c>
      <c r="M768" s="11" t="e">
        <f aca="false">IF(AND(ISNUMBER(L768),L768&gt;0),(3*J768+K768)*#REF!/L768,"-")</f>
        <v>#REF!</v>
      </c>
      <c r="N768" s="11" t="e">
        <f aca="false">IF(AND(#REF!,ISNUMBER(L768),L768&gt;0),((3*J768+K768)*#REF!-I768)/L768,"-")</f>
        <v>#REF!</v>
      </c>
      <c r="O768" s="8"/>
      <c r="P768" s="8"/>
    </row>
    <row r="769" customFormat="false" ht="15.75" hidden="false" customHeight="true" outlineLevel="0" collapsed="false">
      <c r="A769" s="7" t="s">
        <v>1595</v>
      </c>
      <c r="B769" s="8" t="s">
        <v>1596</v>
      </c>
      <c r="C769" s="8" t="n">
        <v>2019</v>
      </c>
      <c r="D769" s="9" t="s">
        <v>1597</v>
      </c>
      <c r="E769" s="7" t="s">
        <v>118</v>
      </c>
      <c r="F769" s="10" t="n">
        <f aca="false">IF(ISBLANK($G769),,VLOOKUP($G769, Rarities!$A$1:$B869, 2, FALSE()))</f>
        <v>4</v>
      </c>
      <c r="G769" s="8" t="s">
        <v>41</v>
      </c>
      <c r="H769" s="8" t="str">
        <f aca="false">VLOOKUP(B769,Manufacturers!A$1:B869,2)</f>
        <v>HR</v>
      </c>
      <c r="I769" s="11" t="n">
        <v>2000000</v>
      </c>
      <c r="J769" s="8" t="n">
        <v>2</v>
      </c>
      <c r="K769" s="8" t="n">
        <v>1</v>
      </c>
      <c r="L769" s="12" t="n">
        <v>21</v>
      </c>
      <c r="M769" s="11" t="e">
        <f aca="false">IF(AND(ISNUMBER(L769),L769&gt;0),(3*J769+K769)*#REF!/L769,"-")</f>
        <v>#REF!</v>
      </c>
      <c r="N769" s="11" t="e">
        <f aca="false">IF(AND(#REF!,ISNUMBER(L769),L769&gt;0),((3*J769+K769)*#REF!-I769)/L769,"-")</f>
        <v>#REF!</v>
      </c>
      <c r="O769" s="8"/>
      <c r="P769" s="8"/>
    </row>
    <row r="770" customFormat="false" ht="15.75" hidden="false" customHeight="true" outlineLevel="0" collapsed="false">
      <c r="A770" s="7" t="s">
        <v>1598</v>
      </c>
      <c r="B770" s="8" t="s">
        <v>1596</v>
      </c>
      <c r="C770" s="8" t="n">
        <v>2021</v>
      </c>
      <c r="D770" s="9" t="s">
        <v>1599</v>
      </c>
      <c r="E770" s="7" t="s">
        <v>118</v>
      </c>
      <c r="F770" s="10" t="n">
        <f aca="false">IF(ISBLANK($G770),,VLOOKUP($G770, Rarities!$A$1:$B869, 2, FALSE()))</f>
        <v>4</v>
      </c>
      <c r="G770" s="8" t="s">
        <v>41</v>
      </c>
      <c r="H770" s="8" t="str">
        <f aca="false">VLOOKUP(B770,Manufacturers!A$1:B869,2)</f>
        <v>HR</v>
      </c>
      <c r="I770" s="11" t="n">
        <v>3000000</v>
      </c>
      <c r="J770" s="8"/>
      <c r="K770" s="8"/>
      <c r="L770" s="12"/>
      <c r="M770" s="11"/>
      <c r="N770" s="11"/>
      <c r="O770" s="8"/>
      <c r="P770" s="8"/>
    </row>
    <row r="771" customFormat="false" ht="15.75" hidden="false" customHeight="true" outlineLevel="0" collapsed="false">
      <c r="A771" s="7" t="s">
        <v>1600</v>
      </c>
      <c r="B771" s="8" t="s">
        <v>1601</v>
      </c>
      <c r="C771" s="8" t="n">
        <v>2022</v>
      </c>
      <c r="D771" s="9" t="s">
        <v>1602</v>
      </c>
      <c r="E771" s="7" t="s">
        <v>353</v>
      </c>
      <c r="F771" s="10" t="n">
        <f aca="false">IF(ISBLANK($G771),,VLOOKUP($G771, Rarities!$A$1:$B869, 2, FALSE()))</f>
        <v>3</v>
      </c>
      <c r="G771" s="8" t="s">
        <v>53</v>
      </c>
      <c r="H771" s="8" t="str">
        <f aca="false">VLOOKUP(B771,Manufacturers!A$1:B869,2)</f>
        <v>US</v>
      </c>
      <c r="I771" s="11" t="n">
        <v>250000</v>
      </c>
      <c r="J771" s="8"/>
      <c r="K771" s="8"/>
      <c r="L771" s="12"/>
      <c r="M771" s="11"/>
      <c r="N771" s="11"/>
      <c r="O771" s="8"/>
      <c r="P771" s="8"/>
    </row>
    <row r="772" customFormat="false" ht="15.75" hidden="false" customHeight="true" outlineLevel="0" collapsed="false">
      <c r="A772" s="7" t="s">
        <v>1603</v>
      </c>
      <c r="B772" s="8" t="s">
        <v>1601</v>
      </c>
      <c r="C772" s="8" t="n">
        <v>2022</v>
      </c>
      <c r="D772" s="9" t="s">
        <v>1604</v>
      </c>
      <c r="E772" s="7" t="s">
        <v>125</v>
      </c>
      <c r="F772" s="10" t="n">
        <f aca="false">IF(ISBLANK($G772),,VLOOKUP($G772, Rarities!$A$1:$B869, 2, FALSE()))</f>
        <v>2</v>
      </c>
      <c r="G772" s="8" t="s">
        <v>36</v>
      </c>
      <c r="H772" s="8" t="str">
        <f aca="false">VLOOKUP(B772,Manufacturers!A$1:B869,2)</f>
        <v>US</v>
      </c>
      <c r="I772" s="11" t="n">
        <v>250000</v>
      </c>
      <c r="J772" s="8"/>
      <c r="K772" s="8"/>
      <c r="L772" s="12"/>
      <c r="M772" s="11"/>
      <c r="N772" s="11"/>
      <c r="O772" s="8"/>
      <c r="P772" s="8"/>
    </row>
    <row r="773" customFormat="false" ht="15.75" hidden="false" customHeight="true" outlineLevel="0" collapsed="false">
      <c r="A773" s="7" t="s">
        <v>1605</v>
      </c>
      <c r="B773" s="8" t="s">
        <v>1606</v>
      </c>
      <c r="C773" s="8" t="n">
        <v>2016</v>
      </c>
      <c r="D773" s="9" t="s">
        <v>1607</v>
      </c>
      <c r="E773" s="7" t="s">
        <v>72</v>
      </c>
      <c r="F773" s="10" t="n">
        <f aca="false">IF(ISBLANK($G773),,VLOOKUP($G773, Rarities!$A$1:$B869, 2, FALSE()))</f>
        <v>3</v>
      </c>
      <c r="G773" s="8" t="s">
        <v>53</v>
      </c>
      <c r="H773" s="8" t="str">
        <f aca="false">VLOOKUP(B773,Manufacturers!A$1:B869,2)</f>
        <v>US</v>
      </c>
      <c r="I773" s="11" t="n">
        <v>500000</v>
      </c>
      <c r="J773" s="8"/>
      <c r="K773" s="8" t="n">
        <v>1</v>
      </c>
      <c r="L773" s="12" t="n">
        <v>9</v>
      </c>
      <c r="M773" s="11" t="e">
        <f aca="false">IF(AND(ISNUMBER(L773),L773&gt;0),(3*J773+K773)*#REF!/L773,"-")</f>
        <v>#REF!</v>
      </c>
      <c r="N773" s="11" t="e">
        <f aca="false">IF(AND(#REF!,ISNUMBER(L773),L773&gt;0),((3*J773+K773)*#REF!-I773)/L773,"-")</f>
        <v>#REF!</v>
      </c>
      <c r="O773" s="8"/>
      <c r="P773" s="8"/>
    </row>
    <row r="774" customFormat="false" ht="15.75" hidden="false" customHeight="true" outlineLevel="0" collapsed="false">
      <c r="A774" s="7" t="s">
        <v>1608</v>
      </c>
      <c r="B774" s="8" t="s">
        <v>1606</v>
      </c>
      <c r="C774" s="8" t="n">
        <v>2021</v>
      </c>
      <c r="D774" s="9" t="s">
        <v>1609</v>
      </c>
      <c r="E774" s="7" t="s">
        <v>72</v>
      </c>
      <c r="F774" s="10" t="n">
        <f aca="false">IF(ISBLANK($G774),,VLOOKUP($G774, Rarities!$A$1:$B869, 2, FALSE()))</f>
        <v>3</v>
      </c>
      <c r="G774" s="8" t="s">
        <v>53</v>
      </c>
      <c r="H774" s="8" t="str">
        <f aca="false">VLOOKUP(B774,Manufacturers!A$1:B869,2)</f>
        <v>US</v>
      </c>
      <c r="I774" s="11" t="n">
        <v>500000</v>
      </c>
      <c r="J774" s="8"/>
      <c r="K774" s="8"/>
      <c r="L774" s="12"/>
      <c r="M774" s="11"/>
      <c r="N774" s="11"/>
      <c r="O774" s="8"/>
      <c r="P774" s="8"/>
    </row>
    <row r="775" customFormat="false" ht="15.75" hidden="false" customHeight="true" outlineLevel="0" collapsed="false">
      <c r="A775" s="7" t="s">
        <v>1610</v>
      </c>
      <c r="B775" s="8" t="s">
        <v>1611</v>
      </c>
      <c r="C775" s="8" t="n">
        <v>2010</v>
      </c>
      <c r="D775" s="9" t="s">
        <v>1612</v>
      </c>
      <c r="E775" s="7" t="s">
        <v>35</v>
      </c>
      <c r="F775" s="10" t="n">
        <f aca="false">IF(ISBLANK($G775),,VLOOKUP($G775, Rarities!$A$1:$B869, 2, FALSE()))</f>
        <v>3</v>
      </c>
      <c r="G775" s="8" t="s">
        <v>53</v>
      </c>
      <c r="H775" s="8" t="str">
        <f aca="false">VLOOKUP(B775,Manufacturers!A$1:B869,2)</f>
        <v>US</v>
      </c>
      <c r="I775" s="11" t="n">
        <v>250000</v>
      </c>
      <c r="J775" s="8"/>
      <c r="K775" s="8"/>
      <c r="L775" s="12"/>
      <c r="M775" s="11"/>
      <c r="N775" s="11"/>
      <c r="O775" s="8"/>
      <c r="P775" s="8"/>
    </row>
    <row r="776" customFormat="false" ht="15.75" hidden="false" customHeight="true" outlineLevel="0" collapsed="false">
      <c r="A776" s="7" t="s">
        <v>1613</v>
      </c>
      <c r="B776" s="8" t="s">
        <v>1614</v>
      </c>
      <c r="C776" s="8" t="n">
        <v>2004</v>
      </c>
      <c r="D776" s="9" t="s">
        <v>1615</v>
      </c>
      <c r="E776" s="7" t="s">
        <v>215</v>
      </c>
      <c r="F776" s="10" t="n">
        <f aca="false">IF(ISBLANK($G776),,VLOOKUP($G776, Rarities!$A$1:$B869, 2, FALSE()))</f>
        <v>3</v>
      </c>
      <c r="G776" s="8" t="s">
        <v>53</v>
      </c>
      <c r="H776" s="8" t="str">
        <f aca="false">VLOOKUP(B776,Manufacturers!A$1:B869,2)</f>
        <v>US</v>
      </c>
      <c r="I776" s="11" t="n">
        <v>388000</v>
      </c>
      <c r="J776" s="8"/>
      <c r="K776" s="8" t="n">
        <v>1</v>
      </c>
      <c r="L776" s="12" t="n">
        <v>9</v>
      </c>
      <c r="M776" s="11" t="e">
        <f aca="false">IF(AND(ISNUMBER(L776),L776&gt;0),(3*J776+K776)*#REF!/L776,"-")</f>
        <v>#REF!</v>
      </c>
      <c r="N776" s="11" t="e">
        <f aca="false">IF(AND(#REF!,ISNUMBER(L776),L776&gt;0),((3*J776+K776)*#REF!-I776)/L776,"-")</f>
        <v>#REF!</v>
      </c>
      <c r="O776" s="8"/>
      <c r="P776" s="8"/>
    </row>
    <row r="777" customFormat="false" ht="15.75" hidden="false" customHeight="true" outlineLevel="0" collapsed="false">
      <c r="A777" s="7" t="s">
        <v>1616</v>
      </c>
      <c r="B777" s="8" t="s">
        <v>1614</v>
      </c>
      <c r="C777" s="8" t="n">
        <v>2017</v>
      </c>
      <c r="D777" s="9" t="s">
        <v>1617</v>
      </c>
      <c r="E777" s="7" t="s">
        <v>86</v>
      </c>
      <c r="F777" s="10" t="n">
        <f aca="false">IF(ISBLANK($G777),,VLOOKUP($G777, Rarities!$A$1:$B869, 2, FALSE()))</f>
        <v>3</v>
      </c>
      <c r="G777" s="8" t="s">
        <v>53</v>
      </c>
      <c r="H777" s="8" t="str">
        <f aca="false">VLOOKUP(B777,Manufacturers!A$1:B869,2)</f>
        <v>US</v>
      </c>
      <c r="I777" s="11" t="n">
        <v>1000000</v>
      </c>
      <c r="J777" s="8"/>
      <c r="K777" s="8"/>
      <c r="L777" s="12"/>
      <c r="M777" s="11"/>
      <c r="N777" s="11"/>
      <c r="O777" s="8"/>
      <c r="P777" s="8"/>
    </row>
    <row r="778" customFormat="false" ht="15.75" hidden="false" customHeight="true" outlineLevel="0" collapsed="false">
      <c r="A778" s="7" t="s">
        <v>1618</v>
      </c>
      <c r="B778" s="8" t="s">
        <v>1614</v>
      </c>
      <c r="C778" s="8" t="n">
        <v>2018</v>
      </c>
      <c r="D778" s="9" t="s">
        <v>164</v>
      </c>
      <c r="E778" s="7" t="s">
        <v>35</v>
      </c>
      <c r="F778" s="10" t="n">
        <f aca="false">IF(ISBLANK($G778),,VLOOKUP($G778, Rarities!$A$1:$B869, 2, FALSE()))</f>
        <v>3</v>
      </c>
      <c r="G778" s="8" t="s">
        <v>53</v>
      </c>
      <c r="H778" s="8" t="str">
        <f aca="false">VLOOKUP(B778,Manufacturers!A$1:B869,2)</f>
        <v>US</v>
      </c>
      <c r="I778" s="11" t="n">
        <v>200000</v>
      </c>
      <c r="J778" s="8" t="n">
        <v>1</v>
      </c>
      <c r="K778" s="8"/>
      <c r="L778" s="12" t="n">
        <v>10</v>
      </c>
      <c r="M778" s="11" t="e">
        <f aca="false">IF(AND(ISNUMBER(L778),L778&gt;0),(3*J778+K778)*#REF!/L778,"-")</f>
        <v>#REF!</v>
      </c>
      <c r="N778" s="11" t="e">
        <f aca="false">IF(AND(#REF!,ISNUMBER(L778),L778&gt;0),((3*J778+K778)*#REF!-I778)/L778,"-")</f>
        <v>#REF!</v>
      </c>
      <c r="O778" s="8"/>
      <c r="P778" s="8"/>
    </row>
    <row r="779" customFormat="false" ht="15.75" hidden="false" customHeight="true" outlineLevel="0" collapsed="false">
      <c r="A779" s="7" t="s">
        <v>1619</v>
      </c>
      <c r="B779" s="8" t="s">
        <v>1614</v>
      </c>
      <c r="C779" s="8" t="n">
        <v>2020</v>
      </c>
      <c r="D779" s="9" t="s">
        <v>1620</v>
      </c>
      <c r="E779" s="7" t="s">
        <v>353</v>
      </c>
      <c r="F779" s="10" t="n">
        <f aca="false">IF(ISBLANK($G779),,VLOOKUP($G779, Rarities!$A$1:$B869, 2, FALSE()))</f>
        <v>3</v>
      </c>
      <c r="G779" s="8" t="s">
        <v>53</v>
      </c>
      <c r="H779" s="8" t="str">
        <f aca="false">VLOOKUP(B779,Manufacturers!A$1:B869,2)</f>
        <v>US</v>
      </c>
      <c r="I779" s="11" t="n">
        <v>150000</v>
      </c>
      <c r="J779" s="8"/>
      <c r="K779" s="8"/>
      <c r="L779" s="12"/>
      <c r="M779" s="11"/>
      <c r="N779" s="11"/>
      <c r="O779" s="8"/>
      <c r="P779" s="8"/>
    </row>
    <row r="780" customFormat="false" ht="15.75" hidden="false" customHeight="true" outlineLevel="0" collapsed="false">
      <c r="A780" s="7" t="s">
        <v>1621</v>
      </c>
      <c r="B780" s="8" t="s">
        <v>1622</v>
      </c>
      <c r="C780" s="8" t="n">
        <v>1993</v>
      </c>
      <c r="D780" s="9" t="s">
        <v>1623</v>
      </c>
      <c r="E780" s="7" t="s">
        <v>215</v>
      </c>
      <c r="F780" s="10" t="n">
        <f aca="false">IF(ISBLANK($G780),,VLOOKUP($G780, Rarities!$A$1:$B869, 2, FALSE()))</f>
        <v>1</v>
      </c>
      <c r="G780" s="8" t="s">
        <v>17</v>
      </c>
      <c r="H780" s="8" t="str">
        <f aca="false">VLOOKUP(B780,Manufacturers!A$1:B869,2)</f>
        <v>GB</v>
      </c>
      <c r="I780" s="11" t="n">
        <v>2500000</v>
      </c>
      <c r="J780" s="8"/>
      <c r="K780" s="8"/>
      <c r="L780" s="12"/>
      <c r="M780" s="11"/>
      <c r="N780" s="11"/>
      <c r="O780" s="8"/>
      <c r="P780" s="8"/>
    </row>
    <row r="781" customFormat="false" ht="15.75" hidden="false" customHeight="true" outlineLevel="0" collapsed="false">
      <c r="A781" s="7" t="s">
        <v>1624</v>
      </c>
      <c r="B781" s="8" t="s">
        <v>1625</v>
      </c>
      <c r="C781" s="8" t="n">
        <v>1965</v>
      </c>
      <c r="D781" s="9" t="s">
        <v>1626</v>
      </c>
      <c r="E781" s="7" t="s">
        <v>44</v>
      </c>
      <c r="F781" s="10" t="n">
        <f aca="false">IF(ISBLANK($G781),,VLOOKUP($G781, Rarities!$A$1:$B869, 2, FALSE()))</f>
        <v>4</v>
      </c>
      <c r="G781" s="8" t="s">
        <v>41</v>
      </c>
      <c r="H781" s="8" t="str">
        <f aca="false">VLOOKUP(B781,Manufacturers!A$1:B869,2)</f>
        <v>US</v>
      </c>
      <c r="I781" s="11" t="n">
        <v>2100000</v>
      </c>
      <c r="J781" s="8"/>
      <c r="K781" s="8" t="n">
        <v>3</v>
      </c>
      <c r="L781" s="12" t="n">
        <v>28</v>
      </c>
      <c r="M781" s="11" t="e">
        <f aca="false">IF(AND(ISNUMBER(L781),L781&gt;0),(3*J781+K781)*#REF!/L781,"-")</f>
        <v>#REF!</v>
      </c>
      <c r="N781" s="11" t="e">
        <f aca="false">IF(AND(#REF!,ISNUMBER(L781),L781&gt;0),((3*J781+K781)*#REF!-I781)/L781,"-")</f>
        <v>#REF!</v>
      </c>
      <c r="O781" s="8"/>
      <c r="P781" s="8"/>
    </row>
    <row r="782" customFormat="false" ht="15.75" hidden="false" customHeight="true" outlineLevel="0" collapsed="false">
      <c r="A782" s="7" t="s">
        <v>1627</v>
      </c>
      <c r="B782" s="8" t="s">
        <v>1625</v>
      </c>
      <c r="C782" s="8" t="n">
        <v>1965</v>
      </c>
      <c r="D782" s="9" t="s">
        <v>1628</v>
      </c>
      <c r="E782" s="7" t="s">
        <v>40</v>
      </c>
      <c r="F782" s="10" t="n">
        <f aca="false">IF(ISBLANK($G782),,VLOOKUP($G782, Rarities!$A$1:$B869, 2, FALSE()))</f>
        <v>4</v>
      </c>
      <c r="G782" s="8" t="s">
        <v>41</v>
      </c>
      <c r="H782" s="8" t="str">
        <f aca="false">VLOOKUP(B782,Manufacturers!A$1:B869,2)</f>
        <v>US</v>
      </c>
      <c r="I782" s="11" t="n">
        <v>30000000</v>
      </c>
      <c r="J782" s="8" t="n">
        <v>2</v>
      </c>
      <c r="K782" s="8" t="n">
        <v>1</v>
      </c>
      <c r="L782" s="12" t="n">
        <v>23</v>
      </c>
      <c r="M782" s="11" t="e">
        <f aca="false">IF(AND(ISNUMBER(L782),L782&gt;0),(3*J782+K782)*#REF!/L782,"-")</f>
        <v>#REF!</v>
      </c>
      <c r="N782" s="11" t="e">
        <f aca="false">IF(AND(#REF!,ISNUMBER(L782),L782&gt;0),((3*J782+K782)*#REF!-I782)/L782,"-")</f>
        <v>#REF!</v>
      </c>
      <c r="O782" s="8"/>
      <c r="P782" s="8"/>
    </row>
    <row r="783" customFormat="false" ht="15.75" hidden="false" customHeight="true" outlineLevel="0" collapsed="false">
      <c r="A783" s="7" t="s">
        <v>1629</v>
      </c>
      <c r="B783" s="8" t="s">
        <v>1625</v>
      </c>
      <c r="C783" s="8" t="n">
        <v>1967</v>
      </c>
      <c r="D783" s="9" t="s">
        <v>1630</v>
      </c>
      <c r="E783" s="7" t="s">
        <v>76</v>
      </c>
      <c r="F783" s="10" t="n">
        <f aca="false">IF(ISBLANK($G783),,VLOOKUP($G783, Rarities!$A$1:$B869, 2, FALSE()))</f>
        <v>3</v>
      </c>
      <c r="G783" s="8" t="s">
        <v>53</v>
      </c>
      <c r="H783" s="8" t="str">
        <f aca="false">VLOOKUP(B783,Manufacturers!A$1:B869,2)</f>
        <v>US</v>
      </c>
      <c r="I783" s="11" t="n">
        <v>250000</v>
      </c>
      <c r="J783" s="8"/>
      <c r="K783" s="8"/>
      <c r="L783" s="12"/>
      <c r="M783" s="11"/>
      <c r="N783" s="11"/>
      <c r="O783" s="8"/>
      <c r="P783" s="8"/>
    </row>
    <row r="784" customFormat="false" ht="15.75" hidden="false" customHeight="true" outlineLevel="0" collapsed="false">
      <c r="A784" s="7" t="s">
        <v>1631</v>
      </c>
      <c r="B784" s="8" t="s">
        <v>1632</v>
      </c>
      <c r="C784" s="8" t="n">
        <v>2020</v>
      </c>
      <c r="D784" s="9" t="s">
        <v>1633</v>
      </c>
      <c r="E784" s="7" t="s">
        <v>86</v>
      </c>
      <c r="F784" s="10" t="n">
        <f aca="false">IF(ISBLANK($G784),,VLOOKUP($G784, Rarities!$A$1:$B869, 2, FALSE()))</f>
        <v>3</v>
      </c>
      <c r="G784" s="8" t="s">
        <v>53</v>
      </c>
      <c r="H784" s="8" t="str">
        <f aca="false">VLOOKUP(B784,Manufacturers!A$1:B869,2)</f>
        <v>US</v>
      </c>
      <c r="I784" s="11" t="n">
        <v>70000</v>
      </c>
      <c r="J784" s="8"/>
      <c r="K784" s="8"/>
      <c r="L784" s="12"/>
      <c r="M784" s="11"/>
      <c r="N784" s="11"/>
      <c r="O784" s="8"/>
      <c r="P784" s="8"/>
    </row>
    <row r="785" customFormat="false" ht="15.75" hidden="false" customHeight="true" outlineLevel="0" collapsed="false">
      <c r="A785" s="7" t="s">
        <v>1634</v>
      </c>
      <c r="B785" s="8" t="s">
        <v>1632</v>
      </c>
      <c r="C785" s="8" t="n">
        <v>2021</v>
      </c>
      <c r="D785" s="9" t="s">
        <v>1635</v>
      </c>
      <c r="E785" s="7" t="s">
        <v>313</v>
      </c>
      <c r="F785" s="10" t="n">
        <f aca="false">IF(ISBLANK($G785),,VLOOKUP($G785, Rarities!$A$1:$B869, 2, FALSE()))</f>
        <v>2</v>
      </c>
      <c r="G785" s="8" t="s">
        <v>36</v>
      </c>
      <c r="H785" s="8" t="str">
        <f aca="false">VLOOKUP(B785,Manufacturers!A$1:B869,2)</f>
        <v>US</v>
      </c>
      <c r="I785" s="11" t="n">
        <v>250000</v>
      </c>
      <c r="J785" s="8"/>
      <c r="K785" s="8"/>
      <c r="L785" s="12"/>
      <c r="M785" s="11"/>
      <c r="N785" s="11"/>
      <c r="O785" s="8"/>
      <c r="P785" s="8"/>
    </row>
    <row r="786" customFormat="false" ht="15.75" hidden="false" customHeight="true" outlineLevel="0" collapsed="false">
      <c r="A786" s="7" t="s">
        <v>1636</v>
      </c>
      <c r="B786" s="8" t="s">
        <v>1632</v>
      </c>
      <c r="C786" s="8" t="n">
        <v>2021</v>
      </c>
      <c r="D786" s="9" t="s">
        <v>1637</v>
      </c>
      <c r="E786" s="7" t="s">
        <v>313</v>
      </c>
      <c r="F786" s="10" t="n">
        <f aca="false">IF(ISBLANK($G786),,VLOOKUP($G786, Rarities!$A$1:$B869, 2, FALSE()))</f>
        <v>2</v>
      </c>
      <c r="G786" s="8" t="s">
        <v>36</v>
      </c>
      <c r="H786" s="8" t="str">
        <f aca="false">VLOOKUP(B786,Manufacturers!A$1:B869,2)</f>
        <v>US</v>
      </c>
      <c r="I786" s="11" t="n">
        <v>45000</v>
      </c>
      <c r="J786" s="8"/>
      <c r="K786" s="8" t="n">
        <v>1</v>
      </c>
      <c r="L786" s="12" t="n">
        <v>14</v>
      </c>
      <c r="M786" s="11" t="e">
        <f aca="false">IF(AND(ISNUMBER(L786),L786&gt;0),(3*J786+K786)*#REF!/L786,"-")</f>
        <v>#REF!</v>
      </c>
      <c r="N786" s="11" t="e">
        <f aca="false">IF(AND(#REF!,ISNUMBER(L786),L786&gt;0),((3*J786+K786)*#REF!-I786)/L786,"-")</f>
        <v>#REF!</v>
      </c>
      <c r="O786" s="8"/>
      <c r="P786" s="8"/>
    </row>
    <row r="787" customFormat="false" ht="15.75" hidden="false" customHeight="true" outlineLevel="0" collapsed="false">
      <c r="A787" s="7" t="s">
        <v>1638</v>
      </c>
      <c r="B787" s="8" t="s">
        <v>1639</v>
      </c>
      <c r="C787" s="8" t="n">
        <v>2016</v>
      </c>
      <c r="D787" s="9" t="s">
        <v>1638</v>
      </c>
      <c r="E787" s="7" t="s">
        <v>35</v>
      </c>
      <c r="F787" s="10" t="n">
        <f aca="false">IF(ISBLANK($G787),,VLOOKUP($G787, Rarities!$A$1:$B869, 2, FALSE()))</f>
        <v>3</v>
      </c>
      <c r="G787" s="8" t="s">
        <v>53</v>
      </c>
      <c r="H787" s="8" t="str">
        <f aca="false">VLOOKUP(B787,Manufacturers!A$1:B869,2)</f>
        <v>ES</v>
      </c>
      <c r="I787" s="11" t="n">
        <v>800000</v>
      </c>
      <c r="J787" s="8"/>
      <c r="K787" s="8"/>
      <c r="L787" s="12"/>
      <c r="M787" s="11"/>
      <c r="N787" s="11"/>
      <c r="O787" s="8"/>
      <c r="P787" s="8"/>
    </row>
    <row r="788" customFormat="false" ht="15.75" hidden="false" customHeight="true" outlineLevel="0" collapsed="false">
      <c r="A788" s="7" t="s">
        <v>1640</v>
      </c>
      <c r="B788" s="8" t="s">
        <v>1641</v>
      </c>
      <c r="C788" s="8" t="n">
        <v>1980</v>
      </c>
      <c r="D788" s="9" t="s">
        <v>1642</v>
      </c>
      <c r="E788" s="7" t="s">
        <v>350</v>
      </c>
      <c r="F788" s="10" t="n">
        <f aca="false">IF(ISBLANK($G788),,VLOOKUP($G788, Rarities!$A$1:$B869, 2, FALSE()))</f>
        <v>1</v>
      </c>
      <c r="G788" s="8" t="s">
        <v>17</v>
      </c>
      <c r="H788" s="8" t="str">
        <f aca="false">VLOOKUP(B788,Manufacturers!A$1:B869,2)</f>
        <v>JP</v>
      </c>
      <c r="I788" s="11" t="n">
        <v>250000</v>
      </c>
      <c r="J788" s="8"/>
      <c r="K788" s="8"/>
      <c r="L788" s="12"/>
      <c r="M788" s="11"/>
      <c r="N788" s="11"/>
      <c r="O788" s="8"/>
      <c r="P788" s="8"/>
    </row>
    <row r="789" customFormat="false" ht="15.75" hidden="false" customHeight="true" outlineLevel="0" collapsed="false">
      <c r="A789" s="7" t="s">
        <v>1643</v>
      </c>
      <c r="B789" s="8" t="s">
        <v>1641</v>
      </c>
      <c r="C789" s="8" t="n">
        <v>1990</v>
      </c>
      <c r="D789" s="9" t="s">
        <v>1644</v>
      </c>
      <c r="E789" s="7" t="s">
        <v>136</v>
      </c>
      <c r="F789" s="10" t="n">
        <f aca="false">IF(ISBLANK($G789),,VLOOKUP($G789, Rarities!$A$1:$B869, 2, FALSE()))</f>
        <v>1</v>
      </c>
      <c r="G789" s="8" t="s">
        <v>17</v>
      </c>
      <c r="H789" s="8" t="str">
        <f aca="false">VLOOKUP(B789,Manufacturers!A$1:B869,2)</f>
        <v>JP</v>
      </c>
      <c r="I789" s="11" t="n">
        <v>250000</v>
      </c>
      <c r="J789" s="8"/>
      <c r="K789" s="8"/>
      <c r="L789" s="12"/>
      <c r="M789" s="11"/>
      <c r="N789" s="11"/>
      <c r="O789" s="8"/>
      <c r="P789" s="8"/>
    </row>
    <row r="790" customFormat="false" ht="15.75" hidden="false" customHeight="true" outlineLevel="0" collapsed="false">
      <c r="A790" s="7" t="s">
        <v>1645</v>
      </c>
      <c r="B790" s="8" t="s">
        <v>1641</v>
      </c>
      <c r="C790" s="8" t="n">
        <v>1998</v>
      </c>
      <c r="D790" s="9" t="s">
        <v>1646</v>
      </c>
      <c r="E790" s="7" t="s">
        <v>136</v>
      </c>
      <c r="F790" s="10" t="n">
        <f aca="false">IF(ISBLANK($G790),,VLOOKUP($G790, Rarities!$A$1:$B869, 2, FALSE()))</f>
        <v>4</v>
      </c>
      <c r="G790" s="8" t="s">
        <v>41</v>
      </c>
      <c r="H790" s="8" t="str">
        <f aca="false">VLOOKUP(B790,Manufacturers!A$1:B869,2)</f>
        <v>JP</v>
      </c>
      <c r="I790" s="11" t="n">
        <v>110000</v>
      </c>
      <c r="J790" s="8"/>
      <c r="K790" s="8" t="n">
        <v>1</v>
      </c>
      <c r="L790" s="12" t="n">
        <v>9</v>
      </c>
      <c r="M790" s="11" t="e">
        <f aca="false">IF(AND(ISNUMBER(L790),L790&gt;0),(3*J790+K790)*#REF!/L790,"-")</f>
        <v>#REF!</v>
      </c>
      <c r="N790" s="11" t="e">
        <f aca="false">IF(AND(#REF!,ISNUMBER(L790),L790&gt;0),((3*J790+K790)*#REF!-I790)/L790,"-")</f>
        <v>#REF!</v>
      </c>
      <c r="O790" s="8"/>
      <c r="P790" s="8"/>
    </row>
    <row r="791" customFormat="false" ht="15.75" hidden="false" customHeight="true" outlineLevel="0" collapsed="false">
      <c r="A791" s="7" t="s">
        <v>1647</v>
      </c>
      <c r="B791" s="8" t="s">
        <v>1641</v>
      </c>
      <c r="C791" s="8" t="n">
        <v>2004</v>
      </c>
      <c r="D791" s="9" t="s">
        <v>1648</v>
      </c>
      <c r="E791" s="7" t="s">
        <v>1305</v>
      </c>
      <c r="F791" s="10" t="n">
        <f aca="false">IF(ISBLANK($G791),,VLOOKUP($G791, Rarities!$A$1:$B869, 2, FALSE()))</f>
        <v>1</v>
      </c>
      <c r="G791" s="8" t="s">
        <v>17</v>
      </c>
      <c r="H791" s="8" t="str">
        <f aca="false">VLOOKUP(B791,Manufacturers!A$1:B869,2)</f>
        <v>JP</v>
      </c>
      <c r="I791" s="11" t="n">
        <v>28000</v>
      </c>
      <c r="J791" s="8"/>
      <c r="K791" s="8" t="n">
        <v>1</v>
      </c>
      <c r="L791" s="12" t="n">
        <v>9</v>
      </c>
      <c r="M791" s="11" t="e">
        <f aca="false">IF(AND(ISNUMBER(L791),L791&gt;0),(3*J791+K791)*#REF!/L791,"-")</f>
        <v>#REF!</v>
      </c>
      <c r="N791" s="11" t="e">
        <f aca="false">IF(AND(#REF!,ISNUMBER(L791),L791&gt;0),((3*J791+K791)*#REF!-I791)/L791,"-")</f>
        <v>#REF!</v>
      </c>
      <c r="O791" s="8"/>
      <c r="P791" s="8"/>
    </row>
    <row r="792" customFormat="false" ht="15.75" hidden="false" customHeight="true" outlineLevel="0" collapsed="false">
      <c r="A792" s="7" t="s">
        <v>1649</v>
      </c>
      <c r="B792" s="8" t="s">
        <v>1641</v>
      </c>
      <c r="C792" s="8" t="n">
        <v>2005</v>
      </c>
      <c r="D792" s="9" t="s">
        <v>1648</v>
      </c>
      <c r="E792" s="7" t="s">
        <v>1305</v>
      </c>
      <c r="F792" s="10" t="n">
        <f aca="false">IF(ISBLANK($G792),,VLOOKUP($G792, Rarities!$A$1:$B869, 2, FALSE()))</f>
        <v>1</v>
      </c>
      <c r="G792" s="8" t="s">
        <v>17</v>
      </c>
      <c r="H792" s="8" t="str">
        <f aca="false">VLOOKUP(B792,Manufacturers!A$1:B869,2)</f>
        <v>JP</v>
      </c>
      <c r="I792" s="11" t="n">
        <v>51000</v>
      </c>
      <c r="J792" s="8"/>
      <c r="K792" s="8" t="n">
        <v>1</v>
      </c>
      <c r="L792" s="12" t="n">
        <v>9</v>
      </c>
      <c r="M792" s="11" t="e">
        <f aca="false">IF(AND(ISNUMBER(L792),L792&gt;0),(3*J792+K792)*#REF!/L792,"-")</f>
        <v>#REF!</v>
      </c>
      <c r="N792" s="11" t="e">
        <f aca="false">IF(AND(#REF!,ISNUMBER(L792),L792&gt;0),((3*J792+K792)*#REF!-I792)/L792,"-")</f>
        <v>#REF!</v>
      </c>
      <c r="O792" s="8"/>
      <c r="P792" s="8"/>
    </row>
    <row r="793" customFormat="false" ht="15.75" hidden="false" customHeight="true" outlineLevel="0" collapsed="false">
      <c r="A793" s="7" t="s">
        <v>244</v>
      </c>
      <c r="B793" s="8" t="s">
        <v>1641</v>
      </c>
      <c r="C793" s="8" t="n">
        <v>2005</v>
      </c>
      <c r="D793" s="9" t="s">
        <v>1650</v>
      </c>
      <c r="E793" s="7" t="s">
        <v>244</v>
      </c>
      <c r="F793" s="10" t="n">
        <f aca="false">IF(ISBLANK($G793),,VLOOKUP($G793, Rarities!$A$1:$B869, 2, FALSE()))</f>
        <v>0</v>
      </c>
      <c r="G793" s="8" t="s">
        <v>244</v>
      </c>
      <c r="H793" s="8" t="str">
        <f aca="false">VLOOKUP(B793,Manufacturers!A$1:B869,2)</f>
        <v>JP</v>
      </c>
      <c r="I793" s="11" t="s">
        <v>244</v>
      </c>
      <c r="J793" s="8"/>
      <c r="K793" s="8"/>
      <c r="L793" s="12" t="s">
        <v>244</v>
      </c>
      <c r="M793" s="11" t="str">
        <f aca="false">IF(AND(ISNUMBER(L793),L793&gt;0),(3*J793+K793)*#REF!/L793,"-")</f>
        <v>-</v>
      </c>
      <c r="N793" s="11" t="e">
        <f aca="false">IF(AND(#REF!,ISNUMBER(L793),L793&gt;0),((3*J793+K793)*#REF!-I793)/L793,"-")</f>
        <v>#REF!</v>
      </c>
      <c r="O793" s="8"/>
      <c r="P793" s="8"/>
    </row>
    <row r="794" customFormat="false" ht="15.75" hidden="false" customHeight="true" outlineLevel="0" collapsed="false">
      <c r="A794" s="7" t="s">
        <v>1651</v>
      </c>
      <c r="B794" s="8" t="s">
        <v>1641</v>
      </c>
      <c r="C794" s="8" t="n">
        <v>2008</v>
      </c>
      <c r="D794" s="9" t="s">
        <v>1652</v>
      </c>
      <c r="E794" s="7" t="s">
        <v>1305</v>
      </c>
      <c r="F794" s="10" t="n">
        <f aca="false">IF(ISBLANK($G794),,VLOOKUP($G794, Rarities!$A$1:$B869, 2, FALSE()))</f>
        <v>2</v>
      </c>
      <c r="G794" s="8" t="s">
        <v>36</v>
      </c>
      <c r="H794" s="8" t="str">
        <f aca="false">VLOOKUP(B794,Manufacturers!A$1:B869,2)</f>
        <v>JP</v>
      </c>
      <c r="I794" s="11" t="n">
        <v>31000</v>
      </c>
      <c r="J794" s="8"/>
      <c r="K794" s="8" t="n">
        <v>1</v>
      </c>
      <c r="L794" s="12" t="n">
        <v>9</v>
      </c>
      <c r="M794" s="11" t="e">
        <f aca="false">IF(AND(ISNUMBER(L794),L794&gt;0),(3*J794+K794)*#REF!/L794,"-")</f>
        <v>#REF!</v>
      </c>
      <c r="N794" s="11" t="e">
        <f aca="false">IF(AND(#REF!,ISNUMBER(L794),L794&gt;0),((3*J794+K794)*#REF!-I794)/L794,"-")</f>
        <v>#REF!</v>
      </c>
      <c r="O794" s="8"/>
      <c r="P794" s="8"/>
    </row>
    <row r="795" customFormat="false" ht="15.75" hidden="false" customHeight="true" outlineLevel="0" collapsed="false">
      <c r="A795" s="7" t="s">
        <v>1653</v>
      </c>
      <c r="B795" s="8" t="s">
        <v>1641</v>
      </c>
      <c r="C795" s="8" t="n">
        <v>2011</v>
      </c>
      <c r="D795" s="9" t="s">
        <v>1654</v>
      </c>
      <c r="E795" s="7" t="s">
        <v>1305</v>
      </c>
      <c r="F795" s="10" t="n">
        <f aca="false">IF(ISBLANK($G795),,VLOOKUP($G795, Rarities!$A$1:$B869, 2, FALSE()))</f>
        <v>2</v>
      </c>
      <c r="G795" s="8" t="s">
        <v>36</v>
      </c>
      <c r="H795" s="8" t="str">
        <f aca="false">VLOOKUP(B795,Manufacturers!A$1:B869,2)</f>
        <v>JP</v>
      </c>
      <c r="I795" s="11" t="n">
        <v>33000</v>
      </c>
      <c r="J795" s="8"/>
      <c r="K795" s="8" t="n">
        <v>1</v>
      </c>
      <c r="L795" s="12" t="n">
        <v>9</v>
      </c>
      <c r="M795" s="11" t="e">
        <f aca="false">IF(AND(ISNUMBER(L795),L795&gt;0),(3*J795+K795)*#REF!/L795,"-")</f>
        <v>#REF!</v>
      </c>
      <c r="N795" s="11" t="e">
        <f aca="false">IF(AND(#REF!,ISNUMBER(L795),L795&gt;0),((3*J795+K795)*#REF!-I795)/L795,"-")</f>
        <v>#REF!</v>
      </c>
      <c r="O795" s="8"/>
      <c r="P795" s="8"/>
    </row>
    <row r="796" customFormat="false" ht="15.75" hidden="false" customHeight="true" outlineLevel="0" collapsed="false">
      <c r="A796" s="7" t="s">
        <v>1655</v>
      </c>
      <c r="B796" s="8" t="s">
        <v>1641</v>
      </c>
      <c r="C796" s="8" t="n">
        <v>2013</v>
      </c>
      <c r="D796" s="9" t="s">
        <v>1656</v>
      </c>
      <c r="E796" s="7" t="s">
        <v>26</v>
      </c>
      <c r="F796" s="10" t="n">
        <f aca="false">IF(ISBLANK($G796),,VLOOKUP($G796, Rarities!$A$1:$B869, 2, FALSE()))</f>
        <v>1</v>
      </c>
      <c r="G796" s="8" t="s">
        <v>17</v>
      </c>
      <c r="H796" s="8" t="str">
        <f aca="false">VLOOKUP(B796,Manufacturers!A$1:B869,2)</f>
        <v>JP</v>
      </c>
      <c r="I796" s="11" t="n">
        <v>32000</v>
      </c>
      <c r="J796" s="8"/>
      <c r="K796" s="8" t="n">
        <v>1</v>
      </c>
      <c r="L796" s="12" t="n">
        <v>9</v>
      </c>
      <c r="M796" s="11" t="e">
        <f aca="false">IF(AND(ISNUMBER(L796),L796&gt;0),(3*J796+K796)*#REF!/L796,"-")</f>
        <v>#REF!</v>
      </c>
      <c r="N796" s="11" t="e">
        <f aca="false">IF(AND(#REF!,ISNUMBER(L796),L796&gt;0),((3*J796+K796)*#REF!-I796)/L796,"-")</f>
        <v>#REF!</v>
      </c>
      <c r="O796" s="8"/>
      <c r="P796" s="8"/>
    </row>
    <row r="797" customFormat="false" ht="15.75" hidden="false" customHeight="true" outlineLevel="0" collapsed="false">
      <c r="A797" s="7" t="s">
        <v>1657</v>
      </c>
      <c r="B797" s="8" t="s">
        <v>1641</v>
      </c>
      <c r="C797" s="8" t="n">
        <v>2015</v>
      </c>
      <c r="D797" s="9" t="s">
        <v>1654</v>
      </c>
      <c r="E797" s="7" t="s">
        <v>1305</v>
      </c>
      <c r="F797" s="10" t="n">
        <f aca="false">IF(ISBLANK($G797),,VLOOKUP($G797, Rarities!$A$1:$B869, 2, FALSE()))</f>
        <v>1</v>
      </c>
      <c r="G797" s="8" t="s">
        <v>17</v>
      </c>
      <c r="H797" s="8" t="str">
        <f aca="false">VLOOKUP(B797,Manufacturers!A$1:B869,2)</f>
        <v>JP</v>
      </c>
      <c r="I797" s="11" t="n">
        <v>42000</v>
      </c>
      <c r="J797" s="8"/>
      <c r="K797" s="8" t="n">
        <v>1</v>
      </c>
      <c r="L797" s="12" t="n">
        <v>9</v>
      </c>
      <c r="M797" s="11" t="e">
        <f aca="false">IF(AND(ISNUMBER(L797),L797&gt;0),(3*J797+K797)*#REF!/L797,"-")</f>
        <v>#REF!</v>
      </c>
      <c r="N797" s="11" t="e">
        <f aca="false">IF(AND(#REF!,ISNUMBER(L797),L797&gt;0),((3*J797+K797)*#REF!-I797)/L797,"-")</f>
        <v>#REF!</v>
      </c>
      <c r="O797" s="8"/>
      <c r="P797" s="8"/>
    </row>
    <row r="798" customFormat="false" ht="15.75" hidden="false" customHeight="true" outlineLevel="0" collapsed="false">
      <c r="A798" s="7" t="s">
        <v>1658</v>
      </c>
      <c r="B798" s="8" t="s">
        <v>1641</v>
      </c>
      <c r="C798" s="8" t="n">
        <v>2018</v>
      </c>
      <c r="D798" s="9" t="s">
        <v>1659</v>
      </c>
      <c r="E798" s="7" t="s">
        <v>139</v>
      </c>
      <c r="F798" s="10" t="n">
        <f aca="false">IF(ISBLANK($G798),,VLOOKUP($G798, Rarities!$A$1:$B869, 2, FALSE()))</f>
        <v>1</v>
      </c>
      <c r="G798" s="8" t="s">
        <v>17</v>
      </c>
      <c r="H798" s="8" t="str">
        <f aca="false">VLOOKUP(B798,Manufacturers!A$1:B869,2)</f>
        <v>JP</v>
      </c>
      <c r="I798" s="11" t="n">
        <v>500000</v>
      </c>
      <c r="J798" s="8"/>
      <c r="K798" s="8"/>
      <c r="L798" s="12"/>
      <c r="M798" s="11"/>
      <c r="N798" s="11"/>
      <c r="O798" s="8"/>
      <c r="P798" s="8"/>
    </row>
    <row r="799" customFormat="false" ht="15.75" hidden="false" customHeight="true" outlineLevel="0" collapsed="false">
      <c r="A799" s="7" t="s">
        <v>1660</v>
      </c>
      <c r="B799" s="8" t="s">
        <v>1641</v>
      </c>
      <c r="C799" s="8" t="n">
        <v>2019</v>
      </c>
      <c r="D799" s="9" t="s">
        <v>1661</v>
      </c>
      <c r="E799" s="7" t="s">
        <v>1305</v>
      </c>
      <c r="F799" s="10" t="n">
        <f aca="false">IF(ISBLANK($G799),,VLOOKUP($G799, Rarities!$A$1:$B869, 2, FALSE()))</f>
        <v>1</v>
      </c>
      <c r="G799" s="8" t="s">
        <v>17</v>
      </c>
      <c r="H799" s="8" t="str">
        <f aca="false">VLOOKUP(B799,Manufacturers!A$1:B869,2)</f>
        <v>JP</v>
      </c>
      <c r="I799" s="11" t="n">
        <v>70000</v>
      </c>
      <c r="J799" s="8"/>
      <c r="K799" s="8" t="n">
        <v>1</v>
      </c>
      <c r="L799" s="12" t="n">
        <v>9</v>
      </c>
      <c r="M799" s="11" t="e">
        <f aca="false">IF(AND(ISNUMBER(L799),L799&gt;0),(3*J799+K799)*#REF!/L799,"-")</f>
        <v>#REF!</v>
      </c>
      <c r="N799" s="11" t="e">
        <f aca="false">IF(AND(#REF!,ISNUMBER(L799),L799&gt;0),((3*J799+K799)*#REF!-I799)/L799,"-")</f>
        <v>#REF!</v>
      </c>
      <c r="O799" s="8"/>
      <c r="P799" s="8"/>
    </row>
    <row r="800" customFormat="false" ht="15.75" hidden="false" customHeight="true" outlineLevel="0" collapsed="false">
      <c r="A800" s="7" t="s">
        <v>1662</v>
      </c>
      <c r="B800" s="8" t="s">
        <v>1641</v>
      </c>
      <c r="C800" s="8" t="n">
        <v>2022</v>
      </c>
      <c r="D800" s="9" t="s">
        <v>1656</v>
      </c>
      <c r="E800" s="7" t="s">
        <v>26</v>
      </c>
      <c r="F800" s="10" t="n">
        <f aca="false">IF(ISBLANK($G800),,VLOOKUP($G800, Rarities!$A$1:$B869, 2, FALSE()))</f>
        <v>3</v>
      </c>
      <c r="G800" s="8" t="s">
        <v>53</v>
      </c>
      <c r="H800" s="8" t="str">
        <f aca="false">VLOOKUP(B800,Manufacturers!A$1:B869,2)</f>
        <v>JP</v>
      </c>
      <c r="I800" s="11" t="n">
        <v>250000</v>
      </c>
      <c r="J800" s="8"/>
      <c r="K800" s="8"/>
      <c r="L800" s="12"/>
      <c r="M800" s="11"/>
      <c r="N800" s="11"/>
      <c r="O800" s="8"/>
      <c r="P800" s="8"/>
    </row>
    <row r="801" customFormat="false" ht="15.75" hidden="false" customHeight="true" outlineLevel="0" collapsed="false">
      <c r="A801" s="7" t="s">
        <v>1663</v>
      </c>
      <c r="B801" s="8" t="s">
        <v>1664</v>
      </c>
      <c r="C801" s="8" t="n">
        <v>1965</v>
      </c>
      <c r="D801" s="9" t="s">
        <v>1665</v>
      </c>
      <c r="E801" s="7" t="s">
        <v>184</v>
      </c>
      <c r="F801" s="10" t="n">
        <f aca="false">IF(ISBLANK($G801),,VLOOKUP($G801, Rarities!$A$1:$B869, 2, FALSE()))</f>
        <v>2</v>
      </c>
      <c r="G801" s="8" t="s">
        <v>36</v>
      </c>
      <c r="H801" s="8" t="str">
        <f aca="false">VLOOKUP(B801,Manufacturers!A$1:B869,2)</f>
        <v>JP</v>
      </c>
      <c r="I801" s="11" t="n">
        <v>250000</v>
      </c>
      <c r="J801" s="8"/>
      <c r="K801" s="8"/>
      <c r="L801" s="12"/>
      <c r="M801" s="11"/>
      <c r="N801" s="11"/>
      <c r="O801" s="8"/>
      <c r="P801" s="8"/>
    </row>
    <row r="802" customFormat="false" ht="15.75" hidden="false" customHeight="true" outlineLevel="0" collapsed="false">
      <c r="A802" s="7" t="s">
        <v>1666</v>
      </c>
      <c r="B802" s="8" t="s">
        <v>1664</v>
      </c>
      <c r="C802" s="8" t="n">
        <v>1969</v>
      </c>
      <c r="D802" s="9" t="s">
        <v>1667</v>
      </c>
      <c r="E802" s="7" t="s">
        <v>44</v>
      </c>
      <c r="F802" s="10" t="n">
        <f aca="false">IF(ISBLANK($G802),,VLOOKUP($G802, Rarities!$A$1:$B869, 2, FALSE()))</f>
        <v>3</v>
      </c>
      <c r="G802" s="8" t="s">
        <v>53</v>
      </c>
      <c r="H802" s="8" t="str">
        <f aca="false">VLOOKUP(B802,Manufacturers!A$1:B869,2)</f>
        <v>JP</v>
      </c>
      <c r="I802" s="11" t="n">
        <v>750000</v>
      </c>
      <c r="J802" s="8"/>
      <c r="K802" s="8" t="n">
        <v>2</v>
      </c>
      <c r="L802" s="12" t="n">
        <v>11</v>
      </c>
      <c r="M802" s="11" t="e">
        <f aca="false">IF(AND(ISNUMBER(L802),L802&gt;0),(3*J802+K802)*#REF!/L802,"-")</f>
        <v>#REF!</v>
      </c>
      <c r="N802" s="11" t="e">
        <f aca="false">IF(AND(#REF!,ISNUMBER(L802),L802&gt;0),((3*J802+K802)*#REF!-I802)/L802,"-")</f>
        <v>#REF!</v>
      </c>
      <c r="O802" s="8"/>
      <c r="P802" s="8"/>
    </row>
    <row r="803" customFormat="false" ht="15.75" hidden="false" customHeight="true" outlineLevel="0" collapsed="false">
      <c r="A803" s="7" t="s">
        <v>1668</v>
      </c>
      <c r="B803" s="8" t="s">
        <v>1664</v>
      </c>
      <c r="C803" s="8" t="n">
        <v>1974</v>
      </c>
      <c r="D803" s="9" t="s">
        <v>1669</v>
      </c>
      <c r="E803" s="7" t="s">
        <v>184</v>
      </c>
      <c r="F803" s="10" t="n">
        <f aca="false">IF(ISBLANK($G803),,VLOOKUP($G803, Rarities!$A$1:$B869, 2, FALSE()))</f>
        <v>2</v>
      </c>
      <c r="G803" s="8" t="s">
        <v>36</v>
      </c>
      <c r="H803" s="8" t="str">
        <f aca="false">VLOOKUP(B803,Manufacturers!A$1:B869,2)</f>
        <v>JP</v>
      </c>
      <c r="I803" s="11" t="n">
        <v>20000</v>
      </c>
      <c r="J803" s="8"/>
      <c r="K803" s="8" t="n">
        <v>1</v>
      </c>
      <c r="L803" s="12" t="n">
        <v>9</v>
      </c>
      <c r="M803" s="11" t="e">
        <f aca="false">IF(AND(ISNUMBER(L803),L803&gt;0),(3*J803+K803)*#REF!/L803,"-")</f>
        <v>#REF!</v>
      </c>
      <c r="N803" s="11" t="e">
        <f aca="false">IF(AND(#REF!,ISNUMBER(L803),L803&gt;0),((3*J803+K803)*#REF!-I803)/L803,"-")</f>
        <v>#REF!</v>
      </c>
      <c r="O803" s="8"/>
      <c r="P803" s="8"/>
    </row>
    <row r="804" customFormat="false" ht="15.75" hidden="false" customHeight="true" outlineLevel="0" collapsed="false">
      <c r="A804" s="7" t="s">
        <v>1670</v>
      </c>
      <c r="B804" s="8" t="s">
        <v>1664</v>
      </c>
      <c r="C804" s="8" t="n">
        <v>1979</v>
      </c>
      <c r="D804" s="9" t="s">
        <v>1671</v>
      </c>
      <c r="E804" s="7" t="s">
        <v>353</v>
      </c>
      <c r="F804" s="10" t="n">
        <f aca="false">IF(ISBLANK($G804),,VLOOKUP($G804, Rarities!$A$1:$B869, 2, FALSE()))</f>
        <v>1</v>
      </c>
      <c r="G804" s="8" t="s">
        <v>17</v>
      </c>
      <c r="H804" s="8" t="str">
        <f aca="false">VLOOKUP(B804,Manufacturers!A$1:B869,2)</f>
        <v>JP</v>
      </c>
      <c r="I804" s="11" t="n">
        <v>55000</v>
      </c>
      <c r="J804" s="8"/>
      <c r="K804" s="8" t="n">
        <v>1</v>
      </c>
      <c r="L804" s="12" t="n">
        <v>9</v>
      </c>
      <c r="M804" s="11" t="e">
        <f aca="false">IF(AND(ISNUMBER(L804),L804&gt;0),(3*J804+K804)*#REF!/L804,"-")</f>
        <v>#REF!</v>
      </c>
      <c r="N804" s="11" t="e">
        <f aca="false">IF(AND(#REF!,ISNUMBER(L804),L804&gt;0),((3*J804+K804)*#REF!-I804)/L804,"-")</f>
        <v>#REF!</v>
      </c>
      <c r="O804" s="8"/>
      <c r="P804" s="8"/>
    </row>
    <row r="805" customFormat="false" ht="15.75" hidden="false" customHeight="true" outlineLevel="0" collapsed="false">
      <c r="A805" s="7" t="s">
        <v>1672</v>
      </c>
      <c r="B805" s="8" t="s">
        <v>1664</v>
      </c>
      <c r="C805" s="8" t="n">
        <v>1985</v>
      </c>
      <c r="D805" s="9" t="s">
        <v>1673</v>
      </c>
      <c r="E805" s="7" t="s">
        <v>222</v>
      </c>
      <c r="F805" s="10" t="n">
        <f aca="false">IF(ISBLANK($G805),,VLOOKUP($G805, Rarities!$A$1:$B869, 2, FALSE()))</f>
        <v>3</v>
      </c>
      <c r="G805" s="8" t="s">
        <v>53</v>
      </c>
      <c r="H805" s="8" t="str">
        <f aca="false">VLOOKUP(B805,Manufacturers!A$1:B869,2)</f>
        <v>JP</v>
      </c>
      <c r="I805" s="11" t="n">
        <v>20000</v>
      </c>
      <c r="J805" s="8"/>
      <c r="K805" s="8" t="n">
        <v>2</v>
      </c>
      <c r="L805" s="12" t="n">
        <v>16</v>
      </c>
      <c r="M805" s="11" t="e">
        <f aca="false">IF(AND(ISNUMBER(L805),L805&gt;0),(3*J805+K805)*#REF!/L805,"-")</f>
        <v>#REF!</v>
      </c>
      <c r="N805" s="11" t="e">
        <f aca="false">IF(AND(#REF!,ISNUMBER(L805),L805&gt;0),((3*J805+K805)*#REF!-I805)/L805,"-")</f>
        <v>#REF!</v>
      </c>
      <c r="O805" s="8"/>
      <c r="P805" s="8"/>
    </row>
    <row r="806" customFormat="false" ht="15.75" hidden="false" customHeight="true" outlineLevel="0" collapsed="false">
      <c r="A806" s="7" t="s">
        <v>1674</v>
      </c>
      <c r="B806" s="8" t="s">
        <v>1664</v>
      </c>
      <c r="C806" s="8" t="n">
        <v>1989</v>
      </c>
      <c r="D806" s="9" t="s">
        <v>1675</v>
      </c>
      <c r="E806" s="7" t="s">
        <v>222</v>
      </c>
      <c r="F806" s="10" t="n">
        <f aca="false">IF(ISBLANK($G806),,VLOOKUP($G806, Rarities!$A$1:$B869, 2, FALSE()))</f>
        <v>2</v>
      </c>
      <c r="G806" s="8" t="s">
        <v>36</v>
      </c>
      <c r="H806" s="8" t="str">
        <f aca="false">VLOOKUP(B806,Manufacturers!A$1:B869,2)</f>
        <v>JP</v>
      </c>
      <c r="I806" s="11" t="n">
        <v>20000</v>
      </c>
      <c r="J806" s="8"/>
      <c r="K806" s="8" t="n">
        <v>2</v>
      </c>
      <c r="L806" s="12" t="n">
        <v>11</v>
      </c>
      <c r="M806" s="11" t="e">
        <f aca="false">IF(AND(ISNUMBER(L806),L806&gt;0),(3*J806+K806)*#REF!/L806,"-")</f>
        <v>#REF!</v>
      </c>
      <c r="N806" s="11" t="e">
        <f aca="false">IF(AND(#REF!,ISNUMBER(L806),L806&gt;0),((3*J806+K806)*#REF!-I806)/L806,"-")</f>
        <v>#REF!</v>
      </c>
      <c r="O806" s="8"/>
      <c r="P806" s="8"/>
    </row>
    <row r="807" customFormat="false" ht="15.75" hidden="false" customHeight="true" outlineLevel="0" collapsed="false">
      <c r="A807" s="7" t="s">
        <v>1676</v>
      </c>
      <c r="B807" s="8" t="s">
        <v>1664</v>
      </c>
      <c r="C807" s="8" t="n">
        <v>1992</v>
      </c>
      <c r="D807" s="9" t="s">
        <v>1677</v>
      </c>
      <c r="E807" s="7" t="s">
        <v>136</v>
      </c>
      <c r="F807" s="10" t="n">
        <f aca="false">IF(ISBLANK($G807),,VLOOKUP($G807, Rarities!$A$1:$B869, 2, FALSE()))</f>
        <v>2</v>
      </c>
      <c r="G807" s="8" t="s">
        <v>36</v>
      </c>
      <c r="H807" s="8" t="str">
        <f aca="false">VLOOKUP(B807,Manufacturers!A$1:B869,2)</f>
        <v>JP</v>
      </c>
      <c r="I807" s="11" t="n">
        <v>25000</v>
      </c>
      <c r="J807" s="8"/>
      <c r="K807" s="8" t="n">
        <v>1</v>
      </c>
      <c r="L807" s="12" t="n">
        <v>9</v>
      </c>
      <c r="M807" s="11" t="e">
        <f aca="false">IF(AND(ISNUMBER(L807),L807&gt;0),(3*J807+K807)*#REF!/L807,"-")</f>
        <v>#REF!</v>
      </c>
      <c r="N807" s="11" t="e">
        <f aca="false">IF(AND(#REF!,ISNUMBER(L807),L807&gt;0),((3*J807+K807)*#REF!-I807)/L807,"-")</f>
        <v>#REF!</v>
      </c>
      <c r="O807" s="8"/>
      <c r="P807" s="8"/>
    </row>
    <row r="808" customFormat="false" ht="15.75" hidden="false" customHeight="true" outlineLevel="0" collapsed="false">
      <c r="A808" s="7" t="s">
        <v>1678</v>
      </c>
      <c r="B808" s="8" t="s">
        <v>1664</v>
      </c>
      <c r="C808" s="8" t="n">
        <v>1992</v>
      </c>
      <c r="D808" s="9" t="s">
        <v>1679</v>
      </c>
      <c r="E808" s="7" t="s">
        <v>222</v>
      </c>
      <c r="F808" s="10" t="n">
        <f aca="false">IF(ISBLANK($G808),,VLOOKUP($G808, Rarities!$A$1:$B869, 2, FALSE()))</f>
        <v>2</v>
      </c>
      <c r="G808" s="8" t="s">
        <v>36</v>
      </c>
      <c r="H808" s="8" t="str">
        <f aca="false">VLOOKUP(B808,Manufacturers!A$1:B869,2)</f>
        <v>JP</v>
      </c>
      <c r="I808" s="11" t="n">
        <v>20000</v>
      </c>
      <c r="J808" s="8"/>
      <c r="K808" s="8" t="n">
        <v>1</v>
      </c>
      <c r="L808" s="12" t="n">
        <v>9</v>
      </c>
      <c r="M808" s="11" t="e">
        <f aca="false">IF(AND(ISNUMBER(L808),L808&gt;0),(3*J808+K808)*#REF!/L808,"-")</f>
        <v>#REF!</v>
      </c>
      <c r="N808" s="11" t="e">
        <f aca="false">IF(AND(#REF!,ISNUMBER(L808),L808&gt;0),((3*J808+K808)*#REF!-I808)/L808,"-")</f>
        <v>#REF!</v>
      </c>
      <c r="O808" s="8"/>
      <c r="P808" s="8"/>
    </row>
    <row r="809" customFormat="false" ht="15.75" hidden="false" customHeight="true" outlineLevel="0" collapsed="false">
      <c r="A809" s="7" t="s">
        <v>1680</v>
      </c>
      <c r="B809" s="8" t="s">
        <v>1664</v>
      </c>
      <c r="C809" s="8" t="n">
        <v>1993</v>
      </c>
      <c r="D809" s="9" t="s">
        <v>1681</v>
      </c>
      <c r="E809" s="7" t="s">
        <v>72</v>
      </c>
      <c r="F809" s="10" t="n">
        <f aca="false">IF(ISBLANK($G809),,VLOOKUP($G809, Rarities!$A$1:$B869, 2, FALSE()))</f>
        <v>4</v>
      </c>
      <c r="G809" s="8" t="s">
        <v>41</v>
      </c>
      <c r="H809" s="8" t="str">
        <f aca="false">VLOOKUP(B809,Manufacturers!A$1:B869,2)</f>
        <v>JP</v>
      </c>
      <c r="I809" s="11" t="n">
        <v>500000</v>
      </c>
      <c r="J809" s="8"/>
      <c r="K809" s="8" t="n">
        <v>1</v>
      </c>
      <c r="L809" s="12" t="n">
        <v>9</v>
      </c>
      <c r="M809" s="11" t="e">
        <f aca="false">IF(AND(ISNUMBER(L809),L809&gt;0),(3*J809+K809)*#REF!/L809,"-")</f>
        <v>#REF!</v>
      </c>
      <c r="N809" s="11" t="e">
        <f aca="false">IF(AND(#REF!,ISNUMBER(L809),L809&gt;0),((3*J809+K809)*#REF!-I809)/L809,"-")</f>
        <v>#REF!</v>
      </c>
      <c r="O809" s="8"/>
      <c r="P809" s="8"/>
    </row>
    <row r="810" customFormat="false" ht="15.75" hidden="false" customHeight="true" outlineLevel="0" collapsed="false">
      <c r="A810" s="7" t="s">
        <v>1682</v>
      </c>
      <c r="B810" s="8" t="s">
        <v>1664</v>
      </c>
      <c r="C810" s="8" t="n">
        <v>1994</v>
      </c>
      <c r="D810" s="9" t="s">
        <v>1683</v>
      </c>
      <c r="E810" s="7" t="s">
        <v>136</v>
      </c>
      <c r="F810" s="10" t="n">
        <f aca="false">IF(ISBLANK($G810),,VLOOKUP($G810, Rarities!$A$1:$B869, 2, FALSE()))</f>
        <v>3</v>
      </c>
      <c r="G810" s="8" t="s">
        <v>53</v>
      </c>
      <c r="H810" s="8" t="str">
        <f aca="false">VLOOKUP(B810,Manufacturers!A$1:B869,2)</f>
        <v>JP</v>
      </c>
      <c r="I810" s="11" t="n">
        <v>20000</v>
      </c>
      <c r="J810" s="8"/>
      <c r="K810" s="8" t="n">
        <v>1</v>
      </c>
      <c r="L810" s="12" t="n">
        <v>9</v>
      </c>
      <c r="M810" s="11" t="e">
        <f aca="false">IF(AND(ISNUMBER(L810),L810&gt;0),(3*J810+K810)*#REF!/L810,"-")</f>
        <v>#REF!</v>
      </c>
      <c r="N810" s="11" t="e">
        <f aca="false">IF(AND(#REF!,ISNUMBER(L810),L810&gt;0),((3*J810+K810)*#REF!-I810)/L810,"-")</f>
        <v>#REF!</v>
      </c>
      <c r="O810" s="8"/>
      <c r="P810" s="8"/>
    </row>
    <row r="811" customFormat="false" ht="15.75" hidden="false" customHeight="true" outlineLevel="0" collapsed="false">
      <c r="A811" s="7" t="s">
        <v>1684</v>
      </c>
      <c r="B811" s="8" t="s">
        <v>1664</v>
      </c>
      <c r="C811" s="8" t="n">
        <v>1995</v>
      </c>
      <c r="D811" s="9" t="s">
        <v>1685</v>
      </c>
      <c r="E811" s="7" t="s">
        <v>222</v>
      </c>
      <c r="F811" s="10" t="n">
        <f aca="false">IF(ISBLANK($G811),,VLOOKUP($G811, Rarities!$A$1:$B869, 2, FALSE()))</f>
        <v>2</v>
      </c>
      <c r="G811" s="8" t="s">
        <v>36</v>
      </c>
      <c r="H811" s="8" t="str">
        <f aca="false">VLOOKUP(B811,Manufacturers!A$1:B869,2)</f>
        <v>JP</v>
      </c>
      <c r="I811" s="11" t="n">
        <v>250000</v>
      </c>
      <c r="J811" s="8"/>
      <c r="K811" s="8"/>
      <c r="L811" s="12"/>
      <c r="M811" s="11"/>
      <c r="N811" s="11"/>
      <c r="O811" s="8"/>
      <c r="P811" s="8"/>
    </row>
    <row r="812" customFormat="false" ht="15.75" hidden="false" customHeight="true" outlineLevel="0" collapsed="false">
      <c r="A812" s="7" t="s">
        <v>1686</v>
      </c>
      <c r="B812" s="8" t="s">
        <v>1664</v>
      </c>
      <c r="C812" s="8" t="n">
        <v>1998</v>
      </c>
      <c r="D812" s="9" t="s">
        <v>1687</v>
      </c>
      <c r="E812" s="7" t="s">
        <v>222</v>
      </c>
      <c r="F812" s="10" t="n">
        <f aca="false">IF(ISBLANK($G812),,VLOOKUP($G812, Rarities!$A$1:$B869, 2, FALSE()))</f>
        <v>2</v>
      </c>
      <c r="G812" s="8" t="s">
        <v>36</v>
      </c>
      <c r="H812" s="8" t="str">
        <f aca="false">VLOOKUP(B812,Manufacturers!A$1:B869,2)</f>
        <v>JP</v>
      </c>
      <c r="I812" s="11" t="n">
        <v>38000</v>
      </c>
      <c r="J812" s="8"/>
      <c r="K812" s="8" t="n">
        <v>1</v>
      </c>
      <c r="L812" s="12" t="n">
        <v>9</v>
      </c>
      <c r="M812" s="11" t="e">
        <f aca="false">IF(AND(ISNUMBER(L812),L812&gt;0),(3*J812+K812)*#REF!/L812,"-")</f>
        <v>#REF!</v>
      </c>
      <c r="N812" s="11" t="e">
        <f aca="false">IF(AND(#REF!,ISNUMBER(L812),L812&gt;0),((3*J812+K812)*#REF!-I812)/L812,"-")</f>
        <v>#REF!</v>
      </c>
      <c r="O812" s="8"/>
      <c r="P812" s="8"/>
    </row>
    <row r="813" customFormat="false" ht="15.75" hidden="false" customHeight="true" outlineLevel="0" collapsed="false">
      <c r="A813" s="7" t="s">
        <v>1688</v>
      </c>
      <c r="B813" s="8" t="s">
        <v>1664</v>
      </c>
      <c r="C813" s="8" t="n">
        <v>1998</v>
      </c>
      <c r="D813" s="9" t="s">
        <v>1689</v>
      </c>
      <c r="E813" s="7" t="s">
        <v>222</v>
      </c>
      <c r="F813" s="10" t="n">
        <f aca="false">IF(ISBLANK($G813),,VLOOKUP($G813, Rarities!$A$1:$B869, 2, FALSE()))</f>
        <v>1</v>
      </c>
      <c r="G813" s="8" t="s">
        <v>17</v>
      </c>
      <c r="H813" s="8" t="str">
        <f aca="false">VLOOKUP(B813,Manufacturers!A$1:B869,2)</f>
        <v>JP</v>
      </c>
      <c r="I813" s="11" t="n">
        <v>38000</v>
      </c>
      <c r="J813" s="8"/>
      <c r="K813" s="8" t="n">
        <v>1</v>
      </c>
      <c r="L813" s="12" t="n">
        <v>9</v>
      </c>
      <c r="M813" s="11" t="e">
        <f aca="false">IF(AND(ISNUMBER(L813),L813&gt;0),(3*J813+K813)*#REF!/L813,"-")</f>
        <v>#REF!</v>
      </c>
      <c r="N813" s="11" t="e">
        <f aca="false">IF(AND(#REF!,ISNUMBER(L813),L813&gt;0),((3*J813+K813)*#REF!-I813)/L813,"-")</f>
        <v>#REF!</v>
      </c>
      <c r="O813" s="8"/>
      <c r="P813" s="8"/>
    </row>
    <row r="814" customFormat="false" ht="15.75" hidden="false" customHeight="true" outlineLevel="0" collapsed="false">
      <c r="A814" s="7" t="s">
        <v>1690</v>
      </c>
      <c r="B814" s="8" t="s">
        <v>1664</v>
      </c>
      <c r="C814" s="8" t="n">
        <v>2003</v>
      </c>
      <c r="D814" s="9" t="s">
        <v>1691</v>
      </c>
      <c r="E814" s="7" t="s">
        <v>222</v>
      </c>
      <c r="F814" s="10" t="n">
        <f aca="false">IF(ISBLANK($G814),,VLOOKUP($G814, Rarities!$A$1:$B869, 2, FALSE()))</f>
        <v>2</v>
      </c>
      <c r="G814" s="8" t="s">
        <v>36</v>
      </c>
      <c r="H814" s="8" t="str">
        <f aca="false">VLOOKUP(B814,Manufacturers!A$1:B869,2)</f>
        <v>JP</v>
      </c>
      <c r="I814" s="11" t="n">
        <v>250000</v>
      </c>
      <c r="J814" s="8"/>
      <c r="K814" s="8" t="n">
        <v>2</v>
      </c>
      <c r="L814" s="12" t="n">
        <v>11</v>
      </c>
      <c r="M814" s="11" t="e">
        <f aca="false">IF(AND(ISNUMBER(L814),L814&gt;0),(3*J814+K814)*#REF!/L814,"-")</f>
        <v>#REF!</v>
      </c>
      <c r="N814" s="11" t="e">
        <f aca="false">IF(AND(#REF!,ISNUMBER(L814),L814&gt;0),((3*J814+K814)*#REF!-I814)/L814,"-")</f>
        <v>#REF!</v>
      </c>
      <c r="O814" s="8"/>
      <c r="P814" s="8"/>
    </row>
    <row r="815" customFormat="false" ht="15.75" hidden="false" customHeight="true" outlineLevel="0" collapsed="false">
      <c r="A815" s="7" t="s">
        <v>1692</v>
      </c>
      <c r="B815" s="8" t="s">
        <v>1664</v>
      </c>
      <c r="C815" s="8" t="n">
        <v>2007</v>
      </c>
      <c r="D815" s="9" t="s">
        <v>1693</v>
      </c>
      <c r="E815" s="7" t="s">
        <v>353</v>
      </c>
      <c r="F815" s="10" t="n">
        <f aca="false">IF(ISBLANK($G815),,VLOOKUP($G815, Rarities!$A$1:$B869, 2, FALSE()))</f>
        <v>2</v>
      </c>
      <c r="G815" s="8" t="s">
        <v>36</v>
      </c>
      <c r="H815" s="8" t="str">
        <f aca="false">VLOOKUP(B815,Manufacturers!A$1:B869,2)</f>
        <v>JP</v>
      </c>
      <c r="I815" s="11" t="n">
        <v>250000</v>
      </c>
      <c r="J815" s="8"/>
      <c r="K815" s="8"/>
      <c r="L815" s="12" t="s">
        <v>244</v>
      </c>
      <c r="M815" s="11" t="str">
        <f aca="false">IF(AND(ISNUMBER(L815),L815&gt;0),(3*J815+K815)*#REF!/L815,"-")</f>
        <v>-</v>
      </c>
      <c r="N815" s="11" t="e">
        <f aca="false">IF(AND(#REF!,ISNUMBER(L815),L815&gt;0),((3*J815+K815)*#REF!-I815)/L815,"-")</f>
        <v>#REF!</v>
      </c>
      <c r="O815" s="8"/>
      <c r="P815" s="8"/>
    </row>
    <row r="816" customFormat="false" ht="15.75" hidden="false" customHeight="true" outlineLevel="0" collapsed="false">
      <c r="A816" s="7" t="s">
        <v>1694</v>
      </c>
      <c r="B816" s="8" t="s">
        <v>1664</v>
      </c>
      <c r="C816" s="8" t="n">
        <v>2013</v>
      </c>
      <c r="D816" s="9" t="s">
        <v>1695</v>
      </c>
      <c r="E816" s="7" t="s">
        <v>26</v>
      </c>
      <c r="F816" s="10" t="n">
        <f aca="false">IF(ISBLANK($G816),,VLOOKUP($G816, Rarities!$A$1:$B869, 2, FALSE()))</f>
        <v>2</v>
      </c>
      <c r="G816" s="8" t="s">
        <v>36</v>
      </c>
      <c r="H816" s="8" t="str">
        <f aca="false">VLOOKUP(B816,Manufacturers!A$1:B869,2)</f>
        <v>JP</v>
      </c>
      <c r="I816" s="11" t="n">
        <v>28800</v>
      </c>
      <c r="J816" s="8"/>
      <c r="K816" s="8" t="n">
        <v>1</v>
      </c>
      <c r="L816" s="12" t="n">
        <v>9</v>
      </c>
      <c r="M816" s="11" t="e">
        <f aca="false">IF(AND(ISNUMBER(L816),L816&gt;0),(3*J816+K816)*#REF!/L816,"-")</f>
        <v>#REF!</v>
      </c>
      <c r="N816" s="11" t="e">
        <f aca="false">IF(AND(#REF!,ISNUMBER(L816),L816&gt;0),((3*J816+K816)*#REF!-I816)/L816,"-")</f>
        <v>#REF!</v>
      </c>
      <c r="O816" s="8"/>
      <c r="P816" s="8"/>
    </row>
    <row r="817" customFormat="false" ht="15.75" hidden="false" customHeight="true" outlineLevel="0" collapsed="false">
      <c r="A817" s="7" t="s">
        <v>1696</v>
      </c>
      <c r="B817" s="8" t="s">
        <v>1664</v>
      </c>
      <c r="C817" s="8" t="n">
        <v>2016</v>
      </c>
      <c r="D817" s="9" t="s">
        <v>1697</v>
      </c>
      <c r="E817" s="7" t="s">
        <v>353</v>
      </c>
      <c r="F817" s="10" t="n">
        <f aca="false">IF(ISBLANK($G817),,VLOOKUP($G817, Rarities!$A$1:$B869, 2, FALSE()))</f>
        <v>2</v>
      </c>
      <c r="G817" s="8" t="s">
        <v>36</v>
      </c>
      <c r="H817" s="8" t="str">
        <f aca="false">VLOOKUP(B817,Manufacturers!A$1:B869,2)</f>
        <v>JP</v>
      </c>
      <c r="I817" s="11" t="n">
        <v>250000</v>
      </c>
      <c r="J817" s="8"/>
      <c r="K817" s="8" t="n">
        <v>1</v>
      </c>
      <c r="L817" s="12" t="n">
        <v>9</v>
      </c>
      <c r="M817" s="11" t="e">
        <f aca="false">IF(AND(ISNUMBER(L817),L817&gt;0),(3*J817+K817)*#REF!/L817,"-")</f>
        <v>#REF!</v>
      </c>
      <c r="N817" s="11" t="e">
        <f aca="false">IF(AND(#REF!,ISNUMBER(L817),L817&gt;0),((3*J817+K817)*#REF!-I817)/L817,"-")</f>
        <v>#REF!</v>
      </c>
      <c r="O817" s="8"/>
      <c r="P817" s="8"/>
    </row>
    <row r="818" customFormat="false" ht="15.75" hidden="false" customHeight="true" outlineLevel="0" collapsed="false">
      <c r="A818" s="7" t="s">
        <v>1698</v>
      </c>
      <c r="B818" s="8" t="s">
        <v>1664</v>
      </c>
      <c r="C818" s="8" t="n">
        <v>2019</v>
      </c>
      <c r="D818" s="9" t="s">
        <v>1699</v>
      </c>
      <c r="E818" s="7" t="s">
        <v>353</v>
      </c>
      <c r="F818" s="10" t="n">
        <f aca="false">IF(ISBLANK($G818),,VLOOKUP($G818, Rarities!$A$1:$B869, 2, FALSE()))</f>
        <v>2</v>
      </c>
      <c r="G818" s="8" t="s">
        <v>36</v>
      </c>
      <c r="H818" s="8" t="str">
        <f aca="false">VLOOKUP(B818,Manufacturers!A$1:B869,2)</f>
        <v>JP</v>
      </c>
      <c r="I818" s="11" t="n">
        <v>250000</v>
      </c>
      <c r="J818" s="8"/>
      <c r="K818" s="8"/>
      <c r="L818" s="12"/>
      <c r="M818" s="11"/>
      <c r="N818" s="11"/>
      <c r="O818" s="8"/>
      <c r="P818" s="8"/>
    </row>
    <row r="819" customFormat="false" ht="15.75" hidden="false" customHeight="true" outlineLevel="0" collapsed="false">
      <c r="A819" s="7" t="s">
        <v>1700</v>
      </c>
      <c r="B819" s="8" t="s">
        <v>1664</v>
      </c>
      <c r="C819" s="8" t="n">
        <v>2019</v>
      </c>
      <c r="D819" s="9" t="s">
        <v>1701</v>
      </c>
      <c r="E819" s="7" t="s">
        <v>353</v>
      </c>
      <c r="F819" s="10" t="n">
        <f aca="false">IF(ISBLANK($G819),,VLOOKUP($G819, Rarities!$A$1:$B869, 2, FALSE()))</f>
        <v>2</v>
      </c>
      <c r="G819" s="8" t="s">
        <v>36</v>
      </c>
      <c r="H819" s="8" t="str">
        <f aca="false">VLOOKUP(B819,Manufacturers!A$1:B869,2)</f>
        <v>JP</v>
      </c>
      <c r="I819" s="11" t="n">
        <v>50000</v>
      </c>
      <c r="J819" s="8"/>
      <c r="K819" s="8"/>
      <c r="L819" s="12"/>
      <c r="M819" s="11"/>
      <c r="N819" s="11"/>
      <c r="O819" s="8"/>
      <c r="P819" s="8"/>
    </row>
    <row r="820" customFormat="false" ht="15.75" hidden="false" customHeight="true" outlineLevel="0" collapsed="false">
      <c r="A820" s="7" t="s">
        <v>1702</v>
      </c>
      <c r="B820" s="8" t="s">
        <v>1664</v>
      </c>
      <c r="C820" s="8" t="n">
        <v>2020</v>
      </c>
      <c r="D820" s="9" t="s">
        <v>1703</v>
      </c>
      <c r="E820" s="7" t="s">
        <v>26</v>
      </c>
      <c r="F820" s="10" t="n">
        <f aca="false">IF(ISBLANK($G820),,VLOOKUP($G820, Rarities!$A$1:$B869, 2, FALSE()))</f>
        <v>2</v>
      </c>
      <c r="G820" s="8" t="s">
        <v>36</v>
      </c>
      <c r="H820" s="8" t="str">
        <f aca="false">VLOOKUP(B820,Manufacturers!A$1:B869,2)</f>
        <v>JP</v>
      </c>
      <c r="I820" s="11" t="n">
        <v>55000</v>
      </c>
      <c r="J820" s="8"/>
      <c r="K820" s="8"/>
      <c r="L820" s="12" t="s">
        <v>244</v>
      </c>
      <c r="M820" s="11" t="str">
        <f aca="false">IF(AND(ISNUMBER(L820),L820&gt;0),(3*J820+K820)*#REF!/L820,"-")</f>
        <v>-</v>
      </c>
      <c r="N820" s="11" t="e">
        <f aca="false">IF(AND(#REF!,ISNUMBER(L820),L820&gt;0),((3*J820+K820)*#REF!-I820)/L820,"-")</f>
        <v>#REF!</v>
      </c>
      <c r="O820" s="8"/>
      <c r="P820" s="8"/>
    </row>
    <row r="821" customFormat="false" ht="15.75" hidden="false" customHeight="true" outlineLevel="0" collapsed="false">
      <c r="A821" s="7" t="s">
        <v>1704</v>
      </c>
      <c r="B821" s="8" t="s">
        <v>1664</v>
      </c>
      <c r="C821" s="8" t="n">
        <v>2020</v>
      </c>
      <c r="D821" s="9" t="s">
        <v>1705</v>
      </c>
      <c r="E821" s="7" t="s">
        <v>353</v>
      </c>
      <c r="F821" s="10" t="n">
        <f aca="false">IF(ISBLANK($G821),,VLOOKUP($G821, Rarities!$A$1:$B869, 2, FALSE()))</f>
        <v>2</v>
      </c>
      <c r="G821" s="8" t="s">
        <v>36</v>
      </c>
      <c r="H821" s="8" t="str">
        <f aca="false">VLOOKUP(B821,Manufacturers!A$1:B869,2)</f>
        <v>JP</v>
      </c>
      <c r="I821" s="11" t="n">
        <v>60000</v>
      </c>
      <c r="J821" s="8"/>
      <c r="K821" s="8"/>
      <c r="L821" s="12"/>
      <c r="M821" s="11"/>
      <c r="N821" s="11"/>
      <c r="O821" s="8"/>
      <c r="P821" s="8"/>
    </row>
    <row r="822" customFormat="false" ht="15.75" hidden="false" customHeight="true" outlineLevel="0" collapsed="false">
      <c r="A822" s="7" t="s">
        <v>1706</v>
      </c>
      <c r="B822" s="8" t="s">
        <v>1664</v>
      </c>
      <c r="C822" s="8" t="n">
        <v>2022</v>
      </c>
      <c r="D822" s="9" t="s">
        <v>1707</v>
      </c>
      <c r="E822" s="7" t="s">
        <v>26</v>
      </c>
      <c r="F822" s="10" t="n">
        <f aca="false">IF(ISBLANK($G822),,VLOOKUP($G822, Rarities!$A$1:$B869, 2, FALSE()))</f>
        <v>3</v>
      </c>
      <c r="G822" s="8" t="s">
        <v>53</v>
      </c>
      <c r="H822" s="8" t="str">
        <f aca="false">VLOOKUP(B822,Manufacturers!A$1:B869,2)</f>
        <v>JP</v>
      </c>
      <c r="I822" s="11" t="n">
        <v>250000</v>
      </c>
      <c r="J822" s="8"/>
      <c r="K822" s="8"/>
      <c r="L822" s="12"/>
      <c r="M822" s="11"/>
      <c r="N822" s="11"/>
      <c r="O822" s="8"/>
      <c r="P822" s="8"/>
    </row>
    <row r="823" customFormat="false" ht="15.75" hidden="false" customHeight="true" outlineLevel="0" collapsed="false">
      <c r="A823" s="7" t="s">
        <v>1708</v>
      </c>
      <c r="B823" s="8" t="s">
        <v>1709</v>
      </c>
      <c r="C823" s="8" t="n">
        <v>1998</v>
      </c>
      <c r="D823" s="9" t="s">
        <v>1710</v>
      </c>
      <c r="E823" s="7" t="s">
        <v>215</v>
      </c>
      <c r="F823" s="10" t="n">
        <f aca="false">IF(ISBLANK($G823),,VLOOKUP($G823, Rarities!$A$1:$B869, 2, FALSE()))</f>
        <v>3</v>
      </c>
      <c r="G823" s="8" t="s">
        <v>53</v>
      </c>
      <c r="H823" s="8" t="str">
        <f aca="false">VLOOKUP(B823,Manufacturers!A$1:B869,2)</f>
        <v>GB</v>
      </c>
      <c r="I823" s="11" t="n">
        <v>500000</v>
      </c>
      <c r="J823" s="8"/>
      <c r="K823" s="8" t="n">
        <v>2</v>
      </c>
      <c r="L823" s="12" t="n">
        <v>11</v>
      </c>
      <c r="M823" s="11" t="e">
        <f aca="false">IF(AND(ISNUMBER(L823),L823&gt;0),(3*J823+K823)*#REF!/L823,"-")</f>
        <v>#REF!</v>
      </c>
      <c r="N823" s="11" t="e">
        <f aca="false">IF(AND(#REF!,ISNUMBER(L823),L823&gt;0),((3*J823+K823)*#REF!-I823)/L823,"-")</f>
        <v>#REF!</v>
      </c>
      <c r="O823" s="8"/>
      <c r="P823" s="8"/>
    </row>
    <row r="824" customFormat="false" ht="15.75" hidden="false" customHeight="true" outlineLevel="0" collapsed="false">
      <c r="A824" s="7" t="s">
        <v>1711</v>
      </c>
      <c r="B824" s="8" t="s">
        <v>1709</v>
      </c>
      <c r="C824" s="8" t="n">
        <v>2005</v>
      </c>
      <c r="D824" s="9" t="s">
        <v>1712</v>
      </c>
      <c r="E824" s="7" t="s">
        <v>222</v>
      </c>
      <c r="F824" s="10" t="n">
        <f aca="false">IF(ISBLANK($G824),,VLOOKUP($G824, Rarities!$A$1:$B869, 2, FALSE()))</f>
        <v>2</v>
      </c>
      <c r="G824" s="8" t="s">
        <v>36</v>
      </c>
      <c r="H824" s="8" t="str">
        <f aca="false">VLOOKUP(B824,Manufacturers!A$1:B869,2)</f>
        <v>GB</v>
      </c>
      <c r="I824" s="11" t="n">
        <v>86000</v>
      </c>
      <c r="J824" s="8"/>
      <c r="K824" s="8" t="n">
        <v>1</v>
      </c>
      <c r="L824" s="12" t="n">
        <v>9</v>
      </c>
      <c r="M824" s="11" t="e">
        <f aca="false">IF(AND(ISNUMBER(L824),L824&gt;0),(3*J824+K824)*#REF!/L824,"-")</f>
        <v>#REF!</v>
      </c>
      <c r="N824" s="11" t="e">
        <f aca="false">IF(AND(#REF!,ISNUMBER(L824),L824&gt;0),((3*J824+K824)*#REF!-I824)/L824,"-")</f>
        <v>#REF!</v>
      </c>
      <c r="O824" s="8"/>
      <c r="P824" s="8"/>
    </row>
    <row r="825" customFormat="false" ht="15.75" hidden="false" customHeight="true" outlineLevel="0" collapsed="false">
      <c r="A825" s="7" t="s">
        <v>1713</v>
      </c>
      <c r="B825" s="8" t="s">
        <v>1709</v>
      </c>
      <c r="C825" s="8" t="n">
        <v>2018</v>
      </c>
      <c r="D825" s="9" t="s">
        <v>1714</v>
      </c>
      <c r="E825" s="7" t="s">
        <v>26</v>
      </c>
      <c r="F825" s="10" t="n">
        <f aca="false">IF(ISBLANK($G825),,VLOOKUP($G825, Rarities!$A$1:$B869, 2, FALSE()))</f>
        <v>2</v>
      </c>
      <c r="G825" s="8" t="s">
        <v>36</v>
      </c>
      <c r="H825" s="8" t="str">
        <f aca="false">VLOOKUP(B825,Manufacturers!A$1:B869,2)</f>
        <v>GB</v>
      </c>
      <c r="I825" s="11" t="n">
        <v>105000</v>
      </c>
      <c r="J825" s="8"/>
      <c r="K825" s="8" t="n">
        <v>1</v>
      </c>
      <c r="L825" s="12" t="n">
        <v>11</v>
      </c>
      <c r="M825" s="11" t="e">
        <f aca="false">IF(AND(ISNUMBER(L825),L825&gt;0),(3*J825+K825)*#REF!/L825,"-")</f>
        <v>#REF!</v>
      </c>
      <c r="N825" s="11" t="e">
        <f aca="false">IF(AND(#REF!,ISNUMBER(L825),L825&gt;0),((3*J825+K825)*#REF!-I825)/L825,"-")</f>
        <v>#REF!</v>
      </c>
      <c r="O825" s="8"/>
      <c r="P825" s="8"/>
    </row>
    <row r="826" customFormat="false" ht="15.75" hidden="false" customHeight="true" outlineLevel="0" collapsed="false">
      <c r="A826" s="7" t="s">
        <v>1715</v>
      </c>
      <c r="B826" s="8" t="s">
        <v>1716</v>
      </c>
      <c r="C826" s="8" t="n">
        <v>2015</v>
      </c>
      <c r="D826" s="9" t="s">
        <v>1717</v>
      </c>
      <c r="E826" s="7" t="s">
        <v>86</v>
      </c>
      <c r="F826" s="10" t="n">
        <f aca="false">IF(ISBLANK($G826),,VLOOKUP($G826, Rarities!$A$1:$B869, 2, FALSE()))</f>
        <v>3</v>
      </c>
      <c r="G826" s="8" t="s">
        <v>53</v>
      </c>
      <c r="H826" s="8" t="str">
        <f aca="false">VLOOKUP(B826,Manufacturers!A$1:B869,2)</f>
        <v>GB</v>
      </c>
      <c r="I826" s="11" t="n">
        <v>300000</v>
      </c>
      <c r="J826" s="8"/>
      <c r="K826" s="8" t="n">
        <v>2</v>
      </c>
      <c r="L826" s="12" t="n">
        <v>11</v>
      </c>
      <c r="M826" s="11" t="e">
        <f aca="false">IF(AND(ISNUMBER(L826),L826&gt;0),(3*J826+K826)*#REF!/L826,"-")</f>
        <v>#REF!</v>
      </c>
      <c r="N826" s="11" t="e">
        <f aca="false">IF(AND(#REF!,ISNUMBER(L826),L826&gt;0),((3*J826+K826)*#REF!-I826)/L826,"-")</f>
        <v>#REF!</v>
      </c>
      <c r="O826" s="8"/>
      <c r="P826" s="8"/>
    </row>
    <row r="827" customFormat="false" ht="15.75" hidden="false" customHeight="true" outlineLevel="0" collapsed="false">
      <c r="A827" s="7" t="s">
        <v>1718</v>
      </c>
      <c r="B827" s="8" t="s">
        <v>1719</v>
      </c>
      <c r="C827" s="8" t="n">
        <v>1990</v>
      </c>
      <c r="D827" s="9" t="s">
        <v>1720</v>
      </c>
      <c r="E827" s="7" t="s">
        <v>49</v>
      </c>
      <c r="F827" s="10" t="n">
        <f aca="false">IF(ISBLANK($G827),,VLOOKUP($G827, Rarities!$A$1:$B869, 2, FALSE()))</f>
        <v>2</v>
      </c>
      <c r="G827" s="8" t="s">
        <v>36</v>
      </c>
      <c r="H827" s="8" t="str">
        <f aca="false">VLOOKUP(B827,Manufacturers!A$1:B869,2)</f>
        <v>GB</v>
      </c>
      <c r="I827" s="11" t="n">
        <v>250000</v>
      </c>
      <c r="J827" s="8"/>
      <c r="K827" s="8" t="n">
        <v>1</v>
      </c>
      <c r="L827" s="12" t="n">
        <v>9</v>
      </c>
      <c r="M827" s="11" t="e">
        <f aca="false">IF(AND(ISNUMBER(L827),L827&gt;0),(3*J827+K827)*#REF!/L827,"-")</f>
        <v>#REF!</v>
      </c>
      <c r="N827" s="11" t="e">
        <f aca="false">IF(AND(#REF!,ISNUMBER(L827),L827&gt;0),((3*J827+K827)*#REF!-I827)/L827,"-")</f>
        <v>#REF!</v>
      </c>
      <c r="O827" s="8"/>
      <c r="P827" s="8"/>
    </row>
    <row r="828" customFormat="false" ht="15.75" hidden="false" customHeight="true" outlineLevel="0" collapsed="false">
      <c r="A828" s="7" t="s">
        <v>1721</v>
      </c>
      <c r="B828" s="8" t="s">
        <v>1719</v>
      </c>
      <c r="C828" s="8" t="n">
        <v>2005</v>
      </c>
      <c r="D828" s="9" t="s">
        <v>1722</v>
      </c>
      <c r="E828" s="7" t="s">
        <v>303</v>
      </c>
      <c r="F828" s="10" t="n">
        <f aca="false">IF(ISBLANK($G828),,VLOOKUP($G828, Rarities!$A$1:$B869, 2, FALSE()))</f>
        <v>1</v>
      </c>
      <c r="G828" s="8" t="s">
        <v>17</v>
      </c>
      <c r="H828" s="8" t="str">
        <f aca="false">VLOOKUP(B828,Manufacturers!A$1:B869,2)</f>
        <v>GB</v>
      </c>
      <c r="I828" s="11" t="n">
        <v>25000</v>
      </c>
      <c r="J828" s="8"/>
      <c r="K828" s="8" t="n">
        <v>1</v>
      </c>
      <c r="L828" s="12" t="n">
        <v>9</v>
      </c>
      <c r="M828" s="11" t="e">
        <f aca="false">IF(AND(ISNUMBER(L828),L828&gt;0),(3*J828+K828)*#REF!/L828,"-")</f>
        <v>#REF!</v>
      </c>
      <c r="N828" s="11" t="e">
        <f aca="false">IF(AND(#REF!,ISNUMBER(L828),L828&gt;0),((3*J828+K828)*#REF!-I828)/L828,"-")</f>
        <v>#REF!</v>
      </c>
      <c r="O828" s="8"/>
      <c r="P828" s="8"/>
    </row>
    <row r="829" customFormat="false" ht="15.75" hidden="false" customHeight="true" outlineLevel="0" collapsed="false">
      <c r="A829" s="7" t="s">
        <v>1723</v>
      </c>
      <c r="B829" s="8" t="s">
        <v>1719</v>
      </c>
      <c r="C829" s="8" t="n">
        <v>2016</v>
      </c>
      <c r="D829" s="9" t="s">
        <v>1724</v>
      </c>
      <c r="E829" s="7" t="s">
        <v>23</v>
      </c>
      <c r="F829" s="10" t="n">
        <f aca="false">IF(ISBLANK($G829),,VLOOKUP($G829, Rarities!$A$1:$B869, 2, FALSE()))</f>
        <v>1</v>
      </c>
      <c r="G829" s="8" t="s">
        <v>17</v>
      </c>
      <c r="H829" s="8" t="str">
        <f aca="false">VLOOKUP(B829,Manufacturers!A$1:B869,2)</f>
        <v>GB</v>
      </c>
      <c r="I829" s="11" t="n">
        <v>28000</v>
      </c>
      <c r="J829" s="8"/>
      <c r="K829" s="8" t="n">
        <v>1</v>
      </c>
      <c r="L829" s="12" t="n">
        <v>9</v>
      </c>
      <c r="M829" s="11" t="e">
        <f aca="false">IF(AND(ISNUMBER(L829),L829&gt;0),(3*J829+K829)*#REF!/L829,"-")</f>
        <v>#REF!</v>
      </c>
      <c r="N829" s="11" t="e">
        <f aca="false">IF(AND(#REF!,ISNUMBER(L829),L829&gt;0),((3*J829+K829)*#REF!-I829)/L829,"-")</f>
        <v>#REF!</v>
      </c>
      <c r="O829" s="8"/>
      <c r="P829" s="8"/>
    </row>
    <row r="830" customFormat="false" ht="15.75" hidden="false" customHeight="true" outlineLevel="0" collapsed="false">
      <c r="A830" s="7" t="s">
        <v>1725</v>
      </c>
      <c r="B830" s="8" t="s">
        <v>1726</v>
      </c>
      <c r="C830" s="8" t="n">
        <v>1963</v>
      </c>
      <c r="D830" s="9" t="s">
        <v>1727</v>
      </c>
      <c r="E830" s="7" t="s">
        <v>111</v>
      </c>
      <c r="F830" s="10" t="n">
        <f aca="false">IF(ISBLANK($G830),,VLOOKUP($G830, Rarities!$A$1:$B869, 2, FALSE()))</f>
        <v>5</v>
      </c>
      <c r="G830" s="8" t="s">
        <v>239</v>
      </c>
      <c r="H830" s="8" t="str">
        <f aca="false">VLOOKUP(B830,Manufacturers!A$1:B869,2)</f>
        <v>DE</v>
      </c>
      <c r="I830" s="11" t="n">
        <v>500000</v>
      </c>
      <c r="J830" s="8" t="n">
        <v>1</v>
      </c>
      <c r="K830" s="8"/>
      <c r="L830" s="12" t="n">
        <v>20</v>
      </c>
      <c r="M830" s="11" t="e">
        <f aca="false">IF(AND(ISNUMBER(L830),L830&gt;0),(3*J830+K830)*#REF!/L830,"-")</f>
        <v>#REF!</v>
      </c>
      <c r="N830" s="11" t="e">
        <f aca="false">IF(AND(#REF!,ISNUMBER(L830),L830&gt;0),((3*J830+K830)*#REF!-I830)/L830,"-")</f>
        <v>#REF!</v>
      </c>
      <c r="O830" s="8"/>
      <c r="P830" s="8"/>
    </row>
    <row r="831" customFormat="false" ht="15.75" hidden="false" customHeight="true" outlineLevel="0" collapsed="false">
      <c r="A831" s="7" t="s">
        <v>1728</v>
      </c>
      <c r="B831" s="8" t="s">
        <v>1726</v>
      </c>
      <c r="C831" s="8" t="n">
        <v>1963</v>
      </c>
      <c r="D831" s="9" t="s">
        <v>1729</v>
      </c>
      <c r="E831" s="7" t="s">
        <v>16</v>
      </c>
      <c r="F831" s="10" t="n">
        <f aca="false">IF(ISBLANK($G831),,VLOOKUP($G831, Rarities!$A$1:$B869, 2, FALSE()))</f>
        <v>4</v>
      </c>
      <c r="G831" s="8" t="s">
        <v>41</v>
      </c>
      <c r="H831" s="8" t="str">
        <f aca="false">VLOOKUP(B831,Manufacturers!A$1:B869,2)</f>
        <v>DE</v>
      </c>
      <c r="I831" s="11" t="n">
        <v>20000</v>
      </c>
      <c r="J831" s="8"/>
      <c r="K831" s="8"/>
      <c r="L831" s="12" t="s">
        <v>244</v>
      </c>
      <c r="M831" s="11" t="str">
        <f aca="false">IF(AND(ISNUMBER(L831),L831&gt;0),(3*J831+K831)*#REF!/L831,"-")</f>
        <v>-</v>
      </c>
      <c r="N831" s="11" t="e">
        <f aca="false">IF(AND(#REF!,ISNUMBER(L831),L831&gt;0),((3*J831+K831)*#REF!-I831)/L831,"-")</f>
        <v>#REF!</v>
      </c>
      <c r="O831" s="8"/>
      <c r="P831" s="8"/>
    </row>
    <row r="832" customFormat="false" ht="15.75" hidden="false" customHeight="true" outlineLevel="0" collapsed="false">
      <c r="A832" s="7" t="s">
        <v>1730</v>
      </c>
      <c r="B832" s="8" t="s">
        <v>1726</v>
      </c>
      <c r="C832" s="8" t="n">
        <v>1963</v>
      </c>
      <c r="D832" s="9" t="s">
        <v>1731</v>
      </c>
      <c r="E832" s="7" t="s">
        <v>16</v>
      </c>
      <c r="F832" s="10" t="n">
        <f aca="false">IF(ISBLANK($G832),,VLOOKUP($G832, Rarities!$A$1:$B869, 2, FALSE()))</f>
        <v>2</v>
      </c>
      <c r="G832" s="8" t="s">
        <v>36</v>
      </c>
      <c r="H832" s="8" t="str">
        <f aca="false">VLOOKUP(B832,Manufacturers!A$1:B869,2)</f>
        <v>DE</v>
      </c>
      <c r="I832" s="11" t="n">
        <v>40000</v>
      </c>
      <c r="J832" s="8"/>
      <c r="K832" s="8" t="n">
        <v>1</v>
      </c>
      <c r="L832" s="12" t="n">
        <v>9</v>
      </c>
      <c r="M832" s="11" t="e">
        <f aca="false">IF(AND(ISNUMBER(L832),L832&gt;0),(3*J832+K832)*#REF!/L832,"-")</f>
        <v>#REF!</v>
      </c>
      <c r="N832" s="11" t="e">
        <f aca="false">IF(AND(#REF!,ISNUMBER(L832),L832&gt;0),((3*J832+K832)*#REF!-I832)/L832,"-")</f>
        <v>#REF!</v>
      </c>
      <c r="O832" s="8"/>
      <c r="P832" s="8"/>
    </row>
    <row r="833" customFormat="false" ht="15.75" hidden="false" customHeight="true" outlineLevel="0" collapsed="false">
      <c r="A833" s="7" t="s">
        <v>244</v>
      </c>
      <c r="B833" s="8" t="s">
        <v>1726</v>
      </c>
      <c r="C833" s="8" t="n">
        <v>1963</v>
      </c>
      <c r="D833" s="9" t="s">
        <v>1729</v>
      </c>
      <c r="E833" s="7" t="s">
        <v>244</v>
      </c>
      <c r="F833" s="10" t="n">
        <f aca="false">IF(ISBLANK($G833),,VLOOKUP($G833, Rarities!$A$1:$B869, 2, FALSE()))</f>
        <v>0</v>
      </c>
      <c r="G833" s="8" t="s">
        <v>244</v>
      </c>
      <c r="H833" s="8" t="str">
        <f aca="false">VLOOKUP(B833,Manufacturers!A$1:B869,2)</f>
        <v>DE</v>
      </c>
      <c r="I833" s="11" t="s">
        <v>244</v>
      </c>
      <c r="J833" s="8"/>
      <c r="K833" s="8"/>
      <c r="L833" s="12" t="s">
        <v>244</v>
      </c>
      <c r="M833" s="11" t="str">
        <f aca="false">IF(AND(ISNUMBER(L833),L833&gt;0),(3*J833+K833)*#REF!/L833,"-")</f>
        <v>-</v>
      </c>
      <c r="N833" s="11" t="e">
        <f aca="false">IF(AND(#REF!,ISNUMBER(L833),L833&gt;0),((3*J833+K833)*#REF!-I833)/L833,"-")</f>
        <v>#REF!</v>
      </c>
      <c r="O833" s="8"/>
      <c r="P833" s="8"/>
    </row>
    <row r="834" customFormat="false" ht="15.75" hidden="false" customHeight="true" outlineLevel="0" collapsed="false">
      <c r="A834" s="7" t="s">
        <v>244</v>
      </c>
      <c r="B834" s="8" t="s">
        <v>1726</v>
      </c>
      <c r="C834" s="8" t="n">
        <v>1963</v>
      </c>
      <c r="D834" s="9" t="s">
        <v>1729</v>
      </c>
      <c r="E834" s="7" t="s">
        <v>244</v>
      </c>
      <c r="F834" s="10" t="n">
        <f aca="false">IF(ISBLANK($G834),,VLOOKUP($G834, Rarities!$A$1:$B869, 2, FALSE()))</f>
        <v>0</v>
      </c>
      <c r="G834" s="8" t="s">
        <v>244</v>
      </c>
      <c r="H834" s="8" t="str">
        <f aca="false">VLOOKUP(B834,Manufacturers!A$1:B869,2)</f>
        <v>DE</v>
      </c>
      <c r="I834" s="11" t="s">
        <v>244</v>
      </c>
      <c r="J834" s="8"/>
      <c r="K834" s="8"/>
      <c r="L834" s="12" t="s">
        <v>244</v>
      </c>
      <c r="M834" s="11" t="str">
        <f aca="false">IF(AND(ISNUMBER(L834),L834&gt;0),(3*J834+K834)*#REF!/L834,"-")</f>
        <v>-</v>
      </c>
      <c r="N834" s="11" t="e">
        <f aca="false">IF(AND(#REF!,ISNUMBER(L834),L834&gt;0),((3*J834+K834)*#REF!-I834)/L834,"-")</f>
        <v>#REF!</v>
      </c>
      <c r="O834" s="8"/>
      <c r="P834" s="8"/>
    </row>
    <row r="835" customFormat="false" ht="15.75" hidden="false" customHeight="true" outlineLevel="0" collapsed="false">
      <c r="A835" s="7" t="s">
        <v>244</v>
      </c>
      <c r="B835" s="8" t="s">
        <v>1726</v>
      </c>
      <c r="C835" s="8" t="n">
        <v>1963</v>
      </c>
      <c r="D835" s="9" t="s">
        <v>1732</v>
      </c>
      <c r="E835" s="7" t="s">
        <v>244</v>
      </c>
      <c r="F835" s="10" t="n">
        <f aca="false">IF(ISBLANK($G835),,VLOOKUP($G835, Rarities!$A$1:$B869, 2, FALSE()))</f>
        <v>0</v>
      </c>
      <c r="G835" s="8" t="s">
        <v>244</v>
      </c>
      <c r="H835" s="8" t="str">
        <f aca="false">VLOOKUP(B835,Manufacturers!A$1:B869,2)</f>
        <v>DE</v>
      </c>
      <c r="I835" s="11" t="s">
        <v>244</v>
      </c>
      <c r="J835" s="8"/>
      <c r="K835" s="8"/>
      <c r="L835" s="12" t="s">
        <v>244</v>
      </c>
      <c r="M835" s="11" t="str">
        <f aca="false">IF(AND(ISNUMBER(L835),L835&gt;0),(3*J835+K835)*#REF!/L835,"-")</f>
        <v>-</v>
      </c>
      <c r="N835" s="11" t="e">
        <f aca="false">IF(AND(#REF!,ISNUMBER(L835),L835&gt;0),((3*J835+K835)*#REF!-I835)/L835,"-")</f>
        <v>#REF!</v>
      </c>
      <c r="O835" s="8"/>
      <c r="P835" s="8"/>
    </row>
    <row r="836" customFormat="false" ht="15.75" hidden="false" customHeight="true" outlineLevel="0" collapsed="false">
      <c r="A836" s="7" t="s">
        <v>1733</v>
      </c>
      <c r="B836" s="8" t="s">
        <v>1726</v>
      </c>
      <c r="C836" s="8" t="n">
        <v>1966</v>
      </c>
      <c r="D836" s="9" t="s">
        <v>1734</v>
      </c>
      <c r="E836" s="7" t="s">
        <v>350</v>
      </c>
      <c r="F836" s="10" t="n">
        <f aca="false">IF(ISBLANK($G836),,VLOOKUP($G836, Rarities!$A$1:$B869, 2, FALSE()))</f>
        <v>2</v>
      </c>
      <c r="G836" s="8" t="s">
        <v>36</v>
      </c>
      <c r="H836" s="8" t="str">
        <f aca="false">VLOOKUP(B836,Manufacturers!A$1:B869,2)</f>
        <v>DE</v>
      </c>
      <c r="I836" s="11" t="n">
        <v>250000</v>
      </c>
      <c r="J836" s="8"/>
      <c r="K836" s="8"/>
      <c r="L836" s="12"/>
      <c r="M836" s="11"/>
      <c r="N836" s="11"/>
      <c r="O836" s="8"/>
      <c r="P836" s="8"/>
    </row>
    <row r="837" customFormat="false" ht="15.75" hidden="false" customHeight="true" outlineLevel="0" collapsed="false">
      <c r="A837" s="7" t="s">
        <v>1735</v>
      </c>
      <c r="B837" s="8" t="s">
        <v>1726</v>
      </c>
      <c r="C837" s="8" t="n">
        <v>1969</v>
      </c>
      <c r="D837" s="9" t="s">
        <v>1736</v>
      </c>
      <c r="E837" s="7" t="s">
        <v>852</v>
      </c>
      <c r="F837" s="10" t="n">
        <f aca="false">IF(ISBLANK($G837),,VLOOKUP($G837, Rarities!$A$1:$B869, 2, FALSE()))</f>
        <v>2</v>
      </c>
      <c r="G837" s="8" t="s">
        <v>36</v>
      </c>
      <c r="H837" s="8" t="str">
        <f aca="false">VLOOKUP(B837,Manufacturers!A$1:B869,2)</f>
        <v>DE</v>
      </c>
      <c r="I837" s="11" t="n">
        <v>60000</v>
      </c>
      <c r="J837" s="8"/>
      <c r="K837" s="8" t="n">
        <v>1</v>
      </c>
      <c r="L837" s="12" t="n">
        <v>14</v>
      </c>
      <c r="M837" s="11" t="e">
        <f aca="false">IF(AND(ISNUMBER(L837),L837&gt;0),(3*J837+K837)*#REF!/L837,"-")</f>
        <v>#REF!</v>
      </c>
      <c r="N837" s="11" t="e">
        <f aca="false">IF(AND(#REF!,ISNUMBER(L837),L837&gt;0),((3*J837+K837)*#REF!-I837)/L837,"-")</f>
        <v>#REF!</v>
      </c>
      <c r="O837" s="8"/>
      <c r="P837" s="8"/>
    </row>
    <row r="838" customFormat="false" ht="15.75" hidden="false" customHeight="true" outlineLevel="0" collapsed="false">
      <c r="A838" s="7" t="s">
        <v>1737</v>
      </c>
      <c r="B838" s="8" t="s">
        <v>1726</v>
      </c>
      <c r="C838" s="8" t="n">
        <v>1970</v>
      </c>
      <c r="D838" s="9" t="s">
        <v>1738</v>
      </c>
      <c r="E838" s="7" t="s">
        <v>852</v>
      </c>
      <c r="F838" s="10" t="n">
        <f aca="false">IF(ISBLANK($G838),,VLOOKUP($G838, Rarities!$A$1:$B869, 2, FALSE()))</f>
        <v>2</v>
      </c>
      <c r="G838" s="8" t="s">
        <v>36</v>
      </c>
      <c r="H838" s="8" t="str">
        <f aca="false">VLOOKUP(B838,Manufacturers!A$1:B869,2)</f>
        <v>DE</v>
      </c>
      <c r="I838" s="11" t="n">
        <v>25000</v>
      </c>
      <c r="J838" s="8"/>
      <c r="K838" s="8" t="n">
        <v>1</v>
      </c>
      <c r="L838" s="12" t="n">
        <v>14</v>
      </c>
      <c r="M838" s="11" t="e">
        <f aca="false">IF(AND(ISNUMBER(L838),L838&gt;0),(3*J838+K838)*#REF!/L838,"-")</f>
        <v>#REF!</v>
      </c>
      <c r="N838" s="11" t="e">
        <f aca="false">IF(AND(#REF!,ISNUMBER(L838),L838&gt;0),((3*J838+K838)*#REF!-I838)/L838,"-")</f>
        <v>#REF!</v>
      </c>
      <c r="O838" s="8"/>
      <c r="P838" s="8"/>
    </row>
    <row r="839" customFormat="false" ht="15.75" hidden="false" customHeight="true" outlineLevel="0" collapsed="false">
      <c r="A839" s="7" t="s">
        <v>1739</v>
      </c>
      <c r="B839" s="8" t="s">
        <v>1726</v>
      </c>
      <c r="C839" s="8" t="n">
        <v>1981</v>
      </c>
      <c r="D839" s="9" t="s">
        <v>1740</v>
      </c>
      <c r="E839" s="7" t="s">
        <v>30</v>
      </c>
      <c r="F839" s="10" t="n">
        <f aca="false">IF(ISBLANK($G839),,VLOOKUP($G839, Rarities!$A$1:$B869, 2, FALSE()))</f>
        <v>1</v>
      </c>
      <c r="G839" s="8" t="s">
        <v>17</v>
      </c>
      <c r="H839" s="8" t="str">
        <f aca="false">VLOOKUP(B839,Manufacturers!A$1:B869,2)</f>
        <v>DE</v>
      </c>
      <c r="I839" s="11" t="n">
        <v>20000</v>
      </c>
      <c r="J839" s="8"/>
      <c r="K839" s="8" t="n">
        <v>1</v>
      </c>
      <c r="L839" s="12" t="n">
        <v>9</v>
      </c>
      <c r="M839" s="11" t="e">
        <f aca="false">IF(AND(ISNUMBER(L839),L839&gt;0),(3*J839+K839)*#REF!/L839,"-")</f>
        <v>#REF!</v>
      </c>
      <c r="N839" s="11" t="e">
        <f aca="false">IF(AND(#REF!,ISNUMBER(L839),L839&gt;0),((3*J839+K839)*#REF!-I839)/L839,"-")</f>
        <v>#REF!</v>
      </c>
      <c r="O839" s="8"/>
      <c r="P839" s="8"/>
    </row>
    <row r="840" customFormat="false" ht="15.75" hidden="false" customHeight="true" outlineLevel="0" collapsed="false">
      <c r="A840" s="7" t="s">
        <v>1741</v>
      </c>
      <c r="B840" s="8" t="s">
        <v>1726</v>
      </c>
      <c r="C840" s="8" t="n">
        <v>1982</v>
      </c>
      <c r="D840" s="9" t="s">
        <v>1742</v>
      </c>
      <c r="E840" s="7" t="s">
        <v>350</v>
      </c>
      <c r="F840" s="10" t="n">
        <f aca="false">IF(ISBLANK($G840),,VLOOKUP($G840, Rarities!$A$1:$B869, 2, FALSE()))</f>
        <v>3</v>
      </c>
      <c r="G840" s="8" t="s">
        <v>53</v>
      </c>
      <c r="H840" s="8" t="str">
        <f aca="false">VLOOKUP(B840,Manufacturers!A$1:B869,2)</f>
        <v>DE</v>
      </c>
      <c r="I840" s="11" t="n">
        <v>20000</v>
      </c>
      <c r="J840" s="8"/>
      <c r="K840" s="8"/>
      <c r="L840" s="12"/>
      <c r="M840" s="11"/>
      <c r="N840" s="11"/>
      <c r="O840" s="8"/>
      <c r="P840" s="8"/>
    </row>
    <row r="841" customFormat="false" ht="15.75" hidden="false" customHeight="true" outlineLevel="0" collapsed="false">
      <c r="A841" s="7" t="s">
        <v>1743</v>
      </c>
      <c r="B841" s="8" t="s">
        <v>1726</v>
      </c>
      <c r="C841" s="8" t="n">
        <v>1983</v>
      </c>
      <c r="D841" s="9" t="s">
        <v>1744</v>
      </c>
      <c r="E841" s="7" t="s">
        <v>30</v>
      </c>
      <c r="F841" s="10" t="n">
        <f aca="false">IF(ISBLANK($G841),,VLOOKUP($G841, Rarities!$A$1:$B869, 2, FALSE()))</f>
        <v>1</v>
      </c>
      <c r="G841" s="8" t="s">
        <v>17</v>
      </c>
      <c r="H841" s="8" t="str">
        <f aca="false">VLOOKUP(B841,Manufacturers!A$1:B869,2)</f>
        <v>DE</v>
      </c>
      <c r="I841" s="11" t="n">
        <v>20000</v>
      </c>
      <c r="J841" s="8"/>
      <c r="K841" s="8" t="n">
        <v>1</v>
      </c>
      <c r="L841" s="12" t="n">
        <v>9</v>
      </c>
      <c r="M841" s="11" t="e">
        <f aca="false">IF(AND(ISNUMBER(L841),L841&gt;0),(3*J841+K841)*#REF!/L841,"-")</f>
        <v>#REF!</v>
      </c>
      <c r="N841" s="11" t="e">
        <f aca="false">IF(AND(#REF!,ISNUMBER(L841),L841&gt;0),((3*J841+K841)*#REF!-I841)/L841,"-")</f>
        <v>#REF!</v>
      </c>
      <c r="O841" s="8"/>
      <c r="P841" s="8"/>
    </row>
    <row r="842" customFormat="false" ht="15.75" hidden="false" customHeight="true" outlineLevel="0" collapsed="false">
      <c r="A842" s="7" t="s">
        <v>1745</v>
      </c>
      <c r="B842" s="8" t="s">
        <v>1726</v>
      </c>
      <c r="C842" s="8" t="n">
        <v>1992</v>
      </c>
      <c r="D842" s="9" t="s">
        <v>1746</v>
      </c>
      <c r="E842" s="7" t="s">
        <v>30</v>
      </c>
      <c r="F842" s="10" t="n">
        <f aca="false">IF(ISBLANK($G842),,VLOOKUP($G842, Rarities!$A$1:$B869, 2, FALSE()))</f>
        <v>1</v>
      </c>
      <c r="G842" s="8" t="s">
        <v>17</v>
      </c>
      <c r="H842" s="8" t="str">
        <f aca="false">VLOOKUP(B842,Manufacturers!A$1:B869,2)</f>
        <v>DE</v>
      </c>
      <c r="I842" s="11" t="n">
        <v>20000</v>
      </c>
      <c r="J842" s="8"/>
      <c r="K842" s="8" t="n">
        <v>1</v>
      </c>
      <c r="L842" s="12" t="n">
        <v>9</v>
      </c>
      <c r="M842" s="11" t="e">
        <f aca="false">IF(AND(ISNUMBER(L842),L842&gt;0),(3*J842+K842)*#REF!/L842,"-")</f>
        <v>#REF!</v>
      </c>
      <c r="N842" s="11" t="e">
        <f aca="false">IF(AND(#REF!,ISNUMBER(L842),L842&gt;0),((3*J842+K842)*#REF!-I842)/L842,"-")</f>
        <v>#REF!</v>
      </c>
      <c r="O842" s="8"/>
      <c r="P842" s="8"/>
    </row>
    <row r="843" customFormat="false" ht="15.75" hidden="false" customHeight="true" outlineLevel="0" collapsed="false">
      <c r="A843" s="7" t="s">
        <v>1747</v>
      </c>
      <c r="B843" s="8" t="s">
        <v>1726</v>
      </c>
      <c r="C843" s="8" t="n">
        <v>1995</v>
      </c>
      <c r="D843" s="9" t="s">
        <v>1748</v>
      </c>
      <c r="E843" s="7" t="s">
        <v>30</v>
      </c>
      <c r="F843" s="10" t="n">
        <f aca="false">IF(ISBLANK($G843),,VLOOKUP($G843, Rarities!$A$1:$B869, 2, FALSE()))</f>
        <v>1</v>
      </c>
      <c r="G843" s="8" t="s">
        <v>17</v>
      </c>
      <c r="H843" s="8" t="str">
        <f aca="false">VLOOKUP(B843,Manufacturers!A$1:B869,2)</f>
        <v>DE</v>
      </c>
      <c r="I843" s="11" t="n">
        <v>20000</v>
      </c>
      <c r="J843" s="8"/>
      <c r="K843" s="8" t="n">
        <v>1</v>
      </c>
      <c r="L843" s="12" t="n">
        <v>9</v>
      </c>
      <c r="M843" s="11" t="e">
        <f aca="false">IF(AND(ISNUMBER(L843),L843&gt;0),(3*J843+K843)*#REF!/L843,"-")</f>
        <v>#REF!</v>
      </c>
      <c r="N843" s="11" t="e">
        <f aca="false">IF(AND(#REF!,ISNUMBER(L843),L843&gt;0),((3*J843+K843)*#REF!-I843)/L843,"-")</f>
        <v>#REF!</v>
      </c>
      <c r="O843" s="8"/>
      <c r="P843" s="8"/>
    </row>
    <row r="844" customFormat="false" ht="15.75" hidden="false" customHeight="true" outlineLevel="0" collapsed="false">
      <c r="A844" s="7" t="s">
        <v>1749</v>
      </c>
      <c r="B844" s="8" t="s">
        <v>1726</v>
      </c>
      <c r="C844" s="8" t="n">
        <v>1998</v>
      </c>
      <c r="D844" s="9" t="s">
        <v>1750</v>
      </c>
      <c r="E844" s="7" t="s">
        <v>30</v>
      </c>
      <c r="F844" s="10" t="n">
        <f aca="false">IF(ISBLANK($G844),,VLOOKUP($G844, Rarities!$A$1:$B869, 2, FALSE()))</f>
        <v>1</v>
      </c>
      <c r="G844" s="8" t="s">
        <v>17</v>
      </c>
      <c r="H844" s="8" t="str">
        <f aca="false">VLOOKUP(B844,Manufacturers!A$1:B869,2)</f>
        <v>DE</v>
      </c>
      <c r="I844" s="11" t="n">
        <v>25000</v>
      </c>
      <c r="J844" s="8"/>
      <c r="K844" s="8" t="n">
        <v>1</v>
      </c>
      <c r="L844" s="12" t="n">
        <v>9</v>
      </c>
      <c r="M844" s="11" t="e">
        <f aca="false">IF(AND(ISNUMBER(L844),L844&gt;0),(3*J844+K844)*#REF!/L844,"-")</f>
        <v>#REF!</v>
      </c>
      <c r="N844" s="11" t="e">
        <f aca="false">IF(AND(#REF!,ISNUMBER(L844),L844&gt;0),((3*J844+K844)*#REF!-I844)/L844,"-")</f>
        <v>#REF!</v>
      </c>
      <c r="O844" s="8"/>
      <c r="P844" s="8"/>
    </row>
    <row r="845" customFormat="false" ht="15.75" hidden="false" customHeight="true" outlineLevel="0" collapsed="false">
      <c r="A845" s="7" t="s">
        <v>244</v>
      </c>
      <c r="B845" s="8" t="s">
        <v>1726</v>
      </c>
      <c r="C845" s="8" t="n">
        <v>1998</v>
      </c>
      <c r="D845" s="9" t="s">
        <v>1751</v>
      </c>
      <c r="E845" s="7" t="s">
        <v>244</v>
      </c>
      <c r="F845" s="10" t="n">
        <f aca="false">IF(ISBLANK($G845),,VLOOKUP($G845, Rarities!$A$1:$B869, 2, FALSE()))</f>
        <v>0</v>
      </c>
      <c r="G845" s="8" t="s">
        <v>244</v>
      </c>
      <c r="H845" s="8" t="str">
        <f aca="false">VLOOKUP(B845,Manufacturers!A$1:B869,2)</f>
        <v>DE</v>
      </c>
      <c r="I845" s="11" t="s">
        <v>244</v>
      </c>
      <c r="J845" s="8"/>
      <c r="K845" s="8"/>
      <c r="L845" s="12" t="s">
        <v>244</v>
      </c>
      <c r="M845" s="11" t="str">
        <f aca="false">IF(AND(ISNUMBER(L845),L845&gt;0),(3*J845+K845)*#REF!/L845,"-")</f>
        <v>-</v>
      </c>
      <c r="N845" s="11" t="e">
        <f aca="false">IF(AND(#REF!,ISNUMBER(L845),L845&gt;0),((3*J845+K845)*#REF!-I845)/L845,"-")</f>
        <v>#REF!</v>
      </c>
      <c r="O845" s="8"/>
      <c r="P845" s="8"/>
    </row>
    <row r="846" customFormat="false" ht="15.75" hidden="false" customHeight="true" outlineLevel="0" collapsed="false">
      <c r="A846" s="7" t="s">
        <v>1752</v>
      </c>
      <c r="B846" s="8" t="s">
        <v>1726</v>
      </c>
      <c r="C846" s="8" t="n">
        <v>2003</v>
      </c>
      <c r="D846" s="9" t="s">
        <v>1753</v>
      </c>
      <c r="E846" s="7" t="s">
        <v>23</v>
      </c>
      <c r="F846" s="10" t="n">
        <f aca="false">IF(ISBLANK($G846),,VLOOKUP($G846, Rarities!$A$1:$B869, 2, FALSE()))</f>
        <v>2</v>
      </c>
      <c r="G846" s="8" t="s">
        <v>36</v>
      </c>
      <c r="H846" s="8" t="str">
        <f aca="false">VLOOKUP(B846,Manufacturers!A$1:B869,2)</f>
        <v>DE</v>
      </c>
      <c r="I846" s="11" t="n">
        <v>20000</v>
      </c>
      <c r="J846" s="8"/>
      <c r="K846" s="8" t="n">
        <v>1</v>
      </c>
      <c r="L846" s="12" t="n">
        <v>9</v>
      </c>
      <c r="M846" s="11" t="e">
        <f aca="false">IF(AND(ISNUMBER(L846),L846&gt;0),(3*J846+K846)*#REF!/L846,"-")</f>
        <v>#REF!</v>
      </c>
      <c r="N846" s="11" t="e">
        <f aca="false">IF(AND(#REF!,ISNUMBER(L846),L846&gt;0),((3*J846+K846)*#REF!-I846)/L846,"-")</f>
        <v>#REF!</v>
      </c>
      <c r="O846" s="8"/>
      <c r="P846" s="8"/>
    </row>
    <row r="847" customFormat="false" ht="15.75" hidden="false" customHeight="true" outlineLevel="0" collapsed="false">
      <c r="A847" s="7" t="s">
        <v>244</v>
      </c>
      <c r="B847" s="8" t="s">
        <v>1726</v>
      </c>
      <c r="C847" s="8" t="n">
        <v>2003</v>
      </c>
      <c r="D847" s="9" t="s">
        <v>1754</v>
      </c>
      <c r="E847" s="7" t="s">
        <v>244</v>
      </c>
      <c r="F847" s="10" t="n">
        <f aca="false">IF(ISBLANK($G847),,VLOOKUP($G847, Rarities!$A$1:$B869, 2, FALSE()))</f>
        <v>0</v>
      </c>
      <c r="G847" s="8" t="s">
        <v>244</v>
      </c>
      <c r="H847" s="8" t="str">
        <f aca="false">VLOOKUP(B847,Manufacturers!A$1:B869,2)</f>
        <v>DE</v>
      </c>
      <c r="I847" s="11" t="s">
        <v>244</v>
      </c>
      <c r="J847" s="8"/>
      <c r="K847" s="8"/>
      <c r="L847" s="12" t="s">
        <v>244</v>
      </c>
      <c r="M847" s="11" t="str">
        <f aca="false">IF(AND(ISNUMBER(L847),L847&gt;0),(3*J847+K847)*#REF!/L847,"-")</f>
        <v>-</v>
      </c>
      <c r="N847" s="11" t="e">
        <f aca="false">IF(AND(#REF!,ISNUMBER(L847),L847&gt;0),((3*J847+K847)*#REF!-I847)/L847,"-")</f>
        <v>#REF!</v>
      </c>
      <c r="O847" s="8"/>
      <c r="P847" s="8"/>
    </row>
    <row r="848" customFormat="false" ht="15.75" hidden="false" customHeight="true" outlineLevel="0" collapsed="false">
      <c r="A848" s="7" t="s">
        <v>1755</v>
      </c>
      <c r="B848" s="8" t="s">
        <v>1726</v>
      </c>
      <c r="C848" s="8" t="n">
        <v>2010</v>
      </c>
      <c r="D848" s="9" t="s">
        <v>1756</v>
      </c>
      <c r="E848" s="7" t="s">
        <v>155</v>
      </c>
      <c r="F848" s="10" t="n">
        <f aca="false">IF(ISBLANK($G848),,VLOOKUP($G848, Rarities!$A$1:$B869, 2, FALSE()))</f>
        <v>2</v>
      </c>
      <c r="G848" s="8" t="s">
        <v>36</v>
      </c>
      <c r="H848" s="8" t="str">
        <f aca="false">VLOOKUP(B848,Manufacturers!A$1:B869,2)</f>
        <v>DE</v>
      </c>
      <c r="I848" s="11" t="n">
        <v>64000</v>
      </c>
      <c r="J848" s="8"/>
      <c r="K848" s="8" t="n">
        <v>1</v>
      </c>
      <c r="L848" s="12" t="n">
        <v>9</v>
      </c>
      <c r="M848" s="11" t="e">
        <f aca="false">IF(AND(ISNUMBER(L848),L848&gt;0),(3*J848+K848)*#REF!/L848,"-")</f>
        <v>#REF!</v>
      </c>
      <c r="N848" s="11" t="e">
        <f aca="false">IF(AND(#REF!,ISNUMBER(L848),L848&gt;0),((3*J848+K848)*#REF!-I848)/L848,"-")</f>
        <v>#REF!</v>
      </c>
      <c r="O848" s="8"/>
      <c r="P848" s="8"/>
    </row>
    <row r="849" customFormat="false" ht="15.75" hidden="false" customHeight="true" outlineLevel="0" collapsed="false">
      <c r="A849" s="7" t="s">
        <v>1757</v>
      </c>
      <c r="B849" s="8" t="s">
        <v>1726</v>
      </c>
      <c r="C849" s="8" t="n">
        <v>2011</v>
      </c>
      <c r="D849" s="9" t="s">
        <v>1758</v>
      </c>
      <c r="E849" s="7" t="s">
        <v>23</v>
      </c>
      <c r="F849" s="10" t="n">
        <f aca="false">IF(ISBLANK($G849),,VLOOKUP($G849, Rarities!$A$1:$B869, 2, FALSE()))</f>
        <v>2</v>
      </c>
      <c r="G849" s="8" t="s">
        <v>36</v>
      </c>
      <c r="H849" s="8" t="str">
        <f aca="false">VLOOKUP(B849,Manufacturers!A$1:B869,2)</f>
        <v>DE</v>
      </c>
      <c r="I849" s="11" t="n">
        <v>45000</v>
      </c>
      <c r="J849" s="8"/>
      <c r="K849" s="8" t="n">
        <v>1</v>
      </c>
      <c r="L849" s="12" t="n">
        <v>9</v>
      </c>
      <c r="M849" s="11" t="e">
        <f aca="false">IF(AND(ISNUMBER(L849),L849&gt;0),(3*J849+K849)*#REF!/L849,"-")</f>
        <v>#REF!</v>
      </c>
      <c r="N849" s="11" t="e">
        <f aca="false">IF(AND(#REF!,ISNUMBER(L849),L849&gt;0),((3*J849+K849)*#REF!-I849)/L849,"-")</f>
        <v>#REF!</v>
      </c>
      <c r="O849" s="8"/>
      <c r="P849" s="8"/>
    </row>
    <row r="850" customFormat="false" ht="15.75" hidden="false" customHeight="true" outlineLevel="0" collapsed="false">
      <c r="A850" s="7" t="s">
        <v>1759</v>
      </c>
      <c r="B850" s="8" t="s">
        <v>1726</v>
      </c>
      <c r="C850" s="8" t="n">
        <v>2012</v>
      </c>
      <c r="D850" s="9" t="s">
        <v>1760</v>
      </c>
      <c r="E850" s="7" t="s">
        <v>49</v>
      </c>
      <c r="F850" s="10" t="n">
        <f aca="false">IF(ISBLANK($G850),,VLOOKUP($G850, Rarities!$A$1:$B869, 2, FALSE()))</f>
        <v>2</v>
      </c>
      <c r="G850" s="8" t="s">
        <v>36</v>
      </c>
      <c r="H850" s="8" t="str">
        <f aca="false">VLOOKUP(B850,Manufacturers!A$1:B869,2)</f>
        <v>DE</v>
      </c>
      <c r="I850" s="11" t="n">
        <v>20000</v>
      </c>
      <c r="J850" s="8"/>
      <c r="K850" s="8"/>
      <c r="L850" s="12"/>
      <c r="M850" s="11"/>
      <c r="N850" s="11"/>
      <c r="O850" s="8"/>
      <c r="P850" s="8"/>
    </row>
    <row r="851" customFormat="false" ht="15.75" hidden="false" customHeight="true" outlineLevel="0" collapsed="false">
      <c r="A851" s="7" t="s">
        <v>1761</v>
      </c>
      <c r="B851" s="8" t="s">
        <v>1726</v>
      </c>
      <c r="C851" s="8" t="n">
        <v>2014</v>
      </c>
      <c r="D851" s="9" t="s">
        <v>1756</v>
      </c>
      <c r="E851" s="7" t="s">
        <v>155</v>
      </c>
      <c r="F851" s="10" t="n">
        <f aca="false">IF(ISBLANK($G851),,VLOOKUP($G851, Rarities!$A$1:$B869, 2, FALSE()))</f>
        <v>1</v>
      </c>
      <c r="G851" s="8" t="s">
        <v>17</v>
      </c>
      <c r="H851" s="8" t="str">
        <f aca="false">VLOOKUP(B851,Manufacturers!A$1:B869,2)</f>
        <v>DE</v>
      </c>
      <c r="I851" s="11" t="n">
        <v>50000</v>
      </c>
      <c r="J851" s="8"/>
      <c r="K851" s="8" t="n">
        <v>1</v>
      </c>
      <c r="L851" s="12" t="n">
        <v>9</v>
      </c>
      <c r="M851" s="11" t="e">
        <f aca="false">IF(AND(ISNUMBER(L851),L851&gt;0),(3*J851+K851)*#REF!/L851,"-")</f>
        <v>#REF!</v>
      </c>
      <c r="N851" s="11" t="e">
        <f aca="false">IF(AND(#REF!,ISNUMBER(L851),L851&gt;0),((3*J851+K851)*#REF!-I851)/L851,"-")</f>
        <v>#REF!</v>
      </c>
      <c r="O851" s="8"/>
      <c r="P851" s="8"/>
    </row>
    <row r="852" customFormat="false" ht="15.75" hidden="false" customHeight="true" outlineLevel="0" collapsed="false">
      <c r="A852" s="7" t="s">
        <v>1762</v>
      </c>
      <c r="B852" s="8" t="s">
        <v>1726</v>
      </c>
      <c r="C852" s="8" t="n">
        <v>2017</v>
      </c>
      <c r="D852" s="9" t="s">
        <v>1763</v>
      </c>
      <c r="E852" s="7" t="s">
        <v>139</v>
      </c>
      <c r="F852" s="10" t="n">
        <f aca="false">IF(ISBLANK($G852),,VLOOKUP($G852, Rarities!$A$1:$B869, 2, FALSE()))</f>
        <v>3</v>
      </c>
      <c r="G852" s="8" t="s">
        <v>53</v>
      </c>
      <c r="H852" s="8" t="str">
        <f aca="false">VLOOKUP(B852,Manufacturers!A$1:B869,2)</f>
        <v>DE</v>
      </c>
      <c r="I852" s="11" t="n">
        <v>500000</v>
      </c>
      <c r="J852" s="8"/>
      <c r="K852" s="8" t="n">
        <v>1</v>
      </c>
      <c r="L852" s="12" t="n">
        <v>9</v>
      </c>
      <c r="M852" s="11" t="e">
        <f aca="false">IF(AND(ISNUMBER(L852),L852&gt;0),(3*J852+K852)*#REF!/L852,"-")</f>
        <v>#REF!</v>
      </c>
      <c r="N852" s="11" t="e">
        <f aca="false">IF(AND(#REF!,ISNUMBER(L852),L852&gt;0),((3*J852+K852)*#REF!-I852)/L852,"-")</f>
        <v>#REF!</v>
      </c>
      <c r="O852" s="8"/>
      <c r="P852" s="8"/>
    </row>
    <row r="853" customFormat="false" ht="15.75" hidden="false" customHeight="true" outlineLevel="0" collapsed="false">
      <c r="A853" s="7" t="s">
        <v>1764</v>
      </c>
      <c r="B853" s="8" t="s">
        <v>1726</v>
      </c>
      <c r="C853" s="8" t="n">
        <v>2021</v>
      </c>
      <c r="D853" s="9" t="s">
        <v>1765</v>
      </c>
      <c r="E853" s="7" t="s">
        <v>23</v>
      </c>
      <c r="F853" s="10" t="n">
        <f aca="false">IF(ISBLANK($G853),,VLOOKUP($G853, Rarities!$A$1:$B869, 2, FALSE()))</f>
        <v>2</v>
      </c>
      <c r="G853" s="8" t="s">
        <v>36</v>
      </c>
      <c r="H853" s="8" t="str">
        <f aca="false">VLOOKUP(B853,Manufacturers!A$1:B869,2)</f>
        <v>DE</v>
      </c>
      <c r="I853" s="11" t="n">
        <v>250000</v>
      </c>
      <c r="J853" s="8"/>
      <c r="K853" s="8"/>
      <c r="L853" s="12"/>
      <c r="M853" s="11"/>
      <c r="N853" s="11"/>
      <c r="O853" s="8"/>
      <c r="P853" s="8"/>
    </row>
    <row r="854" customFormat="false" ht="15.75" hidden="false" customHeight="true" outlineLevel="0" collapsed="false">
      <c r="A854" s="7" t="s">
        <v>1766</v>
      </c>
      <c r="B854" s="8" t="s">
        <v>1726</v>
      </c>
      <c r="C854" s="8" t="n">
        <v>2021</v>
      </c>
      <c r="D854" s="9" t="s">
        <v>1756</v>
      </c>
      <c r="E854" s="7" t="s">
        <v>155</v>
      </c>
      <c r="F854" s="10" t="n">
        <f aca="false">IF(ISBLANK($G854),,VLOOKUP($G854, Rarities!$A$1:$B869, 2, FALSE()))</f>
        <v>1</v>
      </c>
      <c r="G854" s="8" t="s">
        <v>17</v>
      </c>
      <c r="H854" s="8" t="str">
        <f aca="false">VLOOKUP(B854,Manufacturers!A$1:B869,2)</f>
        <v>DE</v>
      </c>
      <c r="I854" s="11" t="n">
        <v>65000</v>
      </c>
      <c r="J854" s="8"/>
      <c r="K854" s="8"/>
      <c r="L854" s="12"/>
      <c r="M854" s="11" t="str">
        <f aca="false">IF(AND(ISNUMBER(L854),L854&gt;0),(3*J854+K854)*#REF!/L854,"-")</f>
        <v>-</v>
      </c>
      <c r="N854" s="11" t="e">
        <f aca="false">IF(AND(#REF!,ISNUMBER(L854),L854&gt;0),((3*J854+K854)*#REF!-I854)/L854,"-")</f>
        <v>#REF!</v>
      </c>
      <c r="O854" s="8"/>
      <c r="P854" s="8"/>
    </row>
    <row r="855" customFormat="false" ht="15.75" hidden="false" customHeight="true" outlineLevel="0" collapsed="false">
      <c r="A855" s="7" t="s">
        <v>1767</v>
      </c>
      <c r="B855" s="8" t="s">
        <v>1726</v>
      </c>
      <c r="C855" s="8" t="n">
        <v>2022</v>
      </c>
      <c r="D855" s="9" t="s">
        <v>1756</v>
      </c>
      <c r="E855" s="7" t="s">
        <v>155</v>
      </c>
      <c r="F855" s="10" t="n">
        <f aca="false">IF(ISBLANK($G855),,VLOOKUP($G855, Rarities!$A$1:$B869, 2, FALSE()))</f>
        <v>2</v>
      </c>
      <c r="G855" s="8" t="s">
        <v>36</v>
      </c>
      <c r="H855" s="8" t="str">
        <f aca="false">VLOOKUP(B855,Manufacturers!A$1:B869,2)</f>
        <v>DE</v>
      </c>
      <c r="I855" s="11" t="n">
        <v>50000</v>
      </c>
      <c r="J855" s="8"/>
      <c r="K855" s="8"/>
      <c r="L855" s="12"/>
      <c r="M855" s="11"/>
      <c r="N855" s="11"/>
      <c r="O855" s="8"/>
      <c r="P855" s="8"/>
    </row>
    <row r="856" customFormat="false" ht="15.75" hidden="false" customHeight="true" outlineLevel="0" collapsed="false">
      <c r="A856" s="7" t="s">
        <v>1768</v>
      </c>
      <c r="B856" s="8" t="s">
        <v>1769</v>
      </c>
      <c r="C856" s="8" t="n">
        <v>1983</v>
      </c>
      <c r="D856" s="9" t="s">
        <v>1770</v>
      </c>
      <c r="E856" s="7" t="s">
        <v>20</v>
      </c>
      <c r="F856" s="10" t="n">
        <f aca="false">IF(ISBLANK($G856),,VLOOKUP($G856, Rarities!$A$1:$B869, 2, FALSE()))</f>
        <v>1</v>
      </c>
      <c r="G856" s="8" t="s">
        <v>17</v>
      </c>
      <c r="H856" s="8" t="str">
        <f aca="false">VLOOKUP(B856,Manufacturers!A$1:B869,2)</f>
        <v>SE</v>
      </c>
      <c r="I856" s="11" t="n">
        <v>45000</v>
      </c>
      <c r="J856" s="8"/>
      <c r="K856" s="8" t="n">
        <v>1</v>
      </c>
      <c r="L856" s="12" t="n">
        <v>9</v>
      </c>
      <c r="M856" s="11" t="e">
        <f aca="false">IF(AND(ISNUMBER(L856),L856&gt;0),(3*J856+K856)*#REF!/L856,"-")</f>
        <v>#REF!</v>
      </c>
      <c r="N856" s="11" t="e">
        <f aca="false">IF(AND(#REF!,ISNUMBER(L856),L856&gt;0),((3*J856+K856)*#REF!-I856)/L856,"-")</f>
        <v>#REF!</v>
      </c>
      <c r="O856" s="8"/>
      <c r="P856" s="8"/>
    </row>
    <row r="857" customFormat="false" ht="15.75" hidden="false" customHeight="true" outlineLevel="0" collapsed="false">
      <c r="A857" s="7" t="s">
        <v>1771</v>
      </c>
      <c r="B857" s="8" t="s">
        <v>1769</v>
      </c>
      <c r="C857" s="8" t="n">
        <v>1997</v>
      </c>
      <c r="D857" s="9" t="s">
        <v>1772</v>
      </c>
      <c r="E857" s="7" t="s">
        <v>49</v>
      </c>
      <c r="F857" s="10" t="n">
        <f aca="false">IF(ISBLANK($G857),,VLOOKUP($G857, Rarities!$A$1:$B869, 2, FALSE()))</f>
        <v>1</v>
      </c>
      <c r="G857" s="8" t="s">
        <v>17</v>
      </c>
      <c r="H857" s="8" t="str">
        <f aca="false">VLOOKUP(B857,Manufacturers!A$1:B869,2)</f>
        <v>SE</v>
      </c>
      <c r="I857" s="11" t="n">
        <v>25000</v>
      </c>
      <c r="J857" s="8"/>
      <c r="K857" s="8" t="n">
        <v>1</v>
      </c>
      <c r="L857" s="12" t="n">
        <v>9</v>
      </c>
      <c r="M857" s="11" t="e">
        <f aca="false">IF(AND(ISNUMBER(L857),L857&gt;0),(3*J857+K857)*#REF!/L857,"-")</f>
        <v>#REF!</v>
      </c>
      <c r="N857" s="11" t="e">
        <f aca="false">IF(AND(#REF!,ISNUMBER(L857),L857&gt;0),((3*J857+K857)*#REF!-I857)/L857,"-")</f>
        <v>#REF!</v>
      </c>
      <c r="O857" s="8"/>
      <c r="P857" s="8"/>
    </row>
    <row r="858" customFormat="false" ht="15.75" hidden="false" customHeight="true" outlineLevel="0" collapsed="false">
      <c r="A858" s="7" t="s">
        <v>1773</v>
      </c>
      <c r="B858" s="8" t="s">
        <v>1769</v>
      </c>
      <c r="C858" s="8" t="n">
        <v>2015</v>
      </c>
      <c r="D858" s="9" t="s">
        <v>1774</v>
      </c>
      <c r="E858" s="7" t="s">
        <v>58</v>
      </c>
      <c r="F858" s="10" t="n">
        <f aca="false">IF(ISBLANK($G858),,VLOOKUP($G858, Rarities!$A$1:$B869, 2, FALSE()))</f>
        <v>1</v>
      </c>
      <c r="G858" s="8" t="s">
        <v>17</v>
      </c>
      <c r="H858" s="8" t="str">
        <f aca="false">VLOOKUP(B858,Manufacturers!A$1:B869,2)</f>
        <v>SE</v>
      </c>
      <c r="I858" s="11" t="n">
        <v>62000</v>
      </c>
      <c r="J858" s="8"/>
      <c r="K858" s="8" t="n">
        <v>1</v>
      </c>
      <c r="L858" s="12" t="n">
        <v>9</v>
      </c>
      <c r="M858" s="11" t="e">
        <f aca="false">IF(AND(ISNUMBER(L858),L858&gt;0),(3*J858+K858)*#REF!/L858,"-")</f>
        <v>#REF!</v>
      </c>
      <c r="N858" s="11" t="e">
        <f aca="false">IF(AND(#REF!,ISNUMBER(L858),L858&gt;0),((3*J858+K858)*#REF!-I858)/L858,"-")</f>
        <v>#REF!</v>
      </c>
      <c r="O858" s="8"/>
      <c r="P858" s="8"/>
    </row>
    <row r="859" customFormat="false" ht="15.75" hidden="false" customHeight="true" outlineLevel="0" collapsed="false">
      <c r="A859" s="7" t="s">
        <v>1775</v>
      </c>
      <c r="B859" s="8" t="s">
        <v>1776</v>
      </c>
      <c r="C859" s="8" t="n">
        <v>2017</v>
      </c>
      <c r="D859" s="9" t="s">
        <v>1777</v>
      </c>
      <c r="E859" s="7" t="s">
        <v>111</v>
      </c>
      <c r="F859" s="10" t="n">
        <f aca="false">IF(ISBLANK($G859),,VLOOKUP($G859, Rarities!$A$1:$B869, 2, FALSE()))</f>
        <v>3</v>
      </c>
      <c r="G859" s="8" t="s">
        <v>53</v>
      </c>
      <c r="H859" s="8" t="str">
        <f aca="false">VLOOKUP(B859,Manufacturers!A$1:B869,2)</f>
        <v>MX</v>
      </c>
      <c r="I859" s="11" t="n">
        <v>100000</v>
      </c>
      <c r="J859" s="8"/>
      <c r="K859" s="8" t="n">
        <v>1</v>
      </c>
      <c r="L859" s="12" t="n">
        <v>9</v>
      </c>
      <c r="M859" s="11" t="e">
        <f aca="false">IF(AND(ISNUMBER(L859),L859&gt;0),(3*J859+K859)*#REF!/L859,"-")</f>
        <v>#REF!</v>
      </c>
      <c r="N859" s="11" t="e">
        <f aca="false">IF(AND(#REF!,ISNUMBER(L859),L859&gt;0),((3*J859+K859)*#REF!-I859)/L859,"-")</f>
        <v>#REF!</v>
      </c>
      <c r="O859" s="8"/>
      <c r="P859" s="8"/>
    </row>
    <row r="860" customFormat="false" ht="15.75" hidden="false" customHeight="true" outlineLevel="0" collapsed="false">
      <c r="A860" s="7" t="s">
        <v>1778</v>
      </c>
      <c r="B860" s="8" t="s">
        <v>1779</v>
      </c>
      <c r="C860" s="8" t="n">
        <v>2016</v>
      </c>
      <c r="D860" s="9" t="s">
        <v>1778</v>
      </c>
      <c r="E860" s="7" t="s">
        <v>118</v>
      </c>
      <c r="F860" s="10" t="n">
        <f aca="false">IF(ISBLANK($G860),,VLOOKUP($G860, Rarities!$A$1:$B869, 2, FALSE()))</f>
        <v>4</v>
      </c>
      <c r="G860" s="8" t="s">
        <v>41</v>
      </c>
      <c r="H860" s="8" t="str">
        <f aca="false">VLOOKUP(B860,Manufacturers!A$1:B869,2)</f>
        <v>AE</v>
      </c>
      <c r="I860" s="11" t="n">
        <v>3000000</v>
      </c>
      <c r="J860" s="8"/>
      <c r="K860" s="8"/>
      <c r="L860" s="12"/>
      <c r="M860" s="11"/>
      <c r="N860" s="11"/>
      <c r="O860" s="8"/>
      <c r="P860" s="8"/>
    </row>
    <row r="861" customFormat="false" ht="15.75" hidden="false" customHeight="true" outlineLevel="0" collapsed="false">
      <c r="A861" s="7" t="s">
        <v>1780</v>
      </c>
      <c r="B861" s="8" t="s">
        <v>1781</v>
      </c>
      <c r="C861" s="8" t="n">
        <v>1945</v>
      </c>
      <c r="D861" s="9" t="s">
        <v>1782</v>
      </c>
      <c r="E861" s="7" t="s">
        <v>353</v>
      </c>
      <c r="F861" s="10" t="n">
        <f aca="false">IF(ISBLANK($G861),,VLOOKUP($G861, Rarities!$A$1:$B869, 2, FALSE()))</f>
        <v>1</v>
      </c>
      <c r="G861" s="8" t="s">
        <v>17</v>
      </c>
      <c r="H861" s="8" t="str">
        <f aca="false">VLOOKUP(B861,Manufacturers!A$1:B869,2)</f>
        <v>US</v>
      </c>
      <c r="I861" s="11" t="n">
        <v>40000</v>
      </c>
      <c r="J861" s="8"/>
      <c r="K861" s="8"/>
      <c r="L861" s="12" t="s">
        <v>244</v>
      </c>
      <c r="M861" s="11" t="str">
        <f aca="false">IF(AND(ISNUMBER(L861),L861&gt;0),(3*J861+K861)*#REF!/L861,"-")</f>
        <v>-</v>
      </c>
      <c r="N861" s="11" t="e">
        <f aca="false">IF(AND(#REF!,ISNUMBER(L861),L861&gt;0),((3*J861+K861)*#REF!-I861)/L861,"-")</f>
        <v>#REF!</v>
      </c>
      <c r="O861" s="8"/>
      <c r="P861" s="8"/>
    </row>
    <row r="862" customFormat="false" ht="15.75" hidden="false" customHeight="true" outlineLevel="0" collapsed="false">
      <c r="A862" s="7" t="s">
        <v>1783</v>
      </c>
      <c r="B862" s="8" t="s">
        <v>1784</v>
      </c>
      <c r="C862" s="8" t="n">
        <v>2013</v>
      </c>
      <c r="D862" s="9" t="s">
        <v>1785</v>
      </c>
      <c r="E862" s="7" t="s">
        <v>350</v>
      </c>
      <c r="F862" s="10" t="n">
        <f aca="false">IF(ISBLANK($G862),,VLOOKUP($G862, Rarities!$A$1:$B869, 2, FALSE()))</f>
        <v>2</v>
      </c>
      <c r="G862" s="8" t="s">
        <v>36</v>
      </c>
      <c r="H862" s="8" t="str">
        <f aca="false">VLOOKUP(B862,Manufacturers!A$1:B869,2)</f>
        <v>CN</v>
      </c>
      <c r="I862" s="11" t="n">
        <v>250000</v>
      </c>
      <c r="J862" s="8"/>
      <c r="K862" s="8"/>
      <c r="L862" s="12"/>
      <c r="M862" s="11" t="str">
        <f aca="false">IF(AND(ISNUMBER(L862),L862&gt;0),(3*J862+K862)*#REF!/L862,"-")</f>
        <v>-</v>
      </c>
      <c r="N862" s="11" t="e">
        <f aca="false">IF(AND(#REF!,ISNUMBER(L862),L862&gt;0),((3*J862+K862)*#REF!-I862)/L862,"-")</f>
        <v>#REF!</v>
      </c>
      <c r="O862" s="8"/>
      <c r="P862" s="8"/>
    </row>
    <row r="863" customFormat="false" ht="15.75" hidden="false" customHeight="true" outlineLevel="0" collapsed="false">
      <c r="A863" s="7" t="s">
        <v>1786</v>
      </c>
      <c r="B863" s="8" t="s">
        <v>1784</v>
      </c>
      <c r="C863" s="8" t="n">
        <v>2022</v>
      </c>
      <c r="D863" s="9" t="s">
        <v>1787</v>
      </c>
      <c r="E863" s="7" t="s">
        <v>23</v>
      </c>
      <c r="F863" s="10" t="n">
        <f aca="false">IF(ISBLANK($G863),,VLOOKUP($G863, Rarities!$A$1:$B869, 2, FALSE()))</f>
        <v>2</v>
      </c>
      <c r="G863" s="8" t="s">
        <v>36</v>
      </c>
      <c r="H863" s="8" t="str">
        <f aca="false">VLOOKUP(B863,Manufacturers!A$1:B869,2)</f>
        <v>CN</v>
      </c>
      <c r="I863" s="11" t="n">
        <v>25000</v>
      </c>
      <c r="J863" s="8"/>
      <c r="K863" s="8"/>
      <c r="L863" s="12"/>
      <c r="M863" s="11"/>
      <c r="N863" s="11"/>
      <c r="O863" s="8"/>
      <c r="P863" s="8"/>
    </row>
    <row r="864" customFormat="false" ht="15.75" hidden="false" customHeight="true" outlineLevel="0" collapsed="false">
      <c r="A864" s="7" t="s">
        <v>1788</v>
      </c>
      <c r="B864" s="8" t="s">
        <v>1789</v>
      </c>
      <c r="C864" s="8" t="n">
        <v>2020</v>
      </c>
      <c r="D864" s="9" t="s">
        <v>1790</v>
      </c>
      <c r="E864" s="7" t="s">
        <v>58</v>
      </c>
      <c r="F864" s="10" t="n">
        <f aca="false">IF(ISBLANK($G864),,VLOOKUP($G864, Rarities!$A$1:$B869, 2, FALSE()))</f>
        <v>2</v>
      </c>
      <c r="G864" s="8" t="s">
        <v>36</v>
      </c>
      <c r="H864" s="8" t="str">
        <f aca="false">VLOOKUP(B864,Manufacturers!A$1:B869,2)</f>
        <v>CN</v>
      </c>
      <c r="I864" s="11" t="n">
        <v>250000</v>
      </c>
      <c r="J864" s="8"/>
      <c r="K864" s="8"/>
      <c r="L864" s="12"/>
      <c r="M864" s="11"/>
      <c r="N864" s="11"/>
      <c r="O864" s="8"/>
      <c r="P864" s="8"/>
    </row>
    <row r="865" customFormat="false" ht="15.75" hidden="false" customHeight="true" outlineLevel="0" collapsed="false">
      <c r="A865" s="7" t="s">
        <v>1791</v>
      </c>
      <c r="B865" s="8" t="s">
        <v>1792</v>
      </c>
      <c r="C865" s="8" t="n">
        <v>2016</v>
      </c>
      <c r="D865" s="9" t="s">
        <v>1793</v>
      </c>
      <c r="E865" s="7" t="s">
        <v>118</v>
      </c>
      <c r="F865" s="10" t="n">
        <f aca="false">IF(ISBLANK($G865),,VLOOKUP($G865, Rarities!$A$1:$B869, 2, FALSE()))</f>
        <v>4</v>
      </c>
      <c r="G865" s="8" t="s">
        <v>41</v>
      </c>
      <c r="H865" s="8" t="str">
        <f aca="false">VLOOKUP(B865,Manufacturers!A$1:B869,2)</f>
        <v>DK</v>
      </c>
      <c r="I865" s="11" t="n">
        <v>1000000</v>
      </c>
      <c r="J865" s="8" t="n">
        <v>2</v>
      </c>
      <c r="K865" s="8" t="n">
        <v>1</v>
      </c>
      <c r="L865" s="12" t="n">
        <v>24</v>
      </c>
      <c r="M865" s="11" t="e">
        <f aca="false">IF(AND(ISNUMBER(L865),L865&gt;0),(3*J865+K865)*#REF!/L865,"-")</f>
        <v>#REF!</v>
      </c>
      <c r="N865" s="11" t="e">
        <f aca="false">IF(AND(#REF!,ISNUMBER(L865),L865&gt;0),((3*J865+K865)*#REF!-I865)/L865,"-")</f>
        <v>#REF!</v>
      </c>
      <c r="O865" s="8"/>
      <c r="P865" s="8"/>
    </row>
    <row r="866" customFormat="false" ht="15.75" hidden="false" customHeight="true" outlineLevel="0" collapsed="false">
      <c r="A866" s="7" t="s">
        <v>1794</v>
      </c>
      <c r="B866" s="8" t="s">
        <v>1792</v>
      </c>
      <c r="C866" s="8" t="n">
        <v>2019</v>
      </c>
      <c r="D866" s="9" t="s">
        <v>1795</v>
      </c>
      <c r="E866" s="7" t="s">
        <v>118</v>
      </c>
      <c r="F866" s="10" t="n">
        <f aca="false">IF(ISBLANK($G866),,VLOOKUP($G866, Rarities!$A$1:$B869, 2, FALSE()))</f>
        <v>4</v>
      </c>
      <c r="G866" s="8" t="s">
        <v>41</v>
      </c>
      <c r="H866" s="8" t="str">
        <f aca="false">VLOOKUP(B866,Manufacturers!A$1:B869,2)</f>
        <v>DK</v>
      </c>
      <c r="I866" s="11" t="n">
        <v>1200000</v>
      </c>
      <c r="J866" s="8" t="n">
        <v>2</v>
      </c>
      <c r="K866" s="8" t="n">
        <v>1</v>
      </c>
      <c r="L866" s="12" t="n">
        <v>21</v>
      </c>
      <c r="M866" s="11" t="e">
        <f aca="false">IF(AND(ISNUMBER(L866),L866&gt;0),(3*J866+K866)*#REF!/L866,"-")</f>
        <v>#REF!</v>
      </c>
      <c r="N866" s="11" t="e">
        <f aca="false">IF(AND(#REF!,ISNUMBER(L866),L866&gt;0),((3*J866+K866)*#REF!-I866)/L866,"-")</f>
        <v>#REF!</v>
      </c>
      <c r="O866" s="8"/>
      <c r="P866" s="8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conditionalFormatting sqref="D491">
    <cfRule type="expression" priority="2" aboveAverage="0" equalAverage="0" bottom="0" percent="0" rank="0" text="" dxfId="13">
      <formula>AND($F491="Hard to Find",COUNTIFS(Cars!$B$2:$B866, $B491, Cars!$C$2:$C866, $C491, Cars!$D$2:$D866, $D491)=1)</formula>
    </cfRule>
  </conditionalFormatting>
  <conditionalFormatting sqref="D491">
    <cfRule type="expression" priority="3" aboveAverage="0" equalAverage="0" bottom="0" percent="0" rank="0" text="" dxfId="14">
      <formula>AND($F491="Exclusive",COUNTIFS(Cars!$B$2:$B866, $B491, Cars!$C$2:$C866, $C491, Cars!$D$2:$D866, $D491)=1)</formula>
    </cfRule>
  </conditionalFormatting>
  <conditionalFormatting sqref="G2:G866">
    <cfRule type="cellIs" priority="4" operator="equal" aboveAverage="0" equalAverage="0" bottom="0" percent="0" rank="0" text="" dxfId="15">
      <formula>"Legendary"</formula>
    </cfRule>
    <cfRule type="cellIs" priority="5" operator="equal" aboveAverage="0" equalAverage="0" bottom="0" percent="0" rank="0" text="" dxfId="16">
      <formula>"Common"</formula>
    </cfRule>
    <cfRule type="cellIs" priority="6" operator="equal" aboveAverage="0" equalAverage="0" bottom="0" percent="0" rank="0" text="" dxfId="17">
      <formula>"Rare"</formula>
    </cfRule>
    <cfRule type="cellIs" priority="7" operator="equal" aboveAverage="0" equalAverage="0" bottom="0" percent="0" rank="0" text="" dxfId="18">
      <formula>"Epic"</formula>
    </cfRule>
    <cfRule type="cellIs" priority="8" operator="equal" aboveAverage="0" equalAverage="0" bottom="0" percent="0" rank="0" text="" dxfId="19">
      <formula>"Forza Edition"</formula>
    </cfRule>
    <cfRule type="cellIs" priority="9" operator="equal" aboveAverage="0" equalAverage="0" bottom="0" percent="0" rank="0" text="" dxfId="20">
      <formula>"Anniversary Edition"</formula>
    </cfRule>
    <cfRule type="cellIs" priority="10" operator="equal" aboveAverage="0" equalAverage="0" bottom="0" percent="0" rank="0" text="" dxfId="21">
      <formula>"Donut Edition"</formula>
    </cfRule>
  </conditionalFormatting>
  <conditionalFormatting sqref="A1:E866 G1:G866 L1:L866">
    <cfRule type="expression" priority="11" aboveAverage="0" equalAverage="0" bottom="0" percent="0" rank="0" text="" dxfId="22">
      <formula>LEN(TRIM(A1))=0</formula>
    </cfRule>
  </conditionalFormatting>
  <conditionalFormatting sqref="B2:D866 E224:E225">
    <cfRule type="expression" priority="12" aboveAverage="0" equalAverage="0" bottom="0" percent="0" rank="0" text="" dxfId="22">
      <formula>AND(NOT(#REF!),#REF!)</formula>
    </cfRule>
    <cfRule type="expression" priority="13" aboveAverage="0" equalAverage="0" bottom="0" percent="0" rank="0" text="" dxfId="23">
      <formula>NOT(#REF!)</formula>
    </cfRule>
    <cfRule type="expression" priority="14" aboveAverage="0" equalAverage="0" bottom="0" percent="0" rank="0" text="" dxfId="13">
      <formula>NOT(#REF!)</formula>
    </cfRule>
  </conditionalFormatting>
  <conditionalFormatting sqref="M2:M866">
    <cfRule type="colorScale" priority="15">
      <colorScale>
        <cfvo type="min" val="0"/>
        <cfvo type="percentile" val="50"/>
        <cfvo type="max" val="0"/>
        <color rgb="FFE67C73"/>
        <color rgb="FFFFD666"/>
        <color rgb="FF57BB8A"/>
      </colorScale>
    </cfRule>
    <cfRule type="expression" priority="16" aboveAverage="0" equalAverage="0" bottom="0" percent="0" rank="0" text="" dxfId="23">
      <formula>M2&lt;MAX(N$2:N866)</formula>
    </cfRule>
  </conditionalFormatting>
  <conditionalFormatting sqref="N2:N866">
    <cfRule type="colorScale" priority="17">
      <colorScale>
        <cfvo type="min" val="0"/>
        <cfvo type="formula" val="0"/>
        <cfvo type="max" val="0"/>
        <color rgb="FFE67C73"/>
        <color rgb="FFFFD666"/>
        <color rgb="FF57BB8A"/>
      </colorScale>
    </cfRule>
  </conditionalFormatting>
  <conditionalFormatting sqref="F2:F866 H2:H866">
    <cfRule type="expression" priority="18" aboveAverage="0" equalAverage="0" bottom="0" percent="0" rank="0" text="" dxfId="22">
      <formula>NOT(isformula(F2))</formula>
    </cfRule>
  </conditionalFormatting>
  <conditionalFormatting sqref="A2:A866">
    <cfRule type="expression" priority="19" aboveAverage="0" equalAverage="0" bottom="0" percent="0" rank="0" text="" dxfId="23">
      <formula>AND(NOT(ISBLANK(A2)),A2&lt;&gt;"-",COUNTIFS(A$2:A866, A2)&gt;1)</formula>
    </cfRule>
  </conditionalFormatting>
  <conditionalFormatting sqref="I92">
    <cfRule type="expression" priority="20" aboveAverage="0" equalAverage="0" bottom="0" percent="0" rank="0" text="" dxfId="23">
      <formula>AND(I92,NOT(#REF!))</formula>
    </cfRule>
  </conditionalFormatting>
  <conditionalFormatting sqref="I1:I866">
    <cfRule type="expression" priority="21" aboveAverage="0" equalAverage="0" bottom="0" percent="0" rank="0" text="" dxfId="22">
      <formula>LEN(TRIM(I1))=0</formula>
    </cfRule>
  </conditionalFormatting>
  <dataValidations count="5">
    <dataValidation allowBlank="true" errorStyle="stop" operator="between" showDropDown="true" showErrorMessage="true" showInputMessage="false" sqref="C2:C866" type="decimal">
      <formula1>1900</formula1>
      <formula2>2600</formula2>
    </dataValidation>
    <dataValidation allowBlank="true" errorStyle="stop" operator="between" showDropDown="false" showErrorMessage="true" showInputMessage="false" sqref="B2:B866" type="list">
      <formula1>Manufacturers!$A:$A</formula1>
      <formula2>0</formula2>
    </dataValidation>
    <dataValidation allowBlank="true" errorStyle="stop" operator="between" showDropDown="false" showErrorMessage="true" showInputMessage="false" sqref="E2:E866" type="list">
      <formula1>Types!$A:$A</formula1>
      <formula2>0</formula2>
    </dataValidation>
    <dataValidation allowBlank="true" errorStyle="stop" operator="between" showDropDown="false" showErrorMessage="true" showInputMessage="false" sqref="G2:G866" type="list">
      <formula1>Rarities!$A:$A</formula1>
      <formula2>0</formula2>
    </dataValidation>
    <dataValidation allowBlank="true" errorStyle="stop" operator="between" prompt="Cannot have Skill-Points allocated if no wheelspins available or vice versa" showDropDown="true" showErrorMessage="true" showInputMessage="true" sqref="L2:L866" type="custom">
      <formula1>NOT(OR(AND(#REF!+#REF!&gt;0,#REF!="-"),AND(#REF!+#REF!=0,#REF!&lt;&gt;"-")))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8" t="s">
        <v>0</v>
      </c>
      <c r="B1" s="16" t="s">
        <v>1796</v>
      </c>
    </row>
    <row r="2" customFormat="false" ht="15.75" hidden="false" customHeight="false" outlineLevel="0" collapsed="false">
      <c r="A2" s="8" t="s">
        <v>1797</v>
      </c>
      <c r="B2" s="16" t="n">
        <v>44505</v>
      </c>
    </row>
    <row r="3" customFormat="false" ht="15.75" hidden="false" customHeight="false" outlineLevel="0" collapsed="false">
      <c r="A3" s="8" t="s">
        <v>1798</v>
      </c>
      <c r="B3" s="16" t="n">
        <v>44533</v>
      </c>
    </row>
    <row r="4" customFormat="false" ht="15.75" hidden="false" customHeight="false" outlineLevel="0" collapsed="false">
      <c r="A4" s="8" t="s">
        <v>1799</v>
      </c>
      <c r="B4" s="16" t="n">
        <v>44593</v>
      </c>
    </row>
    <row r="5" customFormat="false" ht="15.75" hidden="false" customHeight="false" outlineLevel="0" collapsed="false">
      <c r="A5" s="8" t="s">
        <v>1800</v>
      </c>
      <c r="B5" s="16" t="n">
        <v>44621</v>
      </c>
    </row>
    <row r="6" customFormat="false" ht="15.75" hidden="false" customHeight="false" outlineLevel="0" collapsed="false">
      <c r="A6" s="8" t="s">
        <v>1801</v>
      </c>
      <c r="B6" s="16" t="n">
        <v>44650</v>
      </c>
    </row>
    <row r="7" customFormat="false" ht="15.75" hidden="false" customHeight="false" outlineLevel="0" collapsed="false">
      <c r="A7" s="8" t="s">
        <v>1802</v>
      </c>
      <c r="B7" s="16" t="n">
        <v>44677</v>
      </c>
    </row>
    <row r="8" customFormat="false" ht="15.75" hidden="false" customHeight="false" outlineLevel="0" collapsed="false">
      <c r="A8" s="8" t="s">
        <v>1803</v>
      </c>
      <c r="B8" s="16" t="n">
        <v>44733</v>
      </c>
    </row>
    <row r="9" customFormat="false" ht="15.75" hidden="false" customHeight="false" outlineLevel="0" collapsed="false">
      <c r="A9" s="8" t="s">
        <v>1804</v>
      </c>
      <c r="B9" s="16" t="n">
        <v>44761</v>
      </c>
    </row>
    <row r="10" customFormat="false" ht="15.75" hidden="false" customHeight="false" outlineLevel="0" collapsed="false">
      <c r="A10" s="8" t="s">
        <v>1805</v>
      </c>
      <c r="B10" s="16" t="n">
        <v>44789</v>
      </c>
    </row>
    <row r="11" customFormat="false" ht="15.75" hidden="false" customHeight="false" outlineLevel="0" collapsed="false">
      <c r="A11" s="8" t="s">
        <v>1806</v>
      </c>
      <c r="B11" s="16" t="n">
        <v>44817</v>
      </c>
    </row>
    <row r="12" customFormat="false" ht="15.75" hidden="false" customHeight="false" outlineLevel="0" collapsed="false">
      <c r="A12" s="8" t="s">
        <v>1807</v>
      </c>
      <c r="B12" s="16" t="n">
        <v>44845</v>
      </c>
    </row>
    <row r="13" customFormat="false" ht="15.75" hidden="false" customHeight="false" outlineLevel="0" collapsed="false">
      <c r="A13" s="8" t="s">
        <v>1808</v>
      </c>
      <c r="B13" s="16" t="n">
        <v>44873</v>
      </c>
    </row>
    <row r="14" customFormat="false" ht="15.75" hidden="false" customHeight="false" outlineLevel="0" collapsed="false">
      <c r="A14" s="8" t="s">
        <v>1809</v>
      </c>
      <c r="B14" s="16" t="n">
        <v>44901</v>
      </c>
    </row>
    <row r="15" customFormat="false" ht="15.75" hidden="false" customHeight="false" outlineLevel="0" collapsed="false">
      <c r="A15" s="8" t="s">
        <v>1810</v>
      </c>
      <c r="B15" s="16" t="n">
        <v>44957</v>
      </c>
    </row>
    <row r="16" customFormat="false" ht="15.75" hidden="false" customHeight="false" outlineLevel="0" collapsed="false">
      <c r="A16" s="8" t="s">
        <v>1811</v>
      </c>
      <c r="B16" s="16" t="n">
        <v>44985</v>
      </c>
    </row>
    <row r="17" customFormat="false" ht="15.75" hidden="false" customHeight="false" outlineLevel="0" collapsed="false">
      <c r="A17" s="8" t="s">
        <v>1812</v>
      </c>
      <c r="B17" s="16" t="n">
        <v>45013</v>
      </c>
    </row>
    <row r="18" customFormat="false" ht="15.75" hidden="false" customHeight="false" outlineLevel="0" collapsed="false">
      <c r="A18" s="8" t="s">
        <v>1813</v>
      </c>
      <c r="B18" s="16" t="n">
        <v>45041</v>
      </c>
    </row>
    <row r="19" customFormat="false" ht="15.75" hidden="false" customHeight="false" outlineLevel="0" collapsed="false">
      <c r="A19" s="8" t="s">
        <v>1814</v>
      </c>
      <c r="B19" s="16" t="n">
        <v>45069</v>
      </c>
    </row>
    <row r="20" customFormat="false" ht="15.75" hidden="false" customHeight="false" outlineLevel="0" collapsed="false">
      <c r="A20" s="8" t="s">
        <v>1815</v>
      </c>
      <c r="B20" s="16" t="n">
        <v>45097</v>
      </c>
    </row>
    <row r="21" customFormat="false" ht="15.75" hidden="false" customHeight="false" outlineLevel="0" collapsed="false">
      <c r="A21" s="8" t="s">
        <v>1816</v>
      </c>
      <c r="B21" s="16" t="n">
        <v>45125</v>
      </c>
    </row>
    <row r="22" customFormat="false" ht="15.75" hidden="false" customHeight="false" outlineLevel="0" collapsed="false">
      <c r="A22" s="8" t="s">
        <v>1817</v>
      </c>
      <c r="B22" s="16" t="n">
        <v>45153</v>
      </c>
    </row>
    <row r="23" customFormat="false" ht="15.75" hidden="false" customHeight="false" outlineLevel="0" collapsed="false">
      <c r="A23" s="8" t="s">
        <v>1818</v>
      </c>
      <c r="B23" s="16" t="n">
        <v>45181</v>
      </c>
    </row>
    <row r="24" customFormat="false" ht="15.75" hidden="false" customHeight="false" outlineLevel="0" collapsed="false">
      <c r="A24" s="8" t="s">
        <v>1819</v>
      </c>
      <c r="B24" s="16" t="n">
        <v>45209</v>
      </c>
    </row>
    <row r="25" customFormat="false" ht="15.75" hidden="false" customHeight="false" outlineLevel="0" collapsed="false">
      <c r="A25" s="8" t="s">
        <v>1820</v>
      </c>
      <c r="B25" s="16" t="n">
        <v>45237</v>
      </c>
    </row>
    <row r="26" customFormat="false" ht="15.75" hidden="false" customHeight="false" outlineLevel="0" collapsed="false">
      <c r="A26" s="8" t="s">
        <v>1821</v>
      </c>
      <c r="B26" s="16" t="n">
        <v>45265</v>
      </c>
    </row>
    <row r="27" customFormat="false" ht="15.75" hidden="false" customHeight="false" outlineLevel="0" collapsed="false">
      <c r="A27" s="8" t="s">
        <v>1822</v>
      </c>
      <c r="B27" s="16" t="n">
        <v>45321</v>
      </c>
    </row>
    <row r="28" customFormat="false" ht="15.75" hidden="false" customHeight="false" outlineLevel="0" collapsed="false">
      <c r="A28" s="8" t="s">
        <v>1823</v>
      </c>
      <c r="B28" s="16" t="n">
        <v>45349</v>
      </c>
    </row>
    <row r="29" customFormat="false" ht="15.75" hidden="false" customHeight="false" outlineLevel="0" collapsed="false">
      <c r="A29" s="8" t="s">
        <v>1824</v>
      </c>
      <c r="B29" s="16" t="n">
        <v>45377</v>
      </c>
    </row>
    <row r="30" customFormat="false" ht="15.75" hidden="false" customHeight="false" outlineLevel="0" collapsed="false">
      <c r="A30" s="8" t="s">
        <v>1825</v>
      </c>
      <c r="B30" s="16" t="n">
        <v>45405</v>
      </c>
    </row>
    <row r="31" customFormat="false" ht="15.75" hidden="false" customHeight="false" outlineLevel="0" collapsed="false">
      <c r="B31" s="17"/>
    </row>
    <row r="32" customFormat="false" ht="15.75" hidden="false" customHeight="false" outlineLevel="0" collapsed="false">
      <c r="B32" s="17"/>
    </row>
    <row r="33" customFormat="false" ht="15.75" hidden="false" customHeight="false" outlineLevel="0" collapsed="false">
      <c r="B33" s="17"/>
    </row>
    <row r="34" customFormat="false" ht="15.75" hidden="false" customHeight="false" outlineLevel="0" collapsed="false">
      <c r="B34" s="17"/>
    </row>
    <row r="35" customFormat="false" ht="15.75" hidden="false" customHeight="false" outlineLevel="0" collapsed="false">
      <c r="B35" s="17"/>
    </row>
    <row r="36" customFormat="false" ht="15.75" hidden="false" customHeight="false" outlineLevel="0" collapsed="false">
      <c r="B36" s="17"/>
    </row>
    <row r="37" customFormat="false" ht="15.75" hidden="false" customHeight="false" outlineLevel="0" collapsed="false">
      <c r="B37" s="17"/>
    </row>
    <row r="38" customFormat="false" ht="15.75" hidden="false" customHeight="false" outlineLevel="0" collapsed="false">
      <c r="B38" s="17"/>
    </row>
    <row r="39" customFormat="false" ht="15.75" hidden="false" customHeight="false" outlineLevel="0" collapsed="false">
      <c r="B39" s="17"/>
    </row>
    <row r="40" customFormat="false" ht="15.75" hidden="false" customHeight="false" outlineLevel="0" collapsed="false">
      <c r="B40" s="17"/>
    </row>
    <row r="41" customFormat="false" ht="15.75" hidden="false" customHeight="false" outlineLevel="0" collapsed="false">
      <c r="B41" s="17"/>
    </row>
    <row r="42" customFormat="false" ht="15.75" hidden="false" customHeight="false" outlineLevel="0" collapsed="false">
      <c r="B42" s="17"/>
    </row>
    <row r="43" customFormat="false" ht="15.75" hidden="false" customHeight="false" outlineLevel="0" collapsed="false">
      <c r="B43" s="17"/>
    </row>
    <row r="44" customFormat="false" ht="15.75" hidden="false" customHeight="false" outlineLevel="0" collapsed="false">
      <c r="B44" s="17"/>
    </row>
    <row r="45" customFormat="false" ht="15.75" hidden="false" customHeight="false" outlineLevel="0" collapsed="false">
      <c r="B45" s="17"/>
    </row>
    <row r="46" customFormat="false" ht="15.75" hidden="false" customHeight="false" outlineLevel="0" collapsed="false">
      <c r="B46" s="17"/>
    </row>
    <row r="47" customFormat="false" ht="15.75" hidden="false" customHeight="false" outlineLevel="0" collapsed="false">
      <c r="B47" s="17"/>
    </row>
    <row r="48" customFormat="false" ht="15.75" hidden="false" customHeight="false" outlineLevel="0" collapsed="false">
      <c r="B48" s="17"/>
    </row>
    <row r="49" customFormat="false" ht="15.75" hidden="false" customHeight="false" outlineLevel="0" collapsed="false">
      <c r="B49" s="17"/>
    </row>
    <row r="50" customFormat="false" ht="15.75" hidden="false" customHeight="false" outlineLevel="0" collapsed="false">
      <c r="B50" s="17"/>
    </row>
    <row r="51" customFormat="false" ht="15.75" hidden="false" customHeight="false" outlineLevel="0" collapsed="false">
      <c r="B51" s="17"/>
    </row>
    <row r="52" customFormat="false" ht="15.75" hidden="false" customHeight="false" outlineLevel="0" collapsed="false">
      <c r="B52" s="17"/>
    </row>
    <row r="53" customFormat="false" ht="15.75" hidden="false" customHeight="false" outlineLevel="0" collapsed="false">
      <c r="B53" s="17"/>
    </row>
    <row r="54" customFormat="false" ht="15.75" hidden="false" customHeight="false" outlineLevel="0" collapsed="false">
      <c r="B54" s="17"/>
    </row>
    <row r="55" customFormat="false" ht="15.75" hidden="false" customHeight="false" outlineLevel="0" collapsed="false">
      <c r="B55" s="17"/>
    </row>
    <row r="56" customFormat="false" ht="15.75" hidden="false" customHeight="false" outlineLevel="0" collapsed="false">
      <c r="B56" s="17"/>
    </row>
    <row r="57" customFormat="false" ht="15.75" hidden="false" customHeight="false" outlineLevel="0" collapsed="false">
      <c r="B57" s="17"/>
    </row>
    <row r="58" customFormat="false" ht="15.75" hidden="false" customHeight="false" outlineLevel="0" collapsed="false">
      <c r="B58" s="17"/>
    </row>
    <row r="59" customFormat="false" ht="15.75" hidden="false" customHeight="false" outlineLevel="0" collapsed="false">
      <c r="B59" s="17"/>
    </row>
    <row r="60" customFormat="false" ht="15.75" hidden="false" customHeight="false" outlineLevel="0" collapsed="false">
      <c r="B60" s="17"/>
    </row>
    <row r="61" customFormat="false" ht="15.75" hidden="false" customHeight="false" outlineLevel="0" collapsed="false">
      <c r="B61" s="17"/>
    </row>
    <row r="62" customFormat="false" ht="15.75" hidden="false" customHeight="false" outlineLevel="0" collapsed="false">
      <c r="B62" s="17"/>
    </row>
    <row r="63" customFormat="false" ht="15.75" hidden="false" customHeight="false" outlineLevel="0" collapsed="false">
      <c r="B63" s="17"/>
    </row>
    <row r="64" customFormat="false" ht="15.75" hidden="false" customHeight="false" outlineLevel="0" collapsed="false">
      <c r="B64" s="17"/>
    </row>
    <row r="65" customFormat="false" ht="15.75" hidden="false" customHeight="false" outlineLevel="0" collapsed="false">
      <c r="B65" s="17"/>
    </row>
    <row r="66" customFormat="false" ht="15.75" hidden="false" customHeight="false" outlineLevel="0" collapsed="false">
      <c r="B66" s="17"/>
    </row>
    <row r="67" customFormat="false" ht="15.75" hidden="false" customHeight="false" outlineLevel="0" collapsed="false">
      <c r="B67" s="17"/>
    </row>
    <row r="68" customFormat="false" ht="15.75" hidden="false" customHeight="false" outlineLevel="0" collapsed="false">
      <c r="B68" s="17"/>
    </row>
    <row r="69" customFormat="false" ht="15.75" hidden="false" customHeight="false" outlineLevel="0" collapsed="false">
      <c r="B69" s="17"/>
    </row>
    <row r="70" customFormat="false" ht="15.75" hidden="false" customHeight="false" outlineLevel="0" collapsed="false">
      <c r="B70" s="17"/>
    </row>
    <row r="71" customFormat="false" ht="15.75" hidden="false" customHeight="false" outlineLevel="0" collapsed="false">
      <c r="B71" s="17"/>
    </row>
    <row r="72" customFormat="false" ht="15.75" hidden="false" customHeight="false" outlineLevel="0" collapsed="false">
      <c r="B72" s="17"/>
    </row>
    <row r="73" customFormat="false" ht="15.75" hidden="false" customHeight="false" outlineLevel="0" collapsed="false">
      <c r="B73" s="17"/>
    </row>
    <row r="74" customFormat="false" ht="15.75" hidden="false" customHeight="false" outlineLevel="0" collapsed="false">
      <c r="B74" s="17"/>
    </row>
    <row r="75" customFormat="false" ht="15.75" hidden="false" customHeight="false" outlineLevel="0" collapsed="false">
      <c r="B75" s="17"/>
    </row>
    <row r="76" customFormat="false" ht="15.75" hidden="false" customHeight="false" outlineLevel="0" collapsed="false">
      <c r="B76" s="17"/>
    </row>
    <row r="77" customFormat="false" ht="15.75" hidden="false" customHeight="false" outlineLevel="0" collapsed="false">
      <c r="B77" s="17"/>
    </row>
    <row r="78" customFormat="false" ht="15.75" hidden="false" customHeight="false" outlineLevel="0" collapsed="false">
      <c r="B78" s="17"/>
    </row>
    <row r="79" customFormat="false" ht="15.75" hidden="false" customHeight="false" outlineLevel="0" collapsed="false">
      <c r="B79" s="17"/>
    </row>
    <row r="80" customFormat="false" ht="15.75" hidden="false" customHeight="false" outlineLevel="0" collapsed="false">
      <c r="B80" s="17"/>
    </row>
    <row r="81" customFormat="false" ht="15.75" hidden="false" customHeight="false" outlineLevel="0" collapsed="false">
      <c r="B81" s="17"/>
    </row>
    <row r="82" customFormat="false" ht="15.75" hidden="false" customHeight="false" outlineLevel="0" collapsed="false">
      <c r="B82" s="17"/>
    </row>
    <row r="83" customFormat="false" ht="15.75" hidden="false" customHeight="false" outlineLevel="0" collapsed="false">
      <c r="B83" s="17"/>
    </row>
    <row r="84" customFormat="false" ht="15.75" hidden="false" customHeight="false" outlineLevel="0" collapsed="false">
      <c r="B84" s="17"/>
    </row>
    <row r="85" customFormat="false" ht="15.75" hidden="false" customHeight="false" outlineLevel="0" collapsed="false">
      <c r="B85" s="17"/>
    </row>
    <row r="86" customFormat="false" ht="15.75" hidden="false" customHeight="false" outlineLevel="0" collapsed="false">
      <c r="B86" s="17"/>
    </row>
    <row r="87" customFormat="false" ht="15.75" hidden="false" customHeight="false" outlineLevel="0" collapsed="false">
      <c r="B87" s="17"/>
    </row>
    <row r="88" customFormat="false" ht="15.75" hidden="false" customHeight="false" outlineLevel="0" collapsed="false">
      <c r="B88" s="17"/>
    </row>
    <row r="89" customFormat="false" ht="15.75" hidden="false" customHeight="false" outlineLevel="0" collapsed="false">
      <c r="B89" s="17"/>
    </row>
    <row r="90" customFormat="false" ht="15.75" hidden="false" customHeight="false" outlineLevel="0" collapsed="false">
      <c r="B90" s="17"/>
    </row>
    <row r="91" customFormat="false" ht="15.75" hidden="false" customHeight="false" outlineLevel="0" collapsed="false">
      <c r="B91" s="17"/>
    </row>
    <row r="92" customFormat="false" ht="15.75" hidden="false" customHeight="false" outlineLevel="0" collapsed="false">
      <c r="B92" s="17"/>
    </row>
    <row r="93" customFormat="false" ht="15.75" hidden="false" customHeight="false" outlineLevel="0" collapsed="false">
      <c r="B93" s="17"/>
    </row>
    <row r="94" customFormat="false" ht="15.75" hidden="false" customHeight="false" outlineLevel="0" collapsed="false">
      <c r="B94" s="17"/>
    </row>
    <row r="95" customFormat="false" ht="15.75" hidden="false" customHeight="false" outlineLevel="0" collapsed="false">
      <c r="B95" s="17"/>
    </row>
    <row r="96" customFormat="false" ht="15.75" hidden="false" customHeight="false" outlineLevel="0" collapsed="false">
      <c r="B96" s="17"/>
    </row>
    <row r="97" customFormat="false" ht="15.75" hidden="false" customHeight="false" outlineLevel="0" collapsed="false">
      <c r="B97" s="17"/>
    </row>
    <row r="98" customFormat="false" ht="15.75" hidden="false" customHeight="false" outlineLevel="0" collapsed="false">
      <c r="B98" s="17"/>
    </row>
    <row r="99" customFormat="false" ht="15.75" hidden="false" customHeight="false" outlineLevel="0" collapsed="false">
      <c r="B99" s="17"/>
    </row>
    <row r="100" customFormat="false" ht="15.75" hidden="false" customHeight="false" outlineLevel="0" collapsed="false">
      <c r="B100" s="17"/>
    </row>
    <row r="101" customFormat="false" ht="15.75" hidden="false" customHeight="false" outlineLevel="0" collapsed="false">
      <c r="B101" s="17"/>
    </row>
    <row r="102" customFormat="false" ht="15.75" hidden="false" customHeight="false" outlineLevel="0" collapsed="false">
      <c r="B102" s="17"/>
    </row>
    <row r="103" customFormat="false" ht="15.75" hidden="false" customHeight="false" outlineLevel="0" collapsed="false">
      <c r="B103" s="17"/>
    </row>
    <row r="104" customFormat="false" ht="15.75" hidden="false" customHeight="false" outlineLevel="0" collapsed="false">
      <c r="B104" s="17"/>
    </row>
    <row r="105" customFormat="false" ht="15.75" hidden="false" customHeight="false" outlineLevel="0" collapsed="false">
      <c r="B105" s="17"/>
    </row>
    <row r="106" customFormat="false" ht="15.75" hidden="false" customHeight="false" outlineLevel="0" collapsed="false">
      <c r="B106" s="17"/>
    </row>
    <row r="107" customFormat="false" ht="15.75" hidden="false" customHeight="false" outlineLevel="0" collapsed="false">
      <c r="B107" s="17"/>
    </row>
    <row r="108" customFormat="false" ht="15.75" hidden="false" customHeight="false" outlineLevel="0" collapsed="false">
      <c r="B108" s="17"/>
    </row>
    <row r="109" customFormat="false" ht="15.75" hidden="false" customHeight="false" outlineLevel="0" collapsed="false">
      <c r="B109" s="17"/>
    </row>
    <row r="110" customFormat="false" ht="15.75" hidden="false" customHeight="false" outlineLevel="0" collapsed="false">
      <c r="B110" s="17"/>
    </row>
    <row r="111" customFormat="false" ht="15.75" hidden="false" customHeight="false" outlineLevel="0" collapsed="false">
      <c r="B111" s="17"/>
    </row>
    <row r="112" customFormat="false" ht="15.75" hidden="false" customHeight="false" outlineLevel="0" collapsed="false">
      <c r="B112" s="17"/>
    </row>
    <row r="113" customFormat="false" ht="15.75" hidden="false" customHeight="false" outlineLevel="0" collapsed="false">
      <c r="B113" s="17"/>
    </row>
    <row r="114" customFormat="false" ht="15.75" hidden="false" customHeight="false" outlineLevel="0" collapsed="false">
      <c r="B114" s="17"/>
    </row>
    <row r="115" customFormat="false" ht="15.75" hidden="false" customHeight="false" outlineLevel="0" collapsed="false">
      <c r="B115" s="17"/>
    </row>
    <row r="116" customFormat="false" ht="15.75" hidden="false" customHeight="false" outlineLevel="0" collapsed="false">
      <c r="B116" s="17"/>
    </row>
    <row r="117" customFormat="false" ht="15.75" hidden="false" customHeight="false" outlineLevel="0" collapsed="false">
      <c r="B117" s="17"/>
    </row>
    <row r="118" customFormat="false" ht="15.75" hidden="false" customHeight="false" outlineLevel="0" collapsed="false">
      <c r="B118" s="17"/>
    </row>
    <row r="119" customFormat="false" ht="15.75" hidden="false" customHeight="false" outlineLevel="0" collapsed="false">
      <c r="B119" s="17"/>
    </row>
    <row r="120" customFormat="false" ht="15.75" hidden="false" customHeight="false" outlineLevel="0" collapsed="false">
      <c r="B120" s="17"/>
    </row>
    <row r="121" customFormat="false" ht="15.75" hidden="false" customHeight="false" outlineLevel="0" collapsed="false">
      <c r="B121" s="17"/>
    </row>
    <row r="122" customFormat="false" ht="15.75" hidden="false" customHeight="false" outlineLevel="0" collapsed="false">
      <c r="B122" s="17"/>
    </row>
    <row r="123" customFormat="false" ht="15.75" hidden="false" customHeight="false" outlineLevel="0" collapsed="false">
      <c r="B123" s="17"/>
    </row>
    <row r="124" customFormat="false" ht="15.75" hidden="false" customHeight="false" outlineLevel="0" collapsed="false">
      <c r="B124" s="17"/>
    </row>
    <row r="125" customFormat="false" ht="15.75" hidden="false" customHeight="false" outlineLevel="0" collapsed="false">
      <c r="B125" s="17"/>
    </row>
    <row r="126" customFormat="false" ht="15.75" hidden="false" customHeight="false" outlineLevel="0" collapsed="false">
      <c r="B126" s="17"/>
    </row>
    <row r="127" customFormat="false" ht="15.75" hidden="false" customHeight="false" outlineLevel="0" collapsed="false">
      <c r="B127" s="17"/>
    </row>
    <row r="128" customFormat="false" ht="15.75" hidden="false" customHeight="false" outlineLevel="0" collapsed="false">
      <c r="B128" s="17"/>
    </row>
    <row r="129" customFormat="false" ht="15.75" hidden="false" customHeight="false" outlineLevel="0" collapsed="false">
      <c r="B129" s="17"/>
    </row>
    <row r="130" customFormat="false" ht="15.75" hidden="false" customHeight="false" outlineLevel="0" collapsed="false">
      <c r="B130" s="17"/>
    </row>
    <row r="131" customFormat="false" ht="15.75" hidden="false" customHeight="false" outlineLevel="0" collapsed="false">
      <c r="B131" s="17"/>
    </row>
    <row r="132" customFormat="false" ht="15.75" hidden="false" customHeight="false" outlineLevel="0" collapsed="false">
      <c r="B132" s="17"/>
    </row>
    <row r="133" customFormat="false" ht="15.75" hidden="false" customHeight="false" outlineLevel="0" collapsed="false">
      <c r="B133" s="17"/>
    </row>
    <row r="134" customFormat="false" ht="15.75" hidden="false" customHeight="false" outlineLevel="0" collapsed="false">
      <c r="B134" s="17"/>
    </row>
    <row r="135" customFormat="false" ht="15.75" hidden="false" customHeight="false" outlineLevel="0" collapsed="false">
      <c r="B135" s="17"/>
    </row>
    <row r="136" customFormat="false" ht="15.75" hidden="false" customHeight="false" outlineLevel="0" collapsed="false">
      <c r="B136" s="17"/>
    </row>
    <row r="137" customFormat="false" ht="15.75" hidden="false" customHeight="false" outlineLevel="0" collapsed="false">
      <c r="B137" s="17"/>
    </row>
    <row r="138" customFormat="false" ht="15.75" hidden="false" customHeight="false" outlineLevel="0" collapsed="false">
      <c r="B138" s="17"/>
    </row>
    <row r="139" customFormat="false" ht="15.75" hidden="false" customHeight="false" outlineLevel="0" collapsed="false">
      <c r="B139" s="17"/>
    </row>
    <row r="140" customFormat="false" ht="15.75" hidden="false" customHeight="false" outlineLevel="0" collapsed="false">
      <c r="B140" s="17"/>
    </row>
    <row r="141" customFormat="false" ht="15.75" hidden="false" customHeight="false" outlineLevel="0" collapsed="false">
      <c r="B141" s="17"/>
    </row>
    <row r="142" customFormat="false" ht="15.75" hidden="false" customHeight="false" outlineLevel="0" collapsed="false">
      <c r="B142" s="17"/>
    </row>
    <row r="143" customFormat="false" ht="15.75" hidden="false" customHeight="false" outlineLevel="0" collapsed="false">
      <c r="B143" s="17"/>
    </row>
    <row r="144" customFormat="false" ht="15.75" hidden="false" customHeight="false" outlineLevel="0" collapsed="false">
      <c r="B144" s="17"/>
    </row>
    <row r="145" customFormat="false" ht="15.75" hidden="false" customHeight="false" outlineLevel="0" collapsed="false">
      <c r="B145" s="17"/>
    </row>
    <row r="146" customFormat="false" ht="15.75" hidden="false" customHeight="false" outlineLevel="0" collapsed="false">
      <c r="B146" s="17"/>
    </row>
    <row r="147" customFormat="false" ht="15.75" hidden="false" customHeight="false" outlineLevel="0" collapsed="false">
      <c r="B147" s="17"/>
    </row>
    <row r="148" customFormat="false" ht="15.75" hidden="false" customHeight="false" outlineLevel="0" collapsed="false">
      <c r="B148" s="17"/>
    </row>
    <row r="149" customFormat="false" ht="15.75" hidden="false" customHeight="false" outlineLevel="0" collapsed="false">
      <c r="B149" s="17"/>
    </row>
    <row r="150" customFormat="false" ht="15.75" hidden="false" customHeight="false" outlineLevel="0" collapsed="false">
      <c r="B150" s="17"/>
    </row>
    <row r="151" customFormat="false" ht="15.75" hidden="false" customHeight="false" outlineLevel="0" collapsed="false">
      <c r="B151" s="17"/>
    </row>
    <row r="152" customFormat="false" ht="15.75" hidden="false" customHeight="false" outlineLevel="0" collapsed="false">
      <c r="B152" s="17"/>
    </row>
    <row r="153" customFormat="false" ht="15.75" hidden="false" customHeight="false" outlineLevel="0" collapsed="false">
      <c r="B153" s="17"/>
    </row>
    <row r="154" customFormat="false" ht="15.75" hidden="false" customHeight="false" outlineLevel="0" collapsed="false">
      <c r="B154" s="17"/>
    </row>
    <row r="155" customFormat="false" ht="15.75" hidden="false" customHeight="false" outlineLevel="0" collapsed="false">
      <c r="B155" s="17"/>
    </row>
    <row r="156" customFormat="false" ht="15.75" hidden="false" customHeight="false" outlineLevel="0" collapsed="false">
      <c r="B156" s="17"/>
    </row>
    <row r="157" customFormat="false" ht="15.75" hidden="false" customHeight="false" outlineLevel="0" collapsed="false">
      <c r="B157" s="17"/>
    </row>
    <row r="158" customFormat="false" ht="15.75" hidden="false" customHeight="false" outlineLevel="0" collapsed="false">
      <c r="B158" s="17"/>
    </row>
    <row r="159" customFormat="false" ht="15.75" hidden="false" customHeight="false" outlineLevel="0" collapsed="false">
      <c r="B159" s="17"/>
    </row>
    <row r="160" customFormat="false" ht="15.75" hidden="false" customHeight="false" outlineLevel="0" collapsed="false">
      <c r="B160" s="17"/>
    </row>
    <row r="161" customFormat="false" ht="15.75" hidden="false" customHeight="false" outlineLevel="0" collapsed="false">
      <c r="B161" s="17"/>
    </row>
    <row r="162" customFormat="false" ht="15.75" hidden="false" customHeight="false" outlineLevel="0" collapsed="false">
      <c r="B162" s="17"/>
    </row>
    <row r="163" customFormat="false" ht="15.75" hidden="false" customHeight="false" outlineLevel="0" collapsed="false">
      <c r="B163" s="17"/>
    </row>
    <row r="164" customFormat="false" ht="15.75" hidden="false" customHeight="false" outlineLevel="0" collapsed="false">
      <c r="B164" s="17"/>
    </row>
    <row r="165" customFormat="false" ht="15.75" hidden="false" customHeight="false" outlineLevel="0" collapsed="false">
      <c r="B165" s="17"/>
    </row>
    <row r="166" customFormat="false" ht="15.75" hidden="false" customHeight="false" outlineLevel="0" collapsed="false">
      <c r="B166" s="17"/>
    </row>
    <row r="167" customFormat="false" ht="15.75" hidden="false" customHeight="false" outlineLevel="0" collapsed="false">
      <c r="B167" s="17"/>
    </row>
    <row r="168" customFormat="false" ht="15.75" hidden="false" customHeight="false" outlineLevel="0" collapsed="false">
      <c r="B168" s="17"/>
    </row>
    <row r="169" customFormat="false" ht="15.75" hidden="false" customHeight="false" outlineLevel="0" collapsed="false">
      <c r="B169" s="17"/>
    </row>
    <row r="170" customFormat="false" ht="15.75" hidden="false" customHeight="false" outlineLevel="0" collapsed="false">
      <c r="B170" s="17"/>
    </row>
    <row r="171" customFormat="false" ht="15.75" hidden="false" customHeight="false" outlineLevel="0" collapsed="false">
      <c r="B171" s="17"/>
    </row>
    <row r="172" customFormat="false" ht="15.75" hidden="false" customHeight="false" outlineLevel="0" collapsed="false">
      <c r="B172" s="17"/>
    </row>
    <row r="173" customFormat="false" ht="15.75" hidden="false" customHeight="false" outlineLevel="0" collapsed="false">
      <c r="B173" s="17"/>
    </row>
    <row r="174" customFormat="false" ht="15.75" hidden="false" customHeight="false" outlineLevel="0" collapsed="false">
      <c r="B174" s="17"/>
    </row>
    <row r="175" customFormat="false" ht="15.75" hidden="false" customHeight="false" outlineLevel="0" collapsed="false">
      <c r="B175" s="17"/>
    </row>
    <row r="176" customFormat="false" ht="15.75" hidden="false" customHeight="false" outlineLevel="0" collapsed="false">
      <c r="B176" s="17"/>
    </row>
    <row r="177" customFormat="false" ht="15.75" hidden="false" customHeight="false" outlineLevel="0" collapsed="false">
      <c r="B177" s="17"/>
    </row>
    <row r="178" customFormat="false" ht="15.75" hidden="false" customHeight="false" outlineLevel="0" collapsed="false">
      <c r="B178" s="17"/>
    </row>
    <row r="179" customFormat="false" ht="15.75" hidden="false" customHeight="false" outlineLevel="0" collapsed="false">
      <c r="B179" s="17"/>
    </row>
    <row r="180" customFormat="false" ht="15.75" hidden="false" customHeight="false" outlineLevel="0" collapsed="false">
      <c r="B180" s="17"/>
    </row>
    <row r="181" customFormat="false" ht="15.75" hidden="false" customHeight="false" outlineLevel="0" collapsed="false">
      <c r="B181" s="17"/>
    </row>
    <row r="182" customFormat="false" ht="15.75" hidden="false" customHeight="false" outlineLevel="0" collapsed="false">
      <c r="B182" s="17"/>
    </row>
    <row r="183" customFormat="false" ht="15.75" hidden="false" customHeight="false" outlineLevel="0" collapsed="false">
      <c r="B183" s="17"/>
    </row>
    <row r="184" customFormat="false" ht="15.75" hidden="false" customHeight="false" outlineLevel="0" collapsed="false">
      <c r="B184" s="17"/>
    </row>
    <row r="185" customFormat="false" ht="15.75" hidden="false" customHeight="false" outlineLevel="0" collapsed="false">
      <c r="B185" s="17"/>
    </row>
    <row r="186" customFormat="false" ht="15.75" hidden="false" customHeight="false" outlineLevel="0" collapsed="false">
      <c r="B186" s="17"/>
    </row>
    <row r="187" customFormat="false" ht="15.75" hidden="false" customHeight="false" outlineLevel="0" collapsed="false">
      <c r="B187" s="17"/>
    </row>
    <row r="188" customFormat="false" ht="15.75" hidden="false" customHeight="false" outlineLevel="0" collapsed="false">
      <c r="B188" s="17"/>
    </row>
    <row r="189" customFormat="false" ht="15.75" hidden="false" customHeight="false" outlineLevel="0" collapsed="false">
      <c r="B189" s="17"/>
    </row>
    <row r="190" customFormat="false" ht="15.75" hidden="false" customHeight="false" outlineLevel="0" collapsed="false">
      <c r="B190" s="17"/>
    </row>
    <row r="191" customFormat="false" ht="15.75" hidden="false" customHeight="false" outlineLevel="0" collapsed="false">
      <c r="B191" s="17"/>
    </row>
    <row r="192" customFormat="false" ht="15.75" hidden="false" customHeight="false" outlineLevel="0" collapsed="false">
      <c r="B192" s="17"/>
    </row>
    <row r="193" customFormat="false" ht="15.75" hidden="false" customHeight="false" outlineLevel="0" collapsed="false">
      <c r="B193" s="17"/>
    </row>
    <row r="194" customFormat="false" ht="15.75" hidden="false" customHeight="false" outlineLevel="0" collapsed="false">
      <c r="B194" s="17"/>
    </row>
    <row r="195" customFormat="false" ht="15.75" hidden="false" customHeight="false" outlineLevel="0" collapsed="false">
      <c r="B195" s="17"/>
    </row>
    <row r="196" customFormat="false" ht="15.75" hidden="false" customHeight="false" outlineLevel="0" collapsed="false">
      <c r="B196" s="17"/>
    </row>
    <row r="197" customFormat="false" ht="15.75" hidden="false" customHeight="false" outlineLevel="0" collapsed="false">
      <c r="B197" s="17"/>
    </row>
    <row r="198" customFormat="false" ht="15.75" hidden="false" customHeight="false" outlineLevel="0" collapsed="false">
      <c r="B198" s="17"/>
    </row>
    <row r="199" customFormat="false" ht="15.75" hidden="false" customHeight="false" outlineLevel="0" collapsed="false">
      <c r="B199" s="17"/>
    </row>
    <row r="200" customFormat="false" ht="15.75" hidden="false" customHeight="false" outlineLevel="0" collapsed="false">
      <c r="B200" s="17"/>
    </row>
    <row r="201" customFormat="false" ht="15.75" hidden="false" customHeight="false" outlineLevel="0" collapsed="false">
      <c r="B201" s="17"/>
    </row>
    <row r="202" customFormat="false" ht="15.75" hidden="false" customHeight="false" outlineLevel="0" collapsed="false">
      <c r="B202" s="17"/>
    </row>
    <row r="203" customFormat="false" ht="15.75" hidden="false" customHeight="false" outlineLevel="0" collapsed="false">
      <c r="B203" s="17"/>
    </row>
    <row r="204" customFormat="false" ht="15.75" hidden="false" customHeight="false" outlineLevel="0" collapsed="false">
      <c r="B204" s="17"/>
    </row>
    <row r="205" customFormat="false" ht="15.75" hidden="false" customHeight="false" outlineLevel="0" collapsed="false">
      <c r="B205" s="17"/>
    </row>
    <row r="206" customFormat="false" ht="15.75" hidden="false" customHeight="false" outlineLevel="0" collapsed="false">
      <c r="B206" s="17"/>
    </row>
    <row r="207" customFormat="false" ht="15.75" hidden="false" customHeight="false" outlineLevel="0" collapsed="false">
      <c r="B207" s="17"/>
    </row>
    <row r="208" customFormat="false" ht="15.75" hidden="false" customHeight="false" outlineLevel="0" collapsed="false">
      <c r="B208" s="17"/>
    </row>
    <row r="209" customFormat="false" ht="15.75" hidden="false" customHeight="false" outlineLevel="0" collapsed="false">
      <c r="B209" s="17"/>
    </row>
    <row r="210" customFormat="false" ht="15.75" hidden="false" customHeight="false" outlineLevel="0" collapsed="false">
      <c r="B210" s="17"/>
    </row>
    <row r="211" customFormat="false" ht="15.75" hidden="false" customHeight="false" outlineLevel="0" collapsed="false">
      <c r="B211" s="17"/>
    </row>
    <row r="212" customFormat="false" ht="15.75" hidden="false" customHeight="false" outlineLevel="0" collapsed="false">
      <c r="B212" s="17"/>
    </row>
    <row r="213" customFormat="false" ht="15.75" hidden="false" customHeight="false" outlineLevel="0" collapsed="false">
      <c r="B213" s="17"/>
    </row>
    <row r="214" customFormat="false" ht="15.75" hidden="false" customHeight="false" outlineLevel="0" collapsed="false">
      <c r="B214" s="17"/>
    </row>
    <row r="215" customFormat="false" ht="15.75" hidden="false" customHeight="false" outlineLevel="0" collapsed="false">
      <c r="B215" s="17"/>
    </row>
    <row r="216" customFormat="false" ht="15.75" hidden="false" customHeight="false" outlineLevel="0" collapsed="false">
      <c r="B216" s="17"/>
    </row>
    <row r="217" customFormat="false" ht="15.75" hidden="false" customHeight="false" outlineLevel="0" collapsed="false">
      <c r="B217" s="17"/>
    </row>
    <row r="218" customFormat="false" ht="15.75" hidden="false" customHeight="false" outlineLevel="0" collapsed="false">
      <c r="B218" s="17"/>
    </row>
    <row r="219" customFormat="false" ht="15.75" hidden="false" customHeight="false" outlineLevel="0" collapsed="false">
      <c r="B219" s="17"/>
    </row>
    <row r="220" customFormat="false" ht="15.75" hidden="false" customHeight="false" outlineLevel="0" collapsed="false">
      <c r="B220" s="17"/>
    </row>
    <row r="221" customFormat="false" ht="15.75" hidden="false" customHeight="false" outlineLevel="0" collapsed="false">
      <c r="B221" s="17"/>
    </row>
    <row r="222" customFormat="false" ht="15.75" hidden="false" customHeight="false" outlineLevel="0" collapsed="false">
      <c r="B222" s="17"/>
    </row>
    <row r="223" customFormat="false" ht="15.75" hidden="false" customHeight="false" outlineLevel="0" collapsed="false">
      <c r="B223" s="17"/>
    </row>
    <row r="224" customFormat="false" ht="15.75" hidden="false" customHeight="false" outlineLevel="0" collapsed="false">
      <c r="B224" s="17"/>
    </row>
    <row r="225" customFormat="false" ht="15.75" hidden="false" customHeight="false" outlineLevel="0" collapsed="false">
      <c r="B225" s="17"/>
    </row>
    <row r="226" customFormat="false" ht="15.75" hidden="false" customHeight="false" outlineLevel="0" collapsed="false">
      <c r="B226" s="17"/>
    </row>
    <row r="227" customFormat="false" ht="15.75" hidden="false" customHeight="false" outlineLevel="0" collapsed="false">
      <c r="B227" s="17"/>
    </row>
    <row r="228" customFormat="false" ht="15.75" hidden="false" customHeight="false" outlineLevel="0" collapsed="false">
      <c r="B228" s="17"/>
    </row>
    <row r="229" customFormat="false" ht="15.75" hidden="false" customHeight="false" outlineLevel="0" collapsed="false">
      <c r="B229" s="17"/>
    </row>
    <row r="230" customFormat="false" ht="15.75" hidden="false" customHeight="false" outlineLevel="0" collapsed="false">
      <c r="B230" s="17"/>
    </row>
    <row r="231" customFormat="false" ht="15.75" hidden="false" customHeight="false" outlineLevel="0" collapsed="false">
      <c r="B231" s="17"/>
    </row>
    <row r="232" customFormat="false" ht="15.75" hidden="false" customHeight="false" outlineLevel="0" collapsed="false">
      <c r="B232" s="17"/>
    </row>
    <row r="233" customFormat="false" ht="15.75" hidden="false" customHeight="false" outlineLevel="0" collapsed="false">
      <c r="B233" s="17"/>
    </row>
    <row r="234" customFormat="false" ht="15.75" hidden="false" customHeight="false" outlineLevel="0" collapsed="false">
      <c r="B234" s="17"/>
    </row>
    <row r="235" customFormat="false" ht="15.75" hidden="false" customHeight="false" outlineLevel="0" collapsed="false">
      <c r="B235" s="17"/>
    </row>
    <row r="236" customFormat="false" ht="15.75" hidden="false" customHeight="false" outlineLevel="0" collapsed="false">
      <c r="B236" s="17"/>
    </row>
    <row r="237" customFormat="false" ht="15.75" hidden="false" customHeight="false" outlineLevel="0" collapsed="false">
      <c r="B237" s="17"/>
    </row>
    <row r="238" customFormat="false" ht="15.75" hidden="false" customHeight="false" outlineLevel="0" collapsed="false">
      <c r="B238" s="17"/>
    </row>
    <row r="239" customFormat="false" ht="15.75" hidden="false" customHeight="false" outlineLevel="0" collapsed="false">
      <c r="B239" s="17"/>
    </row>
    <row r="240" customFormat="false" ht="15.75" hidden="false" customHeight="false" outlineLevel="0" collapsed="false">
      <c r="B240" s="17"/>
    </row>
    <row r="241" customFormat="false" ht="15.75" hidden="false" customHeight="false" outlineLevel="0" collapsed="false">
      <c r="B241" s="17"/>
    </row>
    <row r="242" customFormat="false" ht="15.75" hidden="false" customHeight="false" outlineLevel="0" collapsed="false">
      <c r="B242" s="17"/>
    </row>
    <row r="243" customFormat="false" ht="15.75" hidden="false" customHeight="false" outlineLevel="0" collapsed="false">
      <c r="B243" s="17"/>
    </row>
    <row r="244" customFormat="false" ht="15.75" hidden="false" customHeight="false" outlineLevel="0" collapsed="false">
      <c r="B244" s="17"/>
    </row>
    <row r="245" customFormat="false" ht="15.75" hidden="false" customHeight="false" outlineLevel="0" collapsed="false">
      <c r="B245" s="17"/>
    </row>
    <row r="246" customFormat="false" ht="15.75" hidden="false" customHeight="false" outlineLevel="0" collapsed="false">
      <c r="B246" s="17"/>
    </row>
    <row r="247" customFormat="false" ht="15.75" hidden="false" customHeight="false" outlineLevel="0" collapsed="false">
      <c r="B247" s="17"/>
    </row>
    <row r="248" customFormat="false" ht="15.75" hidden="false" customHeight="false" outlineLevel="0" collapsed="false">
      <c r="B248" s="17"/>
    </row>
    <row r="249" customFormat="false" ht="15.75" hidden="false" customHeight="false" outlineLevel="0" collapsed="false">
      <c r="B249" s="17"/>
    </row>
    <row r="250" customFormat="false" ht="15.75" hidden="false" customHeight="false" outlineLevel="0" collapsed="false">
      <c r="B250" s="17"/>
    </row>
    <row r="251" customFormat="false" ht="15.75" hidden="false" customHeight="false" outlineLevel="0" collapsed="false">
      <c r="B251" s="17"/>
    </row>
    <row r="252" customFormat="false" ht="15.75" hidden="false" customHeight="false" outlineLevel="0" collapsed="false">
      <c r="B252" s="17"/>
    </row>
    <row r="253" customFormat="false" ht="15.75" hidden="false" customHeight="false" outlineLevel="0" collapsed="false">
      <c r="B253" s="17"/>
    </row>
    <row r="254" customFormat="false" ht="15.75" hidden="false" customHeight="false" outlineLevel="0" collapsed="false">
      <c r="B254" s="17"/>
    </row>
    <row r="255" customFormat="false" ht="15.75" hidden="false" customHeight="false" outlineLevel="0" collapsed="false">
      <c r="B255" s="17"/>
    </row>
    <row r="256" customFormat="false" ht="15.75" hidden="false" customHeight="false" outlineLevel="0" collapsed="false">
      <c r="B256" s="17"/>
    </row>
    <row r="257" customFormat="false" ht="15.75" hidden="false" customHeight="false" outlineLevel="0" collapsed="false">
      <c r="B257" s="17"/>
    </row>
    <row r="258" customFormat="false" ht="15.75" hidden="false" customHeight="false" outlineLevel="0" collapsed="false">
      <c r="B258" s="17"/>
    </row>
    <row r="259" customFormat="false" ht="15.75" hidden="false" customHeight="false" outlineLevel="0" collapsed="false">
      <c r="B259" s="17"/>
    </row>
    <row r="260" customFormat="false" ht="15.75" hidden="false" customHeight="false" outlineLevel="0" collapsed="false">
      <c r="B260" s="17"/>
    </row>
    <row r="261" customFormat="false" ht="15.75" hidden="false" customHeight="false" outlineLevel="0" collapsed="false">
      <c r="B261" s="17"/>
    </row>
    <row r="262" customFormat="false" ht="15.75" hidden="false" customHeight="false" outlineLevel="0" collapsed="false">
      <c r="B262" s="17"/>
    </row>
    <row r="263" customFormat="false" ht="15.75" hidden="false" customHeight="false" outlineLevel="0" collapsed="false">
      <c r="B263" s="17"/>
    </row>
    <row r="264" customFormat="false" ht="15.75" hidden="false" customHeight="false" outlineLevel="0" collapsed="false">
      <c r="B264" s="17"/>
    </row>
    <row r="265" customFormat="false" ht="15.75" hidden="false" customHeight="false" outlineLevel="0" collapsed="false">
      <c r="B265" s="17"/>
    </row>
    <row r="266" customFormat="false" ht="15.75" hidden="false" customHeight="false" outlineLevel="0" collapsed="false">
      <c r="B266" s="17"/>
    </row>
    <row r="267" customFormat="false" ht="15.75" hidden="false" customHeight="false" outlineLevel="0" collapsed="false">
      <c r="B267" s="17"/>
    </row>
    <row r="268" customFormat="false" ht="15.75" hidden="false" customHeight="false" outlineLevel="0" collapsed="false">
      <c r="B268" s="17"/>
    </row>
    <row r="269" customFormat="false" ht="15.75" hidden="false" customHeight="false" outlineLevel="0" collapsed="false">
      <c r="B269" s="17"/>
    </row>
    <row r="270" customFormat="false" ht="15.75" hidden="false" customHeight="false" outlineLevel="0" collapsed="false">
      <c r="B270" s="17"/>
    </row>
    <row r="271" customFormat="false" ht="15.75" hidden="false" customHeight="false" outlineLevel="0" collapsed="false">
      <c r="B271" s="17"/>
    </row>
    <row r="272" customFormat="false" ht="15.75" hidden="false" customHeight="false" outlineLevel="0" collapsed="false">
      <c r="B272" s="17"/>
    </row>
    <row r="273" customFormat="false" ht="15.75" hidden="false" customHeight="false" outlineLevel="0" collapsed="false">
      <c r="B273" s="17"/>
    </row>
    <row r="274" customFormat="false" ht="15.75" hidden="false" customHeight="false" outlineLevel="0" collapsed="false">
      <c r="B274" s="17"/>
    </row>
    <row r="275" customFormat="false" ht="15.75" hidden="false" customHeight="false" outlineLevel="0" collapsed="false">
      <c r="B275" s="17"/>
    </row>
    <row r="276" customFormat="false" ht="15.75" hidden="false" customHeight="false" outlineLevel="0" collapsed="false">
      <c r="B276" s="17"/>
    </row>
    <row r="277" customFormat="false" ht="15.75" hidden="false" customHeight="false" outlineLevel="0" collapsed="false">
      <c r="B277" s="17"/>
    </row>
    <row r="278" customFormat="false" ht="15.75" hidden="false" customHeight="false" outlineLevel="0" collapsed="false">
      <c r="B278" s="17"/>
    </row>
    <row r="279" customFormat="false" ht="15.75" hidden="false" customHeight="false" outlineLevel="0" collapsed="false">
      <c r="B279" s="17"/>
    </row>
    <row r="280" customFormat="false" ht="15.75" hidden="false" customHeight="false" outlineLevel="0" collapsed="false">
      <c r="B280" s="17"/>
    </row>
    <row r="281" customFormat="false" ht="15.75" hidden="false" customHeight="false" outlineLevel="0" collapsed="false">
      <c r="B281" s="17"/>
    </row>
    <row r="282" customFormat="false" ht="15.75" hidden="false" customHeight="false" outlineLevel="0" collapsed="false">
      <c r="B282" s="17"/>
    </row>
    <row r="283" customFormat="false" ht="15.75" hidden="false" customHeight="false" outlineLevel="0" collapsed="false">
      <c r="B283" s="17"/>
    </row>
    <row r="284" customFormat="false" ht="15.75" hidden="false" customHeight="false" outlineLevel="0" collapsed="false">
      <c r="B284" s="17"/>
    </row>
    <row r="285" customFormat="false" ht="15.75" hidden="false" customHeight="false" outlineLevel="0" collapsed="false">
      <c r="B285" s="17"/>
    </row>
    <row r="286" customFormat="false" ht="15.75" hidden="false" customHeight="false" outlineLevel="0" collapsed="false">
      <c r="B286" s="17"/>
    </row>
    <row r="287" customFormat="false" ht="15.75" hidden="false" customHeight="false" outlineLevel="0" collapsed="false">
      <c r="B287" s="17"/>
    </row>
    <row r="288" customFormat="false" ht="15.75" hidden="false" customHeight="false" outlineLevel="0" collapsed="false">
      <c r="B288" s="17"/>
    </row>
    <row r="289" customFormat="false" ht="15.75" hidden="false" customHeight="false" outlineLevel="0" collapsed="false">
      <c r="B289" s="17"/>
    </row>
    <row r="290" customFormat="false" ht="15.75" hidden="false" customHeight="false" outlineLevel="0" collapsed="false">
      <c r="B290" s="17"/>
    </row>
    <row r="291" customFormat="false" ht="15.75" hidden="false" customHeight="false" outlineLevel="0" collapsed="false">
      <c r="B291" s="17"/>
    </row>
    <row r="292" customFormat="false" ht="15.75" hidden="false" customHeight="false" outlineLevel="0" collapsed="false">
      <c r="B292" s="17"/>
    </row>
    <row r="293" customFormat="false" ht="15.75" hidden="false" customHeight="false" outlineLevel="0" collapsed="false">
      <c r="B293" s="17"/>
    </row>
    <row r="294" customFormat="false" ht="15.75" hidden="false" customHeight="false" outlineLevel="0" collapsed="false">
      <c r="B294" s="17"/>
    </row>
    <row r="295" customFormat="false" ht="15.75" hidden="false" customHeight="false" outlineLevel="0" collapsed="false">
      <c r="B295" s="17"/>
    </row>
    <row r="296" customFormat="false" ht="15.75" hidden="false" customHeight="false" outlineLevel="0" collapsed="false">
      <c r="B296" s="17"/>
    </row>
    <row r="297" customFormat="false" ht="15.75" hidden="false" customHeight="false" outlineLevel="0" collapsed="false">
      <c r="B297" s="17"/>
    </row>
    <row r="298" customFormat="false" ht="15.75" hidden="false" customHeight="false" outlineLevel="0" collapsed="false">
      <c r="B298" s="17"/>
    </row>
    <row r="299" customFormat="false" ht="15.75" hidden="false" customHeight="false" outlineLevel="0" collapsed="false">
      <c r="B299" s="17"/>
    </row>
    <row r="300" customFormat="false" ht="15.75" hidden="false" customHeight="false" outlineLevel="0" collapsed="false">
      <c r="B300" s="17"/>
    </row>
    <row r="301" customFormat="false" ht="15.75" hidden="false" customHeight="false" outlineLevel="0" collapsed="false">
      <c r="B301" s="17"/>
    </row>
    <row r="302" customFormat="false" ht="15.75" hidden="false" customHeight="false" outlineLevel="0" collapsed="false">
      <c r="B302" s="17"/>
    </row>
    <row r="303" customFormat="false" ht="15.75" hidden="false" customHeight="false" outlineLevel="0" collapsed="false">
      <c r="B303" s="17"/>
    </row>
    <row r="304" customFormat="false" ht="15.75" hidden="false" customHeight="false" outlineLevel="0" collapsed="false">
      <c r="B304" s="17"/>
    </row>
    <row r="305" customFormat="false" ht="15.75" hidden="false" customHeight="false" outlineLevel="0" collapsed="false">
      <c r="B305" s="17"/>
    </row>
    <row r="306" customFormat="false" ht="15.75" hidden="false" customHeight="false" outlineLevel="0" collapsed="false">
      <c r="B306" s="17"/>
    </row>
    <row r="307" customFormat="false" ht="15.75" hidden="false" customHeight="false" outlineLevel="0" collapsed="false">
      <c r="B307" s="17"/>
    </row>
    <row r="308" customFormat="false" ht="15.75" hidden="false" customHeight="false" outlineLevel="0" collapsed="false">
      <c r="B308" s="17"/>
    </row>
    <row r="309" customFormat="false" ht="15.75" hidden="false" customHeight="false" outlineLevel="0" collapsed="false">
      <c r="B309" s="17"/>
    </row>
    <row r="310" customFormat="false" ht="15.75" hidden="false" customHeight="false" outlineLevel="0" collapsed="false">
      <c r="B310" s="17"/>
    </row>
    <row r="311" customFormat="false" ht="15.75" hidden="false" customHeight="false" outlineLevel="0" collapsed="false">
      <c r="B311" s="17"/>
    </row>
    <row r="312" customFormat="false" ht="15.75" hidden="false" customHeight="false" outlineLevel="0" collapsed="false">
      <c r="B312" s="17"/>
    </row>
    <row r="313" customFormat="false" ht="15.75" hidden="false" customHeight="false" outlineLevel="0" collapsed="false">
      <c r="B313" s="17"/>
    </row>
    <row r="314" customFormat="false" ht="15.75" hidden="false" customHeight="false" outlineLevel="0" collapsed="false">
      <c r="B314" s="17"/>
    </row>
    <row r="315" customFormat="false" ht="15.75" hidden="false" customHeight="false" outlineLevel="0" collapsed="false">
      <c r="B315" s="17"/>
    </row>
    <row r="316" customFormat="false" ht="15.75" hidden="false" customHeight="false" outlineLevel="0" collapsed="false">
      <c r="B316" s="17"/>
    </row>
    <row r="317" customFormat="false" ht="15.75" hidden="false" customHeight="false" outlineLevel="0" collapsed="false">
      <c r="B317" s="17"/>
    </row>
    <row r="318" customFormat="false" ht="15.75" hidden="false" customHeight="false" outlineLevel="0" collapsed="false">
      <c r="B318" s="17"/>
    </row>
    <row r="319" customFormat="false" ht="15.75" hidden="false" customHeight="false" outlineLevel="0" collapsed="false">
      <c r="B319" s="17"/>
    </row>
    <row r="320" customFormat="false" ht="15.75" hidden="false" customHeight="false" outlineLevel="0" collapsed="false">
      <c r="B320" s="17"/>
    </row>
    <row r="321" customFormat="false" ht="15.75" hidden="false" customHeight="false" outlineLevel="0" collapsed="false">
      <c r="B321" s="17"/>
    </row>
    <row r="322" customFormat="false" ht="15.75" hidden="false" customHeight="false" outlineLevel="0" collapsed="false">
      <c r="B322" s="17"/>
    </row>
    <row r="323" customFormat="false" ht="15.75" hidden="false" customHeight="false" outlineLevel="0" collapsed="false">
      <c r="B323" s="17"/>
    </row>
    <row r="324" customFormat="false" ht="15.75" hidden="false" customHeight="false" outlineLevel="0" collapsed="false">
      <c r="B324" s="17"/>
    </row>
    <row r="325" customFormat="false" ht="15.75" hidden="false" customHeight="false" outlineLevel="0" collapsed="false">
      <c r="B325" s="17"/>
    </row>
    <row r="326" customFormat="false" ht="15.75" hidden="false" customHeight="false" outlineLevel="0" collapsed="false">
      <c r="B326" s="17"/>
    </row>
    <row r="327" customFormat="false" ht="15.75" hidden="false" customHeight="false" outlineLevel="0" collapsed="false">
      <c r="B327" s="17"/>
    </row>
    <row r="328" customFormat="false" ht="15.75" hidden="false" customHeight="false" outlineLevel="0" collapsed="false">
      <c r="B328" s="17"/>
    </row>
    <row r="329" customFormat="false" ht="15.75" hidden="false" customHeight="false" outlineLevel="0" collapsed="false">
      <c r="B329" s="17"/>
    </row>
    <row r="330" customFormat="false" ht="15.75" hidden="false" customHeight="false" outlineLevel="0" collapsed="false">
      <c r="B330" s="17"/>
    </row>
    <row r="331" customFormat="false" ht="15.75" hidden="false" customHeight="false" outlineLevel="0" collapsed="false">
      <c r="B331" s="17"/>
    </row>
    <row r="332" customFormat="false" ht="15.75" hidden="false" customHeight="false" outlineLevel="0" collapsed="false">
      <c r="B332" s="17"/>
    </row>
    <row r="333" customFormat="false" ht="15.75" hidden="false" customHeight="false" outlineLevel="0" collapsed="false">
      <c r="B333" s="17"/>
    </row>
    <row r="334" customFormat="false" ht="15.75" hidden="false" customHeight="false" outlineLevel="0" collapsed="false">
      <c r="B334" s="17"/>
    </row>
    <row r="335" customFormat="false" ht="15.75" hidden="false" customHeight="false" outlineLevel="0" collapsed="false">
      <c r="B335" s="17"/>
    </row>
    <row r="336" customFormat="false" ht="15.75" hidden="false" customHeight="false" outlineLevel="0" collapsed="false">
      <c r="B336" s="17"/>
    </row>
    <row r="337" customFormat="false" ht="15.75" hidden="false" customHeight="false" outlineLevel="0" collapsed="false">
      <c r="B337" s="17"/>
    </row>
    <row r="338" customFormat="false" ht="15.75" hidden="false" customHeight="false" outlineLevel="0" collapsed="false">
      <c r="B338" s="17"/>
    </row>
    <row r="339" customFormat="false" ht="15.75" hidden="false" customHeight="false" outlineLevel="0" collapsed="false">
      <c r="B339" s="17"/>
    </row>
    <row r="340" customFormat="false" ht="15.75" hidden="false" customHeight="false" outlineLevel="0" collapsed="false">
      <c r="B340" s="17"/>
    </row>
    <row r="341" customFormat="false" ht="15.75" hidden="false" customHeight="false" outlineLevel="0" collapsed="false">
      <c r="B341" s="17"/>
    </row>
    <row r="342" customFormat="false" ht="15.75" hidden="false" customHeight="false" outlineLevel="0" collapsed="false">
      <c r="B342" s="17"/>
    </row>
    <row r="343" customFormat="false" ht="15.75" hidden="false" customHeight="false" outlineLevel="0" collapsed="false">
      <c r="B343" s="17"/>
    </row>
    <row r="344" customFormat="false" ht="15.75" hidden="false" customHeight="false" outlineLevel="0" collapsed="false">
      <c r="B344" s="17"/>
    </row>
    <row r="345" customFormat="false" ht="15.75" hidden="false" customHeight="false" outlineLevel="0" collapsed="false">
      <c r="B345" s="17"/>
    </row>
    <row r="346" customFormat="false" ht="15.75" hidden="false" customHeight="false" outlineLevel="0" collapsed="false">
      <c r="B346" s="17"/>
    </row>
    <row r="347" customFormat="false" ht="15.75" hidden="false" customHeight="false" outlineLevel="0" collapsed="false">
      <c r="B347" s="17"/>
    </row>
    <row r="348" customFormat="false" ht="15.75" hidden="false" customHeight="false" outlineLevel="0" collapsed="false">
      <c r="B348" s="17"/>
    </row>
    <row r="349" customFormat="false" ht="15.75" hidden="false" customHeight="false" outlineLevel="0" collapsed="false">
      <c r="B349" s="17"/>
    </row>
    <row r="350" customFormat="false" ht="15.75" hidden="false" customHeight="false" outlineLevel="0" collapsed="false">
      <c r="B350" s="17"/>
    </row>
    <row r="351" customFormat="false" ht="15.75" hidden="false" customHeight="false" outlineLevel="0" collapsed="false">
      <c r="B351" s="17"/>
    </row>
    <row r="352" customFormat="false" ht="15.75" hidden="false" customHeight="false" outlineLevel="0" collapsed="false">
      <c r="B352" s="17"/>
    </row>
    <row r="353" customFormat="false" ht="15.75" hidden="false" customHeight="false" outlineLevel="0" collapsed="false">
      <c r="B353" s="17"/>
    </row>
    <row r="354" customFormat="false" ht="15.75" hidden="false" customHeight="false" outlineLevel="0" collapsed="false">
      <c r="B354" s="17"/>
    </row>
    <row r="355" customFormat="false" ht="15.75" hidden="false" customHeight="false" outlineLevel="0" collapsed="false">
      <c r="B355" s="17"/>
    </row>
    <row r="356" customFormat="false" ht="15.75" hidden="false" customHeight="false" outlineLevel="0" collapsed="false">
      <c r="B356" s="17"/>
    </row>
    <row r="357" customFormat="false" ht="15.75" hidden="false" customHeight="false" outlineLevel="0" collapsed="false">
      <c r="B357" s="17"/>
    </row>
    <row r="358" customFormat="false" ht="15.75" hidden="false" customHeight="false" outlineLevel="0" collapsed="false">
      <c r="B358" s="17"/>
    </row>
    <row r="359" customFormat="false" ht="15.75" hidden="false" customHeight="false" outlineLevel="0" collapsed="false">
      <c r="B359" s="17"/>
    </row>
    <row r="360" customFormat="false" ht="15.75" hidden="false" customHeight="false" outlineLevel="0" collapsed="false">
      <c r="B360" s="17"/>
    </row>
    <row r="361" customFormat="false" ht="15.75" hidden="false" customHeight="false" outlineLevel="0" collapsed="false">
      <c r="B361" s="17"/>
    </row>
    <row r="362" customFormat="false" ht="15.75" hidden="false" customHeight="false" outlineLevel="0" collapsed="false">
      <c r="B362" s="17"/>
    </row>
    <row r="363" customFormat="false" ht="15.75" hidden="false" customHeight="false" outlineLevel="0" collapsed="false">
      <c r="B363" s="17"/>
    </row>
    <row r="364" customFormat="false" ht="15.75" hidden="false" customHeight="false" outlineLevel="0" collapsed="false">
      <c r="B364" s="17"/>
    </row>
    <row r="365" customFormat="false" ht="15.75" hidden="false" customHeight="false" outlineLevel="0" collapsed="false">
      <c r="B365" s="17"/>
    </row>
    <row r="366" customFormat="false" ht="15.75" hidden="false" customHeight="false" outlineLevel="0" collapsed="false">
      <c r="B366" s="17"/>
    </row>
    <row r="367" customFormat="false" ht="15.75" hidden="false" customHeight="false" outlineLevel="0" collapsed="false">
      <c r="B367" s="17"/>
    </row>
    <row r="368" customFormat="false" ht="15.75" hidden="false" customHeight="false" outlineLevel="0" collapsed="false">
      <c r="B368" s="17"/>
    </row>
    <row r="369" customFormat="false" ht="15.75" hidden="false" customHeight="false" outlineLevel="0" collapsed="false">
      <c r="B369" s="17"/>
    </row>
    <row r="370" customFormat="false" ht="15.75" hidden="false" customHeight="false" outlineLevel="0" collapsed="false">
      <c r="B370" s="17"/>
    </row>
    <row r="371" customFormat="false" ht="15.75" hidden="false" customHeight="false" outlineLevel="0" collapsed="false">
      <c r="B371" s="17"/>
    </row>
    <row r="372" customFormat="false" ht="15.75" hidden="false" customHeight="false" outlineLevel="0" collapsed="false">
      <c r="B372" s="17"/>
    </row>
    <row r="373" customFormat="false" ht="15.75" hidden="false" customHeight="false" outlineLevel="0" collapsed="false">
      <c r="B373" s="17"/>
    </row>
    <row r="374" customFormat="false" ht="15.75" hidden="false" customHeight="false" outlineLevel="0" collapsed="false">
      <c r="B374" s="17"/>
    </row>
    <row r="375" customFormat="false" ht="15.75" hidden="false" customHeight="false" outlineLevel="0" collapsed="false">
      <c r="B375" s="17"/>
    </row>
    <row r="376" customFormat="false" ht="15.75" hidden="false" customHeight="false" outlineLevel="0" collapsed="false">
      <c r="B376" s="17"/>
    </row>
    <row r="377" customFormat="false" ht="15.75" hidden="false" customHeight="false" outlineLevel="0" collapsed="false">
      <c r="B377" s="17"/>
    </row>
    <row r="378" customFormat="false" ht="15.75" hidden="false" customHeight="false" outlineLevel="0" collapsed="false">
      <c r="B378" s="17"/>
    </row>
    <row r="379" customFormat="false" ht="15.75" hidden="false" customHeight="false" outlineLevel="0" collapsed="false">
      <c r="B379" s="17"/>
    </row>
    <row r="380" customFormat="false" ht="15.75" hidden="false" customHeight="false" outlineLevel="0" collapsed="false">
      <c r="B380" s="17"/>
    </row>
    <row r="381" customFormat="false" ht="15.75" hidden="false" customHeight="false" outlineLevel="0" collapsed="false">
      <c r="B381" s="17"/>
    </row>
    <row r="382" customFormat="false" ht="15.75" hidden="false" customHeight="false" outlineLevel="0" collapsed="false">
      <c r="B382" s="17"/>
    </row>
    <row r="383" customFormat="false" ht="15.75" hidden="false" customHeight="false" outlineLevel="0" collapsed="false">
      <c r="B383" s="17"/>
    </row>
    <row r="384" customFormat="false" ht="15.75" hidden="false" customHeight="false" outlineLevel="0" collapsed="false">
      <c r="B384" s="17"/>
    </row>
    <row r="385" customFormat="false" ht="15.75" hidden="false" customHeight="false" outlineLevel="0" collapsed="false">
      <c r="B385" s="17"/>
    </row>
    <row r="386" customFormat="false" ht="15.75" hidden="false" customHeight="false" outlineLevel="0" collapsed="false">
      <c r="B386" s="17"/>
    </row>
    <row r="387" customFormat="false" ht="15.75" hidden="false" customHeight="false" outlineLevel="0" collapsed="false">
      <c r="B387" s="17"/>
    </row>
    <row r="388" customFormat="false" ht="15.75" hidden="false" customHeight="false" outlineLevel="0" collapsed="false">
      <c r="B388" s="17"/>
    </row>
    <row r="389" customFormat="false" ht="15.75" hidden="false" customHeight="false" outlineLevel="0" collapsed="false">
      <c r="B389" s="17"/>
    </row>
    <row r="390" customFormat="false" ht="15.75" hidden="false" customHeight="false" outlineLevel="0" collapsed="false">
      <c r="B390" s="17"/>
    </row>
    <row r="391" customFormat="false" ht="15.75" hidden="false" customHeight="false" outlineLevel="0" collapsed="false">
      <c r="B391" s="17"/>
    </row>
    <row r="392" customFormat="false" ht="15.75" hidden="false" customHeight="false" outlineLevel="0" collapsed="false">
      <c r="B392" s="17"/>
    </row>
    <row r="393" customFormat="false" ht="15.75" hidden="false" customHeight="false" outlineLevel="0" collapsed="false">
      <c r="B393" s="17"/>
    </row>
    <row r="394" customFormat="false" ht="15.75" hidden="false" customHeight="false" outlineLevel="0" collapsed="false">
      <c r="B394" s="17"/>
    </row>
    <row r="395" customFormat="false" ht="15.75" hidden="false" customHeight="false" outlineLevel="0" collapsed="false">
      <c r="B395" s="17"/>
    </row>
    <row r="396" customFormat="false" ht="15.75" hidden="false" customHeight="false" outlineLevel="0" collapsed="false">
      <c r="B396" s="17"/>
    </row>
    <row r="397" customFormat="false" ht="15.75" hidden="false" customHeight="false" outlineLevel="0" collapsed="false">
      <c r="B397" s="17"/>
    </row>
    <row r="398" customFormat="false" ht="15.75" hidden="false" customHeight="false" outlineLevel="0" collapsed="false">
      <c r="B398" s="17"/>
    </row>
    <row r="399" customFormat="false" ht="15.75" hidden="false" customHeight="false" outlineLevel="0" collapsed="false">
      <c r="B399" s="17"/>
    </row>
    <row r="400" customFormat="false" ht="15.75" hidden="false" customHeight="false" outlineLevel="0" collapsed="false">
      <c r="B400" s="17"/>
    </row>
    <row r="401" customFormat="false" ht="15.75" hidden="false" customHeight="false" outlineLevel="0" collapsed="false">
      <c r="B401" s="17"/>
    </row>
    <row r="402" customFormat="false" ht="15.75" hidden="false" customHeight="false" outlineLevel="0" collapsed="false">
      <c r="B402" s="17"/>
    </row>
    <row r="403" customFormat="false" ht="15.75" hidden="false" customHeight="false" outlineLevel="0" collapsed="false">
      <c r="B403" s="17"/>
    </row>
    <row r="404" customFormat="false" ht="15.75" hidden="false" customHeight="false" outlineLevel="0" collapsed="false">
      <c r="B404" s="17"/>
    </row>
    <row r="405" customFormat="false" ht="15.75" hidden="false" customHeight="false" outlineLevel="0" collapsed="false">
      <c r="B405" s="17"/>
    </row>
    <row r="406" customFormat="false" ht="15.75" hidden="false" customHeight="false" outlineLevel="0" collapsed="false">
      <c r="B406" s="17"/>
    </row>
    <row r="407" customFormat="false" ht="15.75" hidden="false" customHeight="false" outlineLevel="0" collapsed="false">
      <c r="B407" s="17"/>
    </row>
    <row r="408" customFormat="false" ht="15.75" hidden="false" customHeight="false" outlineLevel="0" collapsed="false">
      <c r="B408" s="17"/>
    </row>
    <row r="409" customFormat="false" ht="15.75" hidden="false" customHeight="false" outlineLevel="0" collapsed="false">
      <c r="B409" s="17"/>
    </row>
    <row r="410" customFormat="false" ht="15.75" hidden="false" customHeight="false" outlineLevel="0" collapsed="false">
      <c r="B410" s="17"/>
    </row>
    <row r="411" customFormat="false" ht="15.75" hidden="false" customHeight="false" outlineLevel="0" collapsed="false">
      <c r="B411" s="17"/>
    </row>
    <row r="412" customFormat="false" ht="15.75" hidden="false" customHeight="false" outlineLevel="0" collapsed="false">
      <c r="B412" s="17"/>
    </row>
    <row r="413" customFormat="false" ht="15.75" hidden="false" customHeight="false" outlineLevel="0" collapsed="false">
      <c r="B413" s="17"/>
    </row>
    <row r="414" customFormat="false" ht="15.75" hidden="false" customHeight="false" outlineLevel="0" collapsed="false">
      <c r="B414" s="17"/>
    </row>
    <row r="415" customFormat="false" ht="15.75" hidden="false" customHeight="false" outlineLevel="0" collapsed="false">
      <c r="B415" s="17"/>
    </row>
    <row r="416" customFormat="false" ht="15.75" hidden="false" customHeight="false" outlineLevel="0" collapsed="false">
      <c r="B416" s="17"/>
    </row>
    <row r="417" customFormat="false" ht="15.75" hidden="false" customHeight="false" outlineLevel="0" collapsed="false">
      <c r="B417" s="17"/>
    </row>
    <row r="418" customFormat="false" ht="15.75" hidden="false" customHeight="false" outlineLevel="0" collapsed="false">
      <c r="B418" s="17"/>
    </row>
    <row r="419" customFormat="false" ht="15.75" hidden="false" customHeight="false" outlineLevel="0" collapsed="false">
      <c r="B419" s="17"/>
    </row>
    <row r="420" customFormat="false" ht="15.75" hidden="false" customHeight="false" outlineLevel="0" collapsed="false">
      <c r="B420" s="17"/>
    </row>
    <row r="421" customFormat="false" ht="15.75" hidden="false" customHeight="false" outlineLevel="0" collapsed="false">
      <c r="B421" s="17"/>
    </row>
    <row r="422" customFormat="false" ht="15.75" hidden="false" customHeight="false" outlineLevel="0" collapsed="false">
      <c r="B422" s="17"/>
    </row>
    <row r="423" customFormat="false" ht="15.75" hidden="false" customHeight="false" outlineLevel="0" collapsed="false">
      <c r="B423" s="17"/>
    </row>
    <row r="424" customFormat="false" ht="15.75" hidden="false" customHeight="false" outlineLevel="0" collapsed="false">
      <c r="B424" s="17"/>
    </row>
    <row r="425" customFormat="false" ht="15.75" hidden="false" customHeight="false" outlineLevel="0" collapsed="false">
      <c r="B425" s="17"/>
    </row>
    <row r="426" customFormat="false" ht="15.75" hidden="false" customHeight="false" outlineLevel="0" collapsed="false">
      <c r="B426" s="17"/>
    </row>
    <row r="427" customFormat="false" ht="15.75" hidden="false" customHeight="false" outlineLevel="0" collapsed="false">
      <c r="B427" s="17"/>
    </row>
    <row r="428" customFormat="false" ht="15.75" hidden="false" customHeight="false" outlineLevel="0" collapsed="false">
      <c r="B428" s="17"/>
    </row>
    <row r="429" customFormat="false" ht="15.75" hidden="false" customHeight="false" outlineLevel="0" collapsed="false">
      <c r="B429" s="17"/>
    </row>
    <row r="430" customFormat="false" ht="15.75" hidden="false" customHeight="false" outlineLevel="0" collapsed="false">
      <c r="B430" s="17"/>
    </row>
    <row r="431" customFormat="false" ht="15.75" hidden="false" customHeight="false" outlineLevel="0" collapsed="false">
      <c r="B431" s="17"/>
    </row>
    <row r="432" customFormat="false" ht="15.75" hidden="false" customHeight="false" outlineLevel="0" collapsed="false">
      <c r="B432" s="17"/>
    </row>
    <row r="433" customFormat="false" ht="15.75" hidden="false" customHeight="false" outlineLevel="0" collapsed="false">
      <c r="B433" s="17"/>
    </row>
    <row r="434" customFormat="false" ht="15.75" hidden="false" customHeight="false" outlineLevel="0" collapsed="false">
      <c r="B434" s="17"/>
    </row>
    <row r="435" customFormat="false" ht="15.75" hidden="false" customHeight="false" outlineLevel="0" collapsed="false">
      <c r="B435" s="17"/>
    </row>
    <row r="436" customFormat="false" ht="15.75" hidden="false" customHeight="false" outlineLevel="0" collapsed="false">
      <c r="B436" s="17"/>
    </row>
    <row r="437" customFormat="false" ht="15.75" hidden="false" customHeight="false" outlineLevel="0" collapsed="false">
      <c r="B437" s="17"/>
    </row>
    <row r="438" customFormat="false" ht="15.75" hidden="false" customHeight="false" outlineLevel="0" collapsed="false">
      <c r="B438" s="17"/>
    </row>
    <row r="439" customFormat="false" ht="15.75" hidden="false" customHeight="false" outlineLevel="0" collapsed="false">
      <c r="B439" s="17"/>
    </row>
    <row r="440" customFormat="false" ht="15.75" hidden="false" customHeight="false" outlineLevel="0" collapsed="false">
      <c r="B440" s="17"/>
    </row>
    <row r="441" customFormat="false" ht="15.75" hidden="false" customHeight="false" outlineLevel="0" collapsed="false">
      <c r="B441" s="17"/>
    </row>
    <row r="442" customFormat="false" ht="15.75" hidden="false" customHeight="false" outlineLevel="0" collapsed="false">
      <c r="B442" s="17"/>
    </row>
    <row r="443" customFormat="false" ht="15.75" hidden="false" customHeight="false" outlineLevel="0" collapsed="false">
      <c r="B443" s="17"/>
    </row>
    <row r="444" customFormat="false" ht="15.75" hidden="false" customHeight="false" outlineLevel="0" collapsed="false">
      <c r="B444" s="17"/>
    </row>
    <row r="445" customFormat="false" ht="15.75" hidden="false" customHeight="false" outlineLevel="0" collapsed="false">
      <c r="B445" s="17"/>
    </row>
    <row r="446" customFormat="false" ht="15.75" hidden="false" customHeight="false" outlineLevel="0" collapsed="false">
      <c r="B446" s="17"/>
    </row>
    <row r="447" customFormat="false" ht="15.75" hidden="false" customHeight="false" outlineLevel="0" collapsed="false">
      <c r="B447" s="17"/>
    </row>
    <row r="448" customFormat="false" ht="15.75" hidden="false" customHeight="false" outlineLevel="0" collapsed="false">
      <c r="B448" s="17"/>
    </row>
    <row r="449" customFormat="false" ht="15.75" hidden="false" customHeight="false" outlineLevel="0" collapsed="false">
      <c r="B449" s="17"/>
    </row>
    <row r="450" customFormat="false" ht="15.75" hidden="false" customHeight="false" outlineLevel="0" collapsed="false">
      <c r="B450" s="17"/>
    </row>
    <row r="451" customFormat="false" ht="15.75" hidden="false" customHeight="false" outlineLevel="0" collapsed="false">
      <c r="B451" s="17"/>
    </row>
    <row r="452" customFormat="false" ht="15.75" hidden="false" customHeight="false" outlineLevel="0" collapsed="false">
      <c r="B452" s="17"/>
    </row>
    <row r="453" customFormat="false" ht="15.75" hidden="false" customHeight="false" outlineLevel="0" collapsed="false">
      <c r="B453" s="17"/>
    </row>
    <row r="454" customFormat="false" ht="15.75" hidden="false" customHeight="false" outlineLevel="0" collapsed="false">
      <c r="B454" s="17"/>
    </row>
    <row r="455" customFormat="false" ht="15.75" hidden="false" customHeight="false" outlineLevel="0" collapsed="false">
      <c r="B455" s="17"/>
    </row>
    <row r="456" customFormat="false" ht="15.75" hidden="false" customHeight="false" outlineLevel="0" collapsed="false">
      <c r="B456" s="17"/>
    </row>
    <row r="457" customFormat="false" ht="15.75" hidden="false" customHeight="false" outlineLevel="0" collapsed="false">
      <c r="B457" s="17"/>
    </row>
    <row r="458" customFormat="false" ht="15.75" hidden="false" customHeight="false" outlineLevel="0" collapsed="false">
      <c r="B458" s="17"/>
    </row>
    <row r="459" customFormat="false" ht="15.75" hidden="false" customHeight="false" outlineLevel="0" collapsed="false">
      <c r="B459" s="17"/>
    </row>
    <row r="460" customFormat="false" ht="15.75" hidden="false" customHeight="false" outlineLevel="0" collapsed="false">
      <c r="B460" s="17"/>
    </row>
    <row r="461" customFormat="false" ht="15.75" hidden="false" customHeight="false" outlineLevel="0" collapsed="false">
      <c r="B461" s="17"/>
    </row>
    <row r="462" customFormat="false" ht="15.75" hidden="false" customHeight="false" outlineLevel="0" collapsed="false">
      <c r="B462" s="17"/>
    </row>
    <row r="463" customFormat="false" ht="15.75" hidden="false" customHeight="false" outlineLevel="0" collapsed="false">
      <c r="B463" s="17"/>
    </row>
    <row r="464" customFormat="false" ht="15.75" hidden="false" customHeight="false" outlineLevel="0" collapsed="false">
      <c r="B464" s="17"/>
    </row>
    <row r="465" customFormat="false" ht="15.75" hidden="false" customHeight="false" outlineLevel="0" collapsed="false">
      <c r="B465" s="17"/>
    </row>
    <row r="466" customFormat="false" ht="15.75" hidden="false" customHeight="false" outlineLevel="0" collapsed="false">
      <c r="B466" s="17"/>
    </row>
    <row r="467" customFormat="false" ht="15.75" hidden="false" customHeight="false" outlineLevel="0" collapsed="false">
      <c r="B467" s="17"/>
    </row>
    <row r="468" customFormat="false" ht="15.75" hidden="false" customHeight="false" outlineLevel="0" collapsed="false">
      <c r="B468" s="17"/>
    </row>
    <row r="469" customFormat="false" ht="15.75" hidden="false" customHeight="false" outlineLevel="0" collapsed="false">
      <c r="B469" s="17"/>
    </row>
    <row r="470" customFormat="false" ht="15.75" hidden="false" customHeight="false" outlineLevel="0" collapsed="false">
      <c r="B470" s="17"/>
    </row>
    <row r="471" customFormat="false" ht="15.75" hidden="false" customHeight="false" outlineLevel="0" collapsed="false">
      <c r="B471" s="17"/>
    </row>
    <row r="472" customFormat="false" ht="15.75" hidden="false" customHeight="false" outlineLevel="0" collapsed="false">
      <c r="B472" s="17"/>
    </row>
    <row r="473" customFormat="false" ht="15.75" hidden="false" customHeight="false" outlineLevel="0" collapsed="false">
      <c r="B473" s="17"/>
    </row>
    <row r="474" customFormat="false" ht="15.75" hidden="false" customHeight="false" outlineLevel="0" collapsed="false">
      <c r="B474" s="17"/>
    </row>
    <row r="475" customFormat="false" ht="15.75" hidden="false" customHeight="false" outlineLevel="0" collapsed="false">
      <c r="B475" s="17"/>
    </row>
    <row r="476" customFormat="false" ht="15.75" hidden="false" customHeight="false" outlineLevel="0" collapsed="false">
      <c r="B476" s="17"/>
    </row>
    <row r="477" customFormat="false" ht="15.75" hidden="false" customHeight="false" outlineLevel="0" collapsed="false">
      <c r="B477" s="17"/>
    </row>
    <row r="478" customFormat="false" ht="15.75" hidden="false" customHeight="false" outlineLevel="0" collapsed="false">
      <c r="B478" s="17"/>
    </row>
    <row r="479" customFormat="false" ht="15.75" hidden="false" customHeight="false" outlineLevel="0" collapsed="false">
      <c r="B479" s="17"/>
    </row>
    <row r="480" customFormat="false" ht="15.75" hidden="false" customHeight="false" outlineLevel="0" collapsed="false">
      <c r="B480" s="17"/>
    </row>
    <row r="481" customFormat="false" ht="15.75" hidden="false" customHeight="false" outlineLevel="0" collapsed="false">
      <c r="B481" s="17"/>
    </row>
    <row r="482" customFormat="false" ht="15.75" hidden="false" customHeight="false" outlineLevel="0" collapsed="false">
      <c r="B482" s="17"/>
    </row>
    <row r="483" customFormat="false" ht="15.75" hidden="false" customHeight="false" outlineLevel="0" collapsed="false">
      <c r="B483" s="17"/>
    </row>
    <row r="484" customFormat="false" ht="15.75" hidden="false" customHeight="false" outlineLevel="0" collapsed="false">
      <c r="B484" s="17"/>
    </row>
    <row r="485" customFormat="false" ht="15.75" hidden="false" customHeight="false" outlineLevel="0" collapsed="false">
      <c r="B485" s="17"/>
    </row>
    <row r="486" customFormat="false" ht="15.75" hidden="false" customHeight="false" outlineLevel="0" collapsed="false">
      <c r="B486" s="17"/>
    </row>
    <row r="487" customFormat="false" ht="15.75" hidden="false" customHeight="false" outlineLevel="0" collapsed="false">
      <c r="B487" s="17"/>
    </row>
    <row r="488" customFormat="false" ht="15.75" hidden="false" customHeight="false" outlineLevel="0" collapsed="false">
      <c r="B488" s="17"/>
    </row>
    <row r="489" customFormat="false" ht="15.75" hidden="false" customHeight="false" outlineLevel="0" collapsed="false">
      <c r="B489" s="17"/>
    </row>
    <row r="490" customFormat="false" ht="15.75" hidden="false" customHeight="false" outlineLevel="0" collapsed="false">
      <c r="B490" s="17"/>
    </row>
    <row r="491" customFormat="false" ht="15.75" hidden="false" customHeight="false" outlineLevel="0" collapsed="false">
      <c r="B491" s="17"/>
    </row>
    <row r="492" customFormat="false" ht="15.75" hidden="false" customHeight="false" outlineLevel="0" collapsed="false">
      <c r="B492" s="17"/>
    </row>
    <row r="493" customFormat="false" ht="15.75" hidden="false" customHeight="false" outlineLevel="0" collapsed="false">
      <c r="B493" s="17"/>
    </row>
    <row r="494" customFormat="false" ht="15.75" hidden="false" customHeight="false" outlineLevel="0" collapsed="false">
      <c r="B494" s="17"/>
    </row>
    <row r="495" customFormat="false" ht="15.75" hidden="false" customHeight="false" outlineLevel="0" collapsed="false">
      <c r="B495" s="17"/>
    </row>
    <row r="496" customFormat="false" ht="15.75" hidden="false" customHeight="false" outlineLevel="0" collapsed="false">
      <c r="B496" s="17"/>
    </row>
    <row r="497" customFormat="false" ht="15.75" hidden="false" customHeight="false" outlineLevel="0" collapsed="false">
      <c r="B497" s="17"/>
    </row>
    <row r="498" customFormat="false" ht="15.75" hidden="false" customHeight="false" outlineLevel="0" collapsed="false">
      <c r="B498" s="17"/>
    </row>
    <row r="499" customFormat="false" ht="15.75" hidden="false" customHeight="false" outlineLevel="0" collapsed="false">
      <c r="B499" s="17"/>
    </row>
    <row r="500" customFormat="false" ht="15.75" hidden="false" customHeight="false" outlineLevel="0" collapsed="false">
      <c r="B500" s="17"/>
    </row>
    <row r="501" customFormat="false" ht="15.75" hidden="false" customHeight="false" outlineLevel="0" collapsed="false">
      <c r="B501" s="17"/>
    </row>
    <row r="502" customFormat="false" ht="15.75" hidden="false" customHeight="false" outlineLevel="0" collapsed="false">
      <c r="B502" s="17"/>
    </row>
    <row r="503" customFormat="false" ht="15.75" hidden="false" customHeight="false" outlineLevel="0" collapsed="false">
      <c r="B503" s="17"/>
    </row>
    <row r="504" customFormat="false" ht="15.75" hidden="false" customHeight="false" outlineLevel="0" collapsed="false">
      <c r="B504" s="17"/>
    </row>
    <row r="505" customFormat="false" ht="15.75" hidden="false" customHeight="false" outlineLevel="0" collapsed="false">
      <c r="B505" s="17"/>
    </row>
    <row r="506" customFormat="false" ht="15.75" hidden="false" customHeight="false" outlineLevel="0" collapsed="false">
      <c r="B506" s="17"/>
    </row>
    <row r="507" customFormat="false" ht="15.75" hidden="false" customHeight="false" outlineLevel="0" collapsed="false">
      <c r="B507" s="17"/>
    </row>
    <row r="508" customFormat="false" ht="15.75" hidden="false" customHeight="false" outlineLevel="0" collapsed="false">
      <c r="B508" s="17"/>
    </row>
    <row r="509" customFormat="false" ht="15.75" hidden="false" customHeight="false" outlineLevel="0" collapsed="false">
      <c r="B509" s="17"/>
    </row>
    <row r="510" customFormat="false" ht="15.75" hidden="false" customHeight="false" outlineLevel="0" collapsed="false">
      <c r="B510" s="17"/>
    </row>
    <row r="511" customFormat="false" ht="15.75" hidden="false" customHeight="false" outlineLevel="0" collapsed="false">
      <c r="B511" s="17"/>
    </row>
    <row r="512" customFormat="false" ht="15.75" hidden="false" customHeight="false" outlineLevel="0" collapsed="false">
      <c r="B512" s="17"/>
    </row>
    <row r="513" customFormat="false" ht="15.75" hidden="false" customHeight="false" outlineLevel="0" collapsed="false">
      <c r="B513" s="17"/>
    </row>
    <row r="514" customFormat="false" ht="15.75" hidden="false" customHeight="false" outlineLevel="0" collapsed="false">
      <c r="B514" s="17"/>
    </row>
    <row r="515" customFormat="false" ht="15.75" hidden="false" customHeight="false" outlineLevel="0" collapsed="false">
      <c r="B515" s="17"/>
    </row>
    <row r="516" customFormat="false" ht="15.75" hidden="false" customHeight="false" outlineLevel="0" collapsed="false">
      <c r="B516" s="17"/>
    </row>
    <row r="517" customFormat="false" ht="15.75" hidden="false" customHeight="false" outlineLevel="0" collapsed="false">
      <c r="B517" s="17"/>
    </row>
    <row r="518" customFormat="false" ht="15.75" hidden="false" customHeight="false" outlineLevel="0" collapsed="false">
      <c r="B518" s="17"/>
    </row>
    <row r="519" customFormat="false" ht="15.75" hidden="false" customHeight="false" outlineLevel="0" collapsed="false">
      <c r="B519" s="17"/>
    </row>
    <row r="520" customFormat="false" ht="15.75" hidden="false" customHeight="false" outlineLevel="0" collapsed="false">
      <c r="B520" s="17"/>
    </row>
    <row r="521" customFormat="false" ht="15.75" hidden="false" customHeight="false" outlineLevel="0" collapsed="false">
      <c r="B521" s="17"/>
    </row>
    <row r="522" customFormat="false" ht="15.75" hidden="false" customHeight="false" outlineLevel="0" collapsed="false">
      <c r="B522" s="17"/>
    </row>
    <row r="523" customFormat="false" ht="15.75" hidden="false" customHeight="false" outlineLevel="0" collapsed="false">
      <c r="B523" s="17"/>
    </row>
    <row r="524" customFormat="false" ht="15.75" hidden="false" customHeight="false" outlineLevel="0" collapsed="false">
      <c r="B524" s="17"/>
    </row>
    <row r="525" customFormat="false" ht="15.75" hidden="false" customHeight="false" outlineLevel="0" collapsed="false">
      <c r="B525" s="17"/>
    </row>
    <row r="526" customFormat="false" ht="15.75" hidden="false" customHeight="false" outlineLevel="0" collapsed="false">
      <c r="B526" s="17"/>
    </row>
    <row r="527" customFormat="false" ht="15.75" hidden="false" customHeight="false" outlineLevel="0" collapsed="false">
      <c r="B527" s="17"/>
    </row>
    <row r="528" customFormat="false" ht="15.75" hidden="false" customHeight="false" outlineLevel="0" collapsed="false">
      <c r="B528" s="17"/>
    </row>
    <row r="529" customFormat="false" ht="15.75" hidden="false" customHeight="false" outlineLevel="0" collapsed="false">
      <c r="B529" s="17"/>
    </row>
    <row r="530" customFormat="false" ht="15.75" hidden="false" customHeight="false" outlineLevel="0" collapsed="false">
      <c r="B530" s="17"/>
    </row>
    <row r="531" customFormat="false" ht="15.75" hidden="false" customHeight="false" outlineLevel="0" collapsed="false">
      <c r="B531" s="17"/>
    </row>
    <row r="532" customFormat="false" ht="15.75" hidden="false" customHeight="false" outlineLevel="0" collapsed="false">
      <c r="B532" s="17"/>
    </row>
    <row r="533" customFormat="false" ht="15.75" hidden="false" customHeight="false" outlineLevel="0" collapsed="false">
      <c r="B533" s="17"/>
    </row>
    <row r="534" customFormat="false" ht="15.75" hidden="false" customHeight="false" outlineLevel="0" collapsed="false">
      <c r="B534" s="17"/>
    </row>
    <row r="535" customFormat="false" ht="15.75" hidden="false" customHeight="false" outlineLevel="0" collapsed="false">
      <c r="B535" s="17"/>
    </row>
    <row r="536" customFormat="false" ht="15.75" hidden="false" customHeight="false" outlineLevel="0" collapsed="false">
      <c r="B536" s="17"/>
    </row>
    <row r="537" customFormat="false" ht="15.75" hidden="false" customHeight="false" outlineLevel="0" collapsed="false">
      <c r="B537" s="17"/>
    </row>
    <row r="538" customFormat="false" ht="15.75" hidden="false" customHeight="false" outlineLevel="0" collapsed="false">
      <c r="B538" s="17"/>
    </row>
    <row r="539" customFormat="false" ht="15.75" hidden="false" customHeight="false" outlineLevel="0" collapsed="false">
      <c r="B539" s="17"/>
    </row>
    <row r="540" customFormat="false" ht="15.75" hidden="false" customHeight="false" outlineLevel="0" collapsed="false">
      <c r="B540" s="17"/>
    </row>
    <row r="541" customFormat="false" ht="15.75" hidden="false" customHeight="false" outlineLevel="0" collapsed="false">
      <c r="B541" s="17"/>
    </row>
    <row r="542" customFormat="false" ht="15.75" hidden="false" customHeight="false" outlineLevel="0" collapsed="false">
      <c r="B542" s="17"/>
    </row>
    <row r="543" customFormat="false" ht="15.75" hidden="false" customHeight="false" outlineLevel="0" collapsed="false">
      <c r="B543" s="17"/>
    </row>
    <row r="544" customFormat="false" ht="15.75" hidden="false" customHeight="false" outlineLevel="0" collapsed="false">
      <c r="B544" s="17"/>
    </row>
    <row r="545" customFormat="false" ht="15.75" hidden="false" customHeight="false" outlineLevel="0" collapsed="false">
      <c r="B545" s="17"/>
    </row>
    <row r="546" customFormat="false" ht="15.75" hidden="false" customHeight="false" outlineLevel="0" collapsed="false">
      <c r="B546" s="17"/>
    </row>
    <row r="547" customFormat="false" ht="15.75" hidden="false" customHeight="false" outlineLevel="0" collapsed="false">
      <c r="B547" s="17"/>
    </row>
    <row r="548" customFormat="false" ht="15.75" hidden="false" customHeight="false" outlineLevel="0" collapsed="false">
      <c r="B548" s="17"/>
    </row>
    <row r="549" customFormat="false" ht="15.75" hidden="false" customHeight="false" outlineLevel="0" collapsed="false">
      <c r="B549" s="17"/>
    </row>
    <row r="550" customFormat="false" ht="15.75" hidden="false" customHeight="false" outlineLevel="0" collapsed="false">
      <c r="B550" s="17"/>
    </row>
    <row r="551" customFormat="false" ht="15.75" hidden="false" customHeight="false" outlineLevel="0" collapsed="false">
      <c r="B551" s="17"/>
    </row>
    <row r="552" customFormat="false" ht="15.75" hidden="false" customHeight="false" outlineLevel="0" collapsed="false">
      <c r="B552" s="17"/>
    </row>
    <row r="553" customFormat="false" ht="15.75" hidden="false" customHeight="false" outlineLevel="0" collapsed="false">
      <c r="B553" s="17"/>
    </row>
    <row r="554" customFormat="false" ht="15.75" hidden="false" customHeight="false" outlineLevel="0" collapsed="false">
      <c r="B554" s="17"/>
    </row>
    <row r="555" customFormat="false" ht="15.75" hidden="false" customHeight="false" outlineLevel="0" collapsed="false">
      <c r="B555" s="17"/>
    </row>
    <row r="556" customFormat="false" ht="15.75" hidden="false" customHeight="false" outlineLevel="0" collapsed="false">
      <c r="B556" s="17"/>
    </row>
    <row r="557" customFormat="false" ht="15.75" hidden="false" customHeight="false" outlineLevel="0" collapsed="false">
      <c r="B557" s="17"/>
    </row>
    <row r="558" customFormat="false" ht="15.75" hidden="false" customHeight="false" outlineLevel="0" collapsed="false">
      <c r="B558" s="17"/>
    </row>
    <row r="559" customFormat="false" ht="15.75" hidden="false" customHeight="false" outlineLevel="0" collapsed="false">
      <c r="B559" s="17"/>
    </row>
    <row r="560" customFormat="false" ht="15.75" hidden="false" customHeight="false" outlineLevel="0" collapsed="false">
      <c r="B560" s="17"/>
    </row>
    <row r="561" customFormat="false" ht="15.75" hidden="false" customHeight="false" outlineLevel="0" collapsed="false">
      <c r="B561" s="17"/>
    </row>
    <row r="562" customFormat="false" ht="15.75" hidden="false" customHeight="false" outlineLevel="0" collapsed="false">
      <c r="B562" s="17"/>
    </row>
    <row r="563" customFormat="false" ht="15.75" hidden="false" customHeight="false" outlineLevel="0" collapsed="false">
      <c r="B563" s="17"/>
    </row>
    <row r="564" customFormat="false" ht="15.75" hidden="false" customHeight="false" outlineLevel="0" collapsed="false">
      <c r="B564" s="17"/>
    </row>
    <row r="565" customFormat="false" ht="15.75" hidden="false" customHeight="false" outlineLevel="0" collapsed="false">
      <c r="B565" s="17"/>
    </row>
    <row r="566" customFormat="false" ht="15.75" hidden="false" customHeight="false" outlineLevel="0" collapsed="false">
      <c r="B566" s="17"/>
    </row>
    <row r="567" customFormat="false" ht="15.75" hidden="false" customHeight="false" outlineLevel="0" collapsed="false">
      <c r="B567" s="17"/>
    </row>
    <row r="568" customFormat="false" ht="15.75" hidden="false" customHeight="false" outlineLevel="0" collapsed="false">
      <c r="B568" s="17"/>
    </row>
    <row r="569" customFormat="false" ht="15.75" hidden="false" customHeight="false" outlineLevel="0" collapsed="false">
      <c r="B569" s="17"/>
    </row>
    <row r="570" customFormat="false" ht="15.75" hidden="false" customHeight="false" outlineLevel="0" collapsed="false">
      <c r="B570" s="17"/>
    </row>
    <row r="571" customFormat="false" ht="15.75" hidden="false" customHeight="false" outlineLevel="0" collapsed="false">
      <c r="B571" s="17"/>
    </row>
    <row r="572" customFormat="false" ht="15.75" hidden="false" customHeight="false" outlineLevel="0" collapsed="false">
      <c r="B572" s="17"/>
    </row>
    <row r="573" customFormat="false" ht="15.75" hidden="false" customHeight="false" outlineLevel="0" collapsed="false">
      <c r="B573" s="17"/>
    </row>
    <row r="574" customFormat="false" ht="15.75" hidden="false" customHeight="false" outlineLevel="0" collapsed="false">
      <c r="B574" s="17"/>
    </row>
    <row r="575" customFormat="false" ht="15.75" hidden="false" customHeight="false" outlineLevel="0" collapsed="false">
      <c r="B575" s="17"/>
    </row>
    <row r="576" customFormat="false" ht="15.75" hidden="false" customHeight="false" outlineLevel="0" collapsed="false">
      <c r="B576" s="17"/>
    </row>
    <row r="577" customFormat="false" ht="15.75" hidden="false" customHeight="false" outlineLevel="0" collapsed="false">
      <c r="B577" s="17"/>
    </row>
    <row r="578" customFormat="false" ht="15.75" hidden="false" customHeight="false" outlineLevel="0" collapsed="false">
      <c r="B578" s="17"/>
    </row>
    <row r="579" customFormat="false" ht="15.75" hidden="false" customHeight="false" outlineLevel="0" collapsed="false">
      <c r="B579" s="17"/>
    </row>
    <row r="580" customFormat="false" ht="15.75" hidden="false" customHeight="false" outlineLevel="0" collapsed="false">
      <c r="B580" s="17"/>
    </row>
    <row r="581" customFormat="false" ht="15.75" hidden="false" customHeight="false" outlineLevel="0" collapsed="false">
      <c r="B581" s="17"/>
    </row>
    <row r="582" customFormat="false" ht="15.75" hidden="false" customHeight="false" outlineLevel="0" collapsed="false">
      <c r="B582" s="17"/>
    </row>
    <row r="583" customFormat="false" ht="15.75" hidden="false" customHeight="false" outlineLevel="0" collapsed="false">
      <c r="B583" s="17"/>
    </row>
    <row r="584" customFormat="false" ht="15.75" hidden="false" customHeight="false" outlineLevel="0" collapsed="false">
      <c r="B584" s="17"/>
    </row>
    <row r="585" customFormat="false" ht="15.75" hidden="false" customHeight="false" outlineLevel="0" collapsed="false">
      <c r="B585" s="17"/>
    </row>
    <row r="586" customFormat="false" ht="15.75" hidden="false" customHeight="false" outlineLevel="0" collapsed="false">
      <c r="B586" s="17"/>
    </row>
    <row r="587" customFormat="false" ht="15.75" hidden="false" customHeight="false" outlineLevel="0" collapsed="false">
      <c r="B587" s="17"/>
    </row>
    <row r="588" customFormat="false" ht="15.75" hidden="false" customHeight="false" outlineLevel="0" collapsed="false">
      <c r="B588" s="17"/>
    </row>
    <row r="589" customFormat="false" ht="15.75" hidden="false" customHeight="false" outlineLevel="0" collapsed="false">
      <c r="B589" s="17"/>
    </row>
    <row r="590" customFormat="false" ht="15.75" hidden="false" customHeight="false" outlineLevel="0" collapsed="false">
      <c r="B590" s="17"/>
    </row>
    <row r="591" customFormat="false" ht="15.75" hidden="false" customHeight="false" outlineLevel="0" collapsed="false">
      <c r="B591" s="17"/>
    </row>
    <row r="592" customFormat="false" ht="15.75" hidden="false" customHeight="false" outlineLevel="0" collapsed="false">
      <c r="B592" s="17"/>
    </row>
    <row r="593" customFormat="false" ht="15.75" hidden="false" customHeight="false" outlineLevel="0" collapsed="false">
      <c r="B593" s="17"/>
    </row>
    <row r="594" customFormat="false" ht="15.75" hidden="false" customHeight="false" outlineLevel="0" collapsed="false">
      <c r="B594" s="17"/>
    </row>
    <row r="595" customFormat="false" ht="15.75" hidden="false" customHeight="false" outlineLevel="0" collapsed="false">
      <c r="B595" s="17"/>
    </row>
    <row r="596" customFormat="false" ht="15.75" hidden="false" customHeight="false" outlineLevel="0" collapsed="false">
      <c r="B596" s="17"/>
    </row>
    <row r="597" customFormat="false" ht="15.75" hidden="false" customHeight="false" outlineLevel="0" collapsed="false">
      <c r="B597" s="17"/>
    </row>
    <row r="598" customFormat="false" ht="15.75" hidden="false" customHeight="false" outlineLevel="0" collapsed="false">
      <c r="B598" s="17"/>
    </row>
    <row r="599" customFormat="false" ht="15.75" hidden="false" customHeight="false" outlineLevel="0" collapsed="false">
      <c r="B599" s="17"/>
    </row>
    <row r="600" customFormat="false" ht="15.75" hidden="false" customHeight="false" outlineLevel="0" collapsed="false">
      <c r="B600" s="17"/>
    </row>
    <row r="601" customFormat="false" ht="15.75" hidden="false" customHeight="false" outlineLevel="0" collapsed="false">
      <c r="B601" s="17"/>
    </row>
    <row r="602" customFormat="false" ht="15.75" hidden="false" customHeight="false" outlineLevel="0" collapsed="false">
      <c r="B602" s="17"/>
    </row>
    <row r="603" customFormat="false" ht="15.75" hidden="false" customHeight="false" outlineLevel="0" collapsed="false">
      <c r="B603" s="17"/>
    </row>
    <row r="604" customFormat="false" ht="15.75" hidden="false" customHeight="false" outlineLevel="0" collapsed="false">
      <c r="B604" s="17"/>
    </row>
    <row r="605" customFormat="false" ht="15.75" hidden="false" customHeight="false" outlineLevel="0" collapsed="false">
      <c r="B605" s="17"/>
    </row>
    <row r="606" customFormat="false" ht="15.75" hidden="false" customHeight="false" outlineLevel="0" collapsed="false">
      <c r="B606" s="17"/>
    </row>
    <row r="607" customFormat="false" ht="15.75" hidden="false" customHeight="false" outlineLevel="0" collapsed="false">
      <c r="B607" s="17"/>
    </row>
    <row r="608" customFormat="false" ht="15.75" hidden="false" customHeight="false" outlineLevel="0" collapsed="false">
      <c r="B608" s="17"/>
    </row>
    <row r="609" customFormat="false" ht="15.75" hidden="false" customHeight="false" outlineLevel="0" collapsed="false">
      <c r="B609" s="17"/>
    </row>
    <row r="610" customFormat="false" ht="15.75" hidden="false" customHeight="false" outlineLevel="0" collapsed="false">
      <c r="B610" s="17"/>
    </row>
    <row r="611" customFormat="false" ht="15.75" hidden="false" customHeight="false" outlineLevel="0" collapsed="false">
      <c r="B611" s="17"/>
    </row>
    <row r="612" customFormat="false" ht="15.75" hidden="false" customHeight="false" outlineLevel="0" collapsed="false">
      <c r="B612" s="17"/>
    </row>
    <row r="613" customFormat="false" ht="15.75" hidden="false" customHeight="false" outlineLevel="0" collapsed="false">
      <c r="B613" s="17"/>
    </row>
    <row r="614" customFormat="false" ht="15.75" hidden="false" customHeight="false" outlineLevel="0" collapsed="false">
      <c r="B614" s="17"/>
    </row>
    <row r="615" customFormat="false" ht="15.75" hidden="false" customHeight="false" outlineLevel="0" collapsed="false">
      <c r="B615" s="17"/>
    </row>
    <row r="616" customFormat="false" ht="15.75" hidden="false" customHeight="false" outlineLevel="0" collapsed="false">
      <c r="B616" s="17"/>
    </row>
    <row r="617" customFormat="false" ht="15.75" hidden="false" customHeight="false" outlineLevel="0" collapsed="false">
      <c r="B617" s="17"/>
    </row>
    <row r="618" customFormat="false" ht="15.75" hidden="false" customHeight="false" outlineLevel="0" collapsed="false">
      <c r="B618" s="17"/>
    </row>
    <row r="619" customFormat="false" ht="15.75" hidden="false" customHeight="false" outlineLevel="0" collapsed="false">
      <c r="B619" s="17"/>
    </row>
    <row r="620" customFormat="false" ht="15.75" hidden="false" customHeight="false" outlineLevel="0" collapsed="false">
      <c r="B620" s="17"/>
    </row>
    <row r="621" customFormat="false" ht="15.75" hidden="false" customHeight="false" outlineLevel="0" collapsed="false">
      <c r="B621" s="17"/>
    </row>
    <row r="622" customFormat="false" ht="15.75" hidden="false" customHeight="false" outlineLevel="0" collapsed="false">
      <c r="B622" s="17"/>
    </row>
    <row r="623" customFormat="false" ht="15.75" hidden="false" customHeight="false" outlineLevel="0" collapsed="false">
      <c r="B623" s="17"/>
    </row>
    <row r="624" customFormat="false" ht="15.75" hidden="false" customHeight="false" outlineLevel="0" collapsed="false">
      <c r="B624" s="17"/>
    </row>
    <row r="625" customFormat="false" ht="15.75" hidden="false" customHeight="false" outlineLevel="0" collapsed="false">
      <c r="B625" s="17"/>
    </row>
    <row r="626" customFormat="false" ht="15.75" hidden="false" customHeight="false" outlineLevel="0" collapsed="false">
      <c r="B626" s="17"/>
    </row>
    <row r="627" customFormat="false" ht="15.75" hidden="false" customHeight="false" outlineLevel="0" collapsed="false">
      <c r="B627" s="17"/>
    </row>
    <row r="628" customFormat="false" ht="15.75" hidden="false" customHeight="false" outlineLevel="0" collapsed="false">
      <c r="B628" s="17"/>
    </row>
    <row r="629" customFormat="false" ht="15.75" hidden="false" customHeight="false" outlineLevel="0" collapsed="false">
      <c r="B629" s="17"/>
    </row>
    <row r="630" customFormat="false" ht="15.75" hidden="false" customHeight="false" outlineLevel="0" collapsed="false">
      <c r="B630" s="17"/>
    </row>
    <row r="631" customFormat="false" ht="15.75" hidden="false" customHeight="false" outlineLevel="0" collapsed="false">
      <c r="B631" s="17"/>
    </row>
    <row r="632" customFormat="false" ht="15.75" hidden="false" customHeight="false" outlineLevel="0" collapsed="false">
      <c r="B632" s="17"/>
    </row>
    <row r="633" customFormat="false" ht="15.75" hidden="false" customHeight="false" outlineLevel="0" collapsed="false">
      <c r="B633" s="17"/>
    </row>
    <row r="634" customFormat="false" ht="15.75" hidden="false" customHeight="false" outlineLevel="0" collapsed="false">
      <c r="B634" s="17"/>
    </row>
    <row r="635" customFormat="false" ht="15.75" hidden="false" customHeight="false" outlineLevel="0" collapsed="false">
      <c r="B635" s="17"/>
    </row>
    <row r="636" customFormat="false" ht="15.75" hidden="false" customHeight="false" outlineLevel="0" collapsed="false">
      <c r="B636" s="17"/>
    </row>
    <row r="637" customFormat="false" ht="15.75" hidden="false" customHeight="false" outlineLevel="0" collapsed="false">
      <c r="B637" s="17"/>
    </row>
    <row r="638" customFormat="false" ht="15.75" hidden="false" customHeight="false" outlineLevel="0" collapsed="false">
      <c r="B638" s="17"/>
    </row>
    <row r="639" customFormat="false" ht="15.75" hidden="false" customHeight="false" outlineLevel="0" collapsed="false">
      <c r="B639" s="17"/>
    </row>
    <row r="640" customFormat="false" ht="15.75" hidden="false" customHeight="false" outlineLevel="0" collapsed="false">
      <c r="B640" s="17"/>
    </row>
    <row r="641" customFormat="false" ht="15.75" hidden="false" customHeight="false" outlineLevel="0" collapsed="false">
      <c r="B641" s="17"/>
    </row>
    <row r="642" customFormat="false" ht="15.75" hidden="false" customHeight="false" outlineLevel="0" collapsed="false">
      <c r="B642" s="17"/>
    </row>
    <row r="643" customFormat="false" ht="15.75" hidden="false" customHeight="false" outlineLevel="0" collapsed="false">
      <c r="B643" s="17"/>
    </row>
    <row r="644" customFormat="false" ht="15.75" hidden="false" customHeight="false" outlineLevel="0" collapsed="false">
      <c r="B644" s="17"/>
    </row>
    <row r="645" customFormat="false" ht="15.75" hidden="false" customHeight="false" outlineLevel="0" collapsed="false">
      <c r="B645" s="17"/>
    </row>
    <row r="646" customFormat="false" ht="15.75" hidden="false" customHeight="false" outlineLevel="0" collapsed="false">
      <c r="B646" s="17"/>
    </row>
    <row r="647" customFormat="false" ht="15.75" hidden="false" customHeight="false" outlineLevel="0" collapsed="false">
      <c r="B647" s="17"/>
    </row>
    <row r="648" customFormat="false" ht="15.75" hidden="false" customHeight="false" outlineLevel="0" collapsed="false">
      <c r="B648" s="17"/>
    </row>
    <row r="649" customFormat="false" ht="15.75" hidden="false" customHeight="false" outlineLevel="0" collapsed="false">
      <c r="B649" s="17"/>
    </row>
    <row r="650" customFormat="false" ht="15.75" hidden="false" customHeight="false" outlineLevel="0" collapsed="false">
      <c r="B650" s="17"/>
    </row>
    <row r="651" customFormat="false" ht="15.75" hidden="false" customHeight="false" outlineLevel="0" collapsed="false">
      <c r="B651" s="17"/>
    </row>
    <row r="652" customFormat="false" ht="15.75" hidden="false" customHeight="false" outlineLevel="0" collapsed="false">
      <c r="B652" s="17"/>
    </row>
    <row r="653" customFormat="false" ht="15.75" hidden="false" customHeight="false" outlineLevel="0" collapsed="false">
      <c r="B653" s="17"/>
    </row>
    <row r="654" customFormat="false" ht="15.75" hidden="false" customHeight="false" outlineLevel="0" collapsed="false">
      <c r="B654" s="17"/>
    </row>
    <row r="655" customFormat="false" ht="15.75" hidden="false" customHeight="false" outlineLevel="0" collapsed="false">
      <c r="B655" s="17"/>
    </row>
    <row r="656" customFormat="false" ht="15.75" hidden="false" customHeight="false" outlineLevel="0" collapsed="false">
      <c r="B656" s="17"/>
    </row>
    <row r="657" customFormat="false" ht="15.75" hidden="false" customHeight="false" outlineLevel="0" collapsed="false">
      <c r="B657" s="17"/>
    </row>
    <row r="658" customFormat="false" ht="15.75" hidden="false" customHeight="false" outlineLevel="0" collapsed="false">
      <c r="B658" s="17"/>
    </row>
    <row r="659" customFormat="false" ht="15.75" hidden="false" customHeight="false" outlineLevel="0" collapsed="false">
      <c r="B659" s="17"/>
    </row>
    <row r="660" customFormat="false" ht="15.75" hidden="false" customHeight="false" outlineLevel="0" collapsed="false">
      <c r="B660" s="17"/>
    </row>
    <row r="661" customFormat="false" ht="15.75" hidden="false" customHeight="false" outlineLevel="0" collapsed="false">
      <c r="B661" s="17"/>
    </row>
    <row r="662" customFormat="false" ht="15.75" hidden="false" customHeight="false" outlineLevel="0" collapsed="false">
      <c r="B662" s="17"/>
    </row>
    <row r="663" customFormat="false" ht="15.75" hidden="false" customHeight="false" outlineLevel="0" collapsed="false">
      <c r="B663" s="17"/>
    </row>
    <row r="664" customFormat="false" ht="15.75" hidden="false" customHeight="false" outlineLevel="0" collapsed="false">
      <c r="B664" s="17"/>
    </row>
    <row r="665" customFormat="false" ht="15.75" hidden="false" customHeight="false" outlineLevel="0" collapsed="false">
      <c r="B665" s="17"/>
    </row>
    <row r="666" customFormat="false" ht="15.75" hidden="false" customHeight="false" outlineLevel="0" collapsed="false">
      <c r="B666" s="17"/>
    </row>
    <row r="667" customFormat="false" ht="15.75" hidden="false" customHeight="false" outlineLevel="0" collapsed="false">
      <c r="B667" s="17"/>
    </row>
    <row r="668" customFormat="false" ht="15.75" hidden="false" customHeight="false" outlineLevel="0" collapsed="false">
      <c r="B668" s="17"/>
    </row>
    <row r="669" customFormat="false" ht="15.75" hidden="false" customHeight="false" outlineLevel="0" collapsed="false">
      <c r="B669" s="17"/>
    </row>
    <row r="670" customFormat="false" ht="15.75" hidden="false" customHeight="false" outlineLevel="0" collapsed="false">
      <c r="B670" s="17"/>
    </row>
    <row r="671" customFormat="false" ht="15.75" hidden="false" customHeight="false" outlineLevel="0" collapsed="false">
      <c r="B671" s="17"/>
    </row>
    <row r="672" customFormat="false" ht="15.75" hidden="false" customHeight="false" outlineLevel="0" collapsed="false">
      <c r="B672" s="17"/>
    </row>
    <row r="673" customFormat="false" ht="15.75" hidden="false" customHeight="false" outlineLevel="0" collapsed="false">
      <c r="B673" s="17"/>
    </row>
    <row r="674" customFormat="false" ht="15.75" hidden="false" customHeight="false" outlineLevel="0" collapsed="false">
      <c r="B674" s="17"/>
    </row>
    <row r="675" customFormat="false" ht="15.75" hidden="false" customHeight="false" outlineLevel="0" collapsed="false">
      <c r="B675" s="17"/>
    </row>
    <row r="676" customFormat="false" ht="15.75" hidden="false" customHeight="false" outlineLevel="0" collapsed="false">
      <c r="B676" s="17"/>
    </row>
    <row r="677" customFormat="false" ht="15.75" hidden="false" customHeight="false" outlineLevel="0" collapsed="false">
      <c r="B677" s="17"/>
    </row>
    <row r="678" customFormat="false" ht="15.75" hidden="false" customHeight="false" outlineLevel="0" collapsed="false">
      <c r="B678" s="17"/>
    </row>
    <row r="679" customFormat="false" ht="15.75" hidden="false" customHeight="false" outlineLevel="0" collapsed="false">
      <c r="B679" s="17"/>
    </row>
    <row r="680" customFormat="false" ht="15.75" hidden="false" customHeight="false" outlineLevel="0" collapsed="false">
      <c r="B680" s="17"/>
    </row>
    <row r="681" customFormat="false" ht="15.75" hidden="false" customHeight="false" outlineLevel="0" collapsed="false">
      <c r="B681" s="17"/>
    </row>
    <row r="682" customFormat="false" ht="15.75" hidden="false" customHeight="false" outlineLevel="0" collapsed="false">
      <c r="B682" s="17"/>
    </row>
    <row r="683" customFormat="false" ht="15.75" hidden="false" customHeight="false" outlineLevel="0" collapsed="false">
      <c r="B683" s="17"/>
    </row>
    <row r="684" customFormat="false" ht="15.75" hidden="false" customHeight="false" outlineLevel="0" collapsed="false">
      <c r="B684" s="17"/>
    </row>
    <row r="685" customFormat="false" ht="15.75" hidden="false" customHeight="false" outlineLevel="0" collapsed="false">
      <c r="B685" s="17"/>
    </row>
    <row r="686" customFormat="false" ht="15.75" hidden="false" customHeight="false" outlineLevel="0" collapsed="false">
      <c r="B686" s="17"/>
    </row>
    <row r="687" customFormat="false" ht="15.75" hidden="false" customHeight="false" outlineLevel="0" collapsed="false">
      <c r="B687" s="17"/>
    </row>
    <row r="688" customFormat="false" ht="15.75" hidden="false" customHeight="false" outlineLevel="0" collapsed="false">
      <c r="B688" s="17"/>
    </row>
    <row r="689" customFormat="false" ht="15.75" hidden="false" customHeight="false" outlineLevel="0" collapsed="false">
      <c r="B689" s="17"/>
    </row>
    <row r="690" customFormat="false" ht="15.75" hidden="false" customHeight="false" outlineLevel="0" collapsed="false">
      <c r="B690" s="17"/>
    </row>
    <row r="691" customFormat="false" ht="15.75" hidden="false" customHeight="false" outlineLevel="0" collapsed="false">
      <c r="B691" s="17"/>
    </row>
    <row r="692" customFormat="false" ht="15.75" hidden="false" customHeight="false" outlineLevel="0" collapsed="false">
      <c r="B692" s="17"/>
    </row>
    <row r="693" customFormat="false" ht="15.75" hidden="false" customHeight="false" outlineLevel="0" collapsed="false">
      <c r="B693" s="17"/>
    </row>
    <row r="694" customFormat="false" ht="15.75" hidden="false" customHeight="false" outlineLevel="0" collapsed="false">
      <c r="B694" s="17"/>
    </row>
    <row r="695" customFormat="false" ht="15.75" hidden="false" customHeight="false" outlineLevel="0" collapsed="false">
      <c r="B695" s="17"/>
    </row>
    <row r="696" customFormat="false" ht="15.75" hidden="false" customHeight="false" outlineLevel="0" collapsed="false">
      <c r="B696" s="17"/>
    </row>
    <row r="697" customFormat="false" ht="15.75" hidden="false" customHeight="false" outlineLevel="0" collapsed="false">
      <c r="B697" s="17"/>
    </row>
    <row r="698" customFormat="false" ht="15.75" hidden="false" customHeight="false" outlineLevel="0" collapsed="false">
      <c r="B698" s="17"/>
    </row>
    <row r="699" customFormat="false" ht="15.75" hidden="false" customHeight="false" outlineLevel="0" collapsed="false">
      <c r="B699" s="17"/>
    </row>
    <row r="700" customFormat="false" ht="15.75" hidden="false" customHeight="false" outlineLevel="0" collapsed="false">
      <c r="B700" s="17"/>
    </row>
    <row r="701" customFormat="false" ht="15.75" hidden="false" customHeight="false" outlineLevel="0" collapsed="false">
      <c r="B701" s="17"/>
    </row>
    <row r="702" customFormat="false" ht="15.75" hidden="false" customHeight="false" outlineLevel="0" collapsed="false">
      <c r="B702" s="17"/>
    </row>
    <row r="703" customFormat="false" ht="15.75" hidden="false" customHeight="false" outlineLevel="0" collapsed="false">
      <c r="B703" s="17"/>
    </row>
    <row r="704" customFormat="false" ht="15.75" hidden="false" customHeight="false" outlineLevel="0" collapsed="false">
      <c r="B704" s="17"/>
    </row>
    <row r="705" customFormat="false" ht="15.75" hidden="false" customHeight="false" outlineLevel="0" collapsed="false">
      <c r="B705" s="17"/>
    </row>
    <row r="706" customFormat="false" ht="15.75" hidden="false" customHeight="false" outlineLevel="0" collapsed="false">
      <c r="B706" s="17"/>
    </row>
    <row r="707" customFormat="false" ht="15.75" hidden="false" customHeight="false" outlineLevel="0" collapsed="false">
      <c r="B707" s="17"/>
    </row>
    <row r="708" customFormat="false" ht="15.75" hidden="false" customHeight="false" outlineLevel="0" collapsed="false">
      <c r="B708" s="17"/>
    </row>
    <row r="709" customFormat="false" ht="15.75" hidden="false" customHeight="false" outlineLevel="0" collapsed="false">
      <c r="B709" s="17"/>
    </row>
    <row r="710" customFormat="false" ht="15.75" hidden="false" customHeight="false" outlineLevel="0" collapsed="false">
      <c r="B710" s="17"/>
    </row>
    <row r="711" customFormat="false" ht="15.75" hidden="false" customHeight="false" outlineLevel="0" collapsed="false">
      <c r="B711" s="17"/>
    </row>
    <row r="712" customFormat="false" ht="15.75" hidden="false" customHeight="false" outlineLevel="0" collapsed="false">
      <c r="B712" s="17"/>
    </row>
    <row r="713" customFormat="false" ht="15.75" hidden="false" customHeight="false" outlineLevel="0" collapsed="false">
      <c r="B713" s="17"/>
    </row>
    <row r="714" customFormat="false" ht="15.75" hidden="false" customHeight="false" outlineLevel="0" collapsed="false">
      <c r="B714" s="17"/>
    </row>
    <row r="715" customFormat="false" ht="15.75" hidden="false" customHeight="false" outlineLevel="0" collapsed="false">
      <c r="B715" s="17"/>
    </row>
    <row r="716" customFormat="false" ht="15.75" hidden="false" customHeight="false" outlineLevel="0" collapsed="false">
      <c r="B716" s="17"/>
    </row>
    <row r="717" customFormat="false" ht="15.75" hidden="false" customHeight="false" outlineLevel="0" collapsed="false">
      <c r="B717" s="17"/>
    </row>
    <row r="718" customFormat="false" ht="15.75" hidden="false" customHeight="false" outlineLevel="0" collapsed="false">
      <c r="B718" s="17"/>
    </row>
    <row r="719" customFormat="false" ht="15.75" hidden="false" customHeight="false" outlineLevel="0" collapsed="false">
      <c r="B719" s="17"/>
    </row>
    <row r="720" customFormat="false" ht="15.75" hidden="false" customHeight="false" outlineLevel="0" collapsed="false">
      <c r="B720" s="17"/>
    </row>
    <row r="721" customFormat="false" ht="15.75" hidden="false" customHeight="false" outlineLevel="0" collapsed="false">
      <c r="B721" s="17"/>
    </row>
    <row r="722" customFormat="false" ht="15.75" hidden="false" customHeight="false" outlineLevel="0" collapsed="false">
      <c r="B722" s="17"/>
    </row>
    <row r="723" customFormat="false" ht="15.75" hidden="false" customHeight="false" outlineLevel="0" collapsed="false">
      <c r="B723" s="17"/>
    </row>
    <row r="724" customFormat="false" ht="15.75" hidden="false" customHeight="false" outlineLevel="0" collapsed="false">
      <c r="B724" s="17"/>
    </row>
    <row r="725" customFormat="false" ht="15.75" hidden="false" customHeight="false" outlineLevel="0" collapsed="false">
      <c r="B725" s="17"/>
    </row>
    <row r="726" customFormat="false" ht="15.75" hidden="false" customHeight="false" outlineLevel="0" collapsed="false">
      <c r="B726" s="17"/>
    </row>
    <row r="727" customFormat="false" ht="15.75" hidden="false" customHeight="false" outlineLevel="0" collapsed="false">
      <c r="B727" s="17"/>
    </row>
    <row r="728" customFormat="false" ht="15.75" hidden="false" customHeight="false" outlineLevel="0" collapsed="false">
      <c r="B728" s="17"/>
    </row>
    <row r="729" customFormat="false" ht="15.75" hidden="false" customHeight="false" outlineLevel="0" collapsed="false">
      <c r="B729" s="17"/>
    </row>
    <row r="730" customFormat="false" ht="15.75" hidden="false" customHeight="false" outlineLevel="0" collapsed="false">
      <c r="B730" s="17"/>
    </row>
    <row r="731" customFormat="false" ht="15.75" hidden="false" customHeight="false" outlineLevel="0" collapsed="false">
      <c r="B731" s="17"/>
    </row>
    <row r="732" customFormat="false" ht="15.75" hidden="false" customHeight="false" outlineLevel="0" collapsed="false">
      <c r="B732" s="17"/>
    </row>
    <row r="733" customFormat="false" ht="15.75" hidden="false" customHeight="false" outlineLevel="0" collapsed="false">
      <c r="B733" s="17"/>
    </row>
    <row r="734" customFormat="false" ht="15.75" hidden="false" customHeight="false" outlineLevel="0" collapsed="false">
      <c r="B734" s="17"/>
    </row>
    <row r="735" customFormat="false" ht="15.75" hidden="false" customHeight="false" outlineLevel="0" collapsed="false">
      <c r="B735" s="17"/>
    </row>
    <row r="736" customFormat="false" ht="15.75" hidden="false" customHeight="false" outlineLevel="0" collapsed="false">
      <c r="B736" s="17"/>
    </row>
    <row r="737" customFormat="false" ht="15.75" hidden="false" customHeight="false" outlineLevel="0" collapsed="false">
      <c r="B737" s="17"/>
    </row>
    <row r="738" customFormat="false" ht="15.75" hidden="false" customHeight="false" outlineLevel="0" collapsed="false">
      <c r="B738" s="17"/>
    </row>
    <row r="739" customFormat="false" ht="15.75" hidden="false" customHeight="false" outlineLevel="0" collapsed="false">
      <c r="B739" s="17"/>
    </row>
    <row r="740" customFormat="false" ht="15.75" hidden="false" customHeight="false" outlineLevel="0" collapsed="false">
      <c r="B740" s="17"/>
    </row>
    <row r="741" customFormat="false" ht="15.75" hidden="false" customHeight="false" outlineLevel="0" collapsed="false">
      <c r="B741" s="17"/>
    </row>
    <row r="742" customFormat="false" ht="15.75" hidden="false" customHeight="false" outlineLevel="0" collapsed="false">
      <c r="B742" s="17"/>
    </row>
    <row r="743" customFormat="false" ht="15.75" hidden="false" customHeight="false" outlineLevel="0" collapsed="false">
      <c r="B743" s="17"/>
    </row>
    <row r="744" customFormat="false" ht="15.75" hidden="false" customHeight="false" outlineLevel="0" collapsed="false">
      <c r="B744" s="17"/>
    </row>
    <row r="745" customFormat="false" ht="15.75" hidden="false" customHeight="false" outlineLevel="0" collapsed="false">
      <c r="B745" s="17"/>
    </row>
    <row r="746" customFormat="false" ht="15.75" hidden="false" customHeight="false" outlineLevel="0" collapsed="false">
      <c r="B746" s="17"/>
    </row>
    <row r="747" customFormat="false" ht="15.75" hidden="false" customHeight="false" outlineLevel="0" collapsed="false">
      <c r="B747" s="17"/>
    </row>
    <row r="748" customFormat="false" ht="15.75" hidden="false" customHeight="false" outlineLevel="0" collapsed="false">
      <c r="B748" s="17"/>
    </row>
    <row r="749" customFormat="false" ht="15.75" hidden="false" customHeight="false" outlineLevel="0" collapsed="false">
      <c r="B749" s="17"/>
    </row>
    <row r="750" customFormat="false" ht="15.75" hidden="false" customHeight="false" outlineLevel="0" collapsed="false">
      <c r="B750" s="17"/>
    </row>
    <row r="751" customFormat="false" ht="15.75" hidden="false" customHeight="false" outlineLevel="0" collapsed="false">
      <c r="B751" s="17"/>
    </row>
    <row r="752" customFormat="false" ht="15.75" hidden="false" customHeight="false" outlineLevel="0" collapsed="false">
      <c r="B752" s="17"/>
    </row>
    <row r="753" customFormat="false" ht="15.75" hidden="false" customHeight="false" outlineLevel="0" collapsed="false">
      <c r="B753" s="17"/>
    </row>
    <row r="754" customFormat="false" ht="15.75" hidden="false" customHeight="false" outlineLevel="0" collapsed="false">
      <c r="B754" s="17"/>
    </row>
    <row r="755" customFormat="false" ht="15.75" hidden="false" customHeight="false" outlineLevel="0" collapsed="false">
      <c r="B755" s="17"/>
    </row>
    <row r="756" customFormat="false" ht="15.75" hidden="false" customHeight="false" outlineLevel="0" collapsed="false">
      <c r="B756" s="17"/>
    </row>
    <row r="757" customFormat="false" ht="15.75" hidden="false" customHeight="false" outlineLevel="0" collapsed="false">
      <c r="B757" s="17"/>
    </row>
    <row r="758" customFormat="false" ht="15.75" hidden="false" customHeight="false" outlineLevel="0" collapsed="false">
      <c r="B758" s="17"/>
    </row>
    <row r="759" customFormat="false" ht="15.75" hidden="false" customHeight="false" outlineLevel="0" collapsed="false">
      <c r="B759" s="17"/>
    </row>
    <row r="760" customFormat="false" ht="15.75" hidden="false" customHeight="false" outlineLevel="0" collapsed="false">
      <c r="B760" s="17"/>
    </row>
    <row r="761" customFormat="false" ht="15.75" hidden="false" customHeight="false" outlineLevel="0" collapsed="false">
      <c r="B761" s="17"/>
    </row>
    <row r="762" customFormat="false" ht="15.75" hidden="false" customHeight="false" outlineLevel="0" collapsed="false">
      <c r="B762" s="17"/>
    </row>
    <row r="763" customFormat="false" ht="15.75" hidden="false" customHeight="false" outlineLevel="0" collapsed="false">
      <c r="B763" s="17"/>
    </row>
    <row r="764" customFormat="false" ht="15.75" hidden="false" customHeight="false" outlineLevel="0" collapsed="false">
      <c r="B764" s="17"/>
    </row>
    <row r="765" customFormat="false" ht="15.75" hidden="false" customHeight="false" outlineLevel="0" collapsed="false">
      <c r="B765" s="17"/>
    </row>
    <row r="766" customFormat="false" ht="15.75" hidden="false" customHeight="false" outlineLevel="0" collapsed="false">
      <c r="B766" s="17"/>
    </row>
    <row r="767" customFormat="false" ht="15.75" hidden="false" customHeight="false" outlineLevel="0" collapsed="false">
      <c r="B767" s="17"/>
    </row>
    <row r="768" customFormat="false" ht="15.75" hidden="false" customHeight="false" outlineLevel="0" collapsed="false">
      <c r="B768" s="17"/>
    </row>
    <row r="769" customFormat="false" ht="15.75" hidden="false" customHeight="false" outlineLevel="0" collapsed="false">
      <c r="B769" s="17"/>
    </row>
    <row r="770" customFormat="false" ht="15.75" hidden="false" customHeight="false" outlineLevel="0" collapsed="false">
      <c r="B770" s="17"/>
    </row>
    <row r="771" customFormat="false" ht="15.75" hidden="false" customHeight="false" outlineLevel="0" collapsed="false">
      <c r="B771" s="17"/>
    </row>
    <row r="772" customFormat="false" ht="15.75" hidden="false" customHeight="false" outlineLevel="0" collapsed="false">
      <c r="B772" s="17"/>
    </row>
    <row r="773" customFormat="false" ht="15.75" hidden="false" customHeight="false" outlineLevel="0" collapsed="false">
      <c r="B773" s="17"/>
    </row>
    <row r="774" customFormat="false" ht="15.75" hidden="false" customHeight="false" outlineLevel="0" collapsed="false">
      <c r="B774" s="17"/>
    </row>
    <row r="775" customFormat="false" ht="15.75" hidden="false" customHeight="false" outlineLevel="0" collapsed="false">
      <c r="B775" s="17"/>
    </row>
    <row r="776" customFormat="false" ht="15.75" hidden="false" customHeight="false" outlineLevel="0" collapsed="false">
      <c r="B776" s="17"/>
    </row>
    <row r="777" customFormat="false" ht="15.75" hidden="false" customHeight="false" outlineLevel="0" collapsed="false">
      <c r="B777" s="17"/>
    </row>
    <row r="778" customFormat="false" ht="15.75" hidden="false" customHeight="false" outlineLevel="0" collapsed="false">
      <c r="B778" s="17"/>
    </row>
    <row r="779" customFormat="false" ht="15.75" hidden="false" customHeight="false" outlineLevel="0" collapsed="false">
      <c r="B779" s="17"/>
    </row>
    <row r="780" customFormat="false" ht="15.75" hidden="false" customHeight="false" outlineLevel="0" collapsed="false">
      <c r="B780" s="17"/>
    </row>
    <row r="781" customFormat="false" ht="15.75" hidden="false" customHeight="false" outlineLevel="0" collapsed="false">
      <c r="B781" s="17"/>
    </row>
    <row r="782" customFormat="false" ht="15.75" hidden="false" customHeight="false" outlineLevel="0" collapsed="false">
      <c r="B782" s="17"/>
    </row>
    <row r="783" customFormat="false" ht="15.75" hidden="false" customHeight="false" outlineLevel="0" collapsed="false">
      <c r="B783" s="17"/>
    </row>
    <row r="784" customFormat="false" ht="15.75" hidden="false" customHeight="false" outlineLevel="0" collapsed="false">
      <c r="B784" s="17"/>
    </row>
    <row r="785" customFormat="false" ht="15.75" hidden="false" customHeight="false" outlineLevel="0" collapsed="false">
      <c r="B785" s="17"/>
    </row>
    <row r="786" customFormat="false" ht="15.75" hidden="false" customHeight="false" outlineLevel="0" collapsed="false">
      <c r="B786" s="17"/>
    </row>
    <row r="787" customFormat="false" ht="15.75" hidden="false" customHeight="false" outlineLevel="0" collapsed="false">
      <c r="B787" s="17"/>
    </row>
    <row r="788" customFormat="false" ht="15.75" hidden="false" customHeight="false" outlineLevel="0" collapsed="false">
      <c r="B788" s="17"/>
    </row>
    <row r="789" customFormat="false" ht="15.75" hidden="false" customHeight="false" outlineLevel="0" collapsed="false">
      <c r="B789" s="17"/>
    </row>
    <row r="790" customFormat="false" ht="15.75" hidden="false" customHeight="false" outlineLevel="0" collapsed="false">
      <c r="B790" s="17"/>
    </row>
    <row r="791" customFormat="false" ht="15.75" hidden="false" customHeight="false" outlineLevel="0" collapsed="false">
      <c r="B791" s="17"/>
    </row>
    <row r="792" customFormat="false" ht="15.75" hidden="false" customHeight="false" outlineLevel="0" collapsed="false">
      <c r="B792" s="17"/>
    </row>
    <row r="793" customFormat="false" ht="15.75" hidden="false" customHeight="false" outlineLevel="0" collapsed="false">
      <c r="B793" s="17"/>
    </row>
    <row r="794" customFormat="false" ht="15.75" hidden="false" customHeight="false" outlineLevel="0" collapsed="false">
      <c r="B794" s="17"/>
    </row>
    <row r="795" customFormat="false" ht="15.75" hidden="false" customHeight="false" outlineLevel="0" collapsed="false">
      <c r="B795" s="17"/>
    </row>
    <row r="796" customFormat="false" ht="15.75" hidden="false" customHeight="false" outlineLevel="0" collapsed="false">
      <c r="B796" s="17"/>
    </row>
    <row r="797" customFormat="false" ht="15.75" hidden="false" customHeight="false" outlineLevel="0" collapsed="false">
      <c r="B797" s="17"/>
    </row>
    <row r="798" customFormat="false" ht="15.75" hidden="false" customHeight="false" outlineLevel="0" collapsed="false">
      <c r="B798" s="17"/>
    </row>
    <row r="799" customFormat="false" ht="15.75" hidden="false" customHeight="false" outlineLevel="0" collapsed="false">
      <c r="B799" s="17"/>
    </row>
    <row r="800" customFormat="false" ht="15.75" hidden="false" customHeight="false" outlineLevel="0" collapsed="false">
      <c r="B800" s="17"/>
    </row>
    <row r="801" customFormat="false" ht="15.75" hidden="false" customHeight="false" outlineLevel="0" collapsed="false">
      <c r="B801" s="17"/>
    </row>
    <row r="802" customFormat="false" ht="15.75" hidden="false" customHeight="false" outlineLevel="0" collapsed="false">
      <c r="B802" s="17"/>
    </row>
    <row r="803" customFormat="false" ht="15.75" hidden="false" customHeight="false" outlineLevel="0" collapsed="false">
      <c r="B803" s="17"/>
    </row>
    <row r="804" customFormat="false" ht="15.75" hidden="false" customHeight="false" outlineLevel="0" collapsed="false">
      <c r="B804" s="17"/>
    </row>
    <row r="805" customFormat="false" ht="15.75" hidden="false" customHeight="false" outlineLevel="0" collapsed="false">
      <c r="B805" s="17"/>
    </row>
    <row r="806" customFormat="false" ht="15.75" hidden="false" customHeight="false" outlineLevel="0" collapsed="false">
      <c r="B806" s="17"/>
    </row>
    <row r="807" customFormat="false" ht="15.75" hidden="false" customHeight="false" outlineLevel="0" collapsed="false">
      <c r="B807" s="17"/>
    </row>
    <row r="808" customFormat="false" ht="15.75" hidden="false" customHeight="false" outlineLevel="0" collapsed="false">
      <c r="B808" s="17"/>
    </row>
    <row r="809" customFormat="false" ht="15.75" hidden="false" customHeight="false" outlineLevel="0" collapsed="false">
      <c r="B809" s="17"/>
    </row>
    <row r="810" customFormat="false" ht="15.75" hidden="false" customHeight="false" outlineLevel="0" collapsed="false">
      <c r="B810" s="17"/>
    </row>
    <row r="811" customFormat="false" ht="15.75" hidden="false" customHeight="false" outlineLevel="0" collapsed="false">
      <c r="B811" s="17"/>
    </row>
    <row r="812" customFormat="false" ht="15.75" hidden="false" customHeight="false" outlineLevel="0" collapsed="false">
      <c r="B812" s="17"/>
    </row>
    <row r="813" customFormat="false" ht="15.75" hidden="false" customHeight="false" outlineLevel="0" collapsed="false">
      <c r="B813" s="17"/>
    </row>
    <row r="814" customFormat="false" ht="15.75" hidden="false" customHeight="false" outlineLevel="0" collapsed="false">
      <c r="B814" s="17"/>
    </row>
    <row r="815" customFormat="false" ht="15.75" hidden="false" customHeight="false" outlineLevel="0" collapsed="false">
      <c r="B815" s="17"/>
    </row>
    <row r="816" customFormat="false" ht="15.75" hidden="false" customHeight="false" outlineLevel="0" collapsed="false">
      <c r="B816" s="17"/>
    </row>
    <row r="817" customFormat="false" ht="15.75" hidden="false" customHeight="false" outlineLevel="0" collapsed="false">
      <c r="B817" s="17"/>
    </row>
    <row r="818" customFormat="false" ht="15.75" hidden="false" customHeight="false" outlineLevel="0" collapsed="false">
      <c r="B818" s="17"/>
    </row>
    <row r="819" customFormat="false" ht="15.75" hidden="false" customHeight="false" outlineLevel="0" collapsed="false">
      <c r="B819" s="17"/>
    </row>
    <row r="820" customFormat="false" ht="15.75" hidden="false" customHeight="false" outlineLevel="0" collapsed="false">
      <c r="B820" s="17"/>
    </row>
    <row r="821" customFormat="false" ht="15.75" hidden="false" customHeight="false" outlineLevel="0" collapsed="false">
      <c r="B821" s="17"/>
    </row>
    <row r="822" customFormat="false" ht="15.75" hidden="false" customHeight="false" outlineLevel="0" collapsed="false">
      <c r="B822" s="17"/>
    </row>
    <row r="823" customFormat="false" ht="15.75" hidden="false" customHeight="false" outlineLevel="0" collapsed="false">
      <c r="B823" s="17"/>
    </row>
    <row r="824" customFormat="false" ht="15.75" hidden="false" customHeight="false" outlineLevel="0" collapsed="false">
      <c r="B824" s="17"/>
    </row>
    <row r="825" customFormat="false" ht="15.75" hidden="false" customHeight="false" outlineLevel="0" collapsed="false">
      <c r="B825" s="17"/>
    </row>
    <row r="826" customFormat="false" ht="15.75" hidden="false" customHeight="false" outlineLevel="0" collapsed="false">
      <c r="B826" s="17"/>
    </row>
    <row r="827" customFormat="false" ht="15.75" hidden="false" customHeight="false" outlineLevel="0" collapsed="false">
      <c r="B827" s="17"/>
    </row>
    <row r="828" customFormat="false" ht="15.75" hidden="false" customHeight="false" outlineLevel="0" collapsed="false">
      <c r="B828" s="17"/>
    </row>
    <row r="829" customFormat="false" ht="15.75" hidden="false" customHeight="false" outlineLevel="0" collapsed="false">
      <c r="B829" s="17"/>
    </row>
    <row r="830" customFormat="false" ht="15.75" hidden="false" customHeight="false" outlineLevel="0" collapsed="false">
      <c r="B830" s="17"/>
    </row>
    <row r="831" customFormat="false" ht="15.75" hidden="false" customHeight="false" outlineLevel="0" collapsed="false">
      <c r="B831" s="17"/>
    </row>
    <row r="832" customFormat="false" ht="15.75" hidden="false" customHeight="false" outlineLevel="0" collapsed="false">
      <c r="B832" s="17"/>
    </row>
    <row r="833" customFormat="false" ht="15.75" hidden="false" customHeight="false" outlineLevel="0" collapsed="false">
      <c r="B833" s="17"/>
    </row>
    <row r="834" customFormat="false" ht="15.75" hidden="false" customHeight="false" outlineLevel="0" collapsed="false">
      <c r="B834" s="17"/>
    </row>
    <row r="835" customFormat="false" ht="15.75" hidden="false" customHeight="false" outlineLevel="0" collapsed="false">
      <c r="B835" s="17"/>
    </row>
    <row r="836" customFormat="false" ht="15.75" hidden="false" customHeight="false" outlineLevel="0" collapsed="false">
      <c r="B836" s="17"/>
    </row>
    <row r="837" customFormat="false" ht="15.75" hidden="false" customHeight="false" outlineLevel="0" collapsed="false">
      <c r="B837" s="17"/>
    </row>
    <row r="838" customFormat="false" ht="15.75" hidden="false" customHeight="false" outlineLevel="0" collapsed="false">
      <c r="B838" s="17"/>
    </row>
    <row r="839" customFormat="false" ht="15.75" hidden="false" customHeight="false" outlineLevel="0" collapsed="false">
      <c r="B839" s="17"/>
    </row>
    <row r="840" customFormat="false" ht="15.75" hidden="false" customHeight="false" outlineLevel="0" collapsed="false">
      <c r="B840" s="17"/>
    </row>
    <row r="841" customFormat="false" ht="15.75" hidden="false" customHeight="false" outlineLevel="0" collapsed="false">
      <c r="B841" s="17"/>
    </row>
    <row r="842" customFormat="false" ht="15.75" hidden="false" customHeight="false" outlineLevel="0" collapsed="false">
      <c r="B842" s="17"/>
    </row>
    <row r="843" customFormat="false" ht="15.75" hidden="false" customHeight="false" outlineLevel="0" collapsed="false">
      <c r="B843" s="17"/>
    </row>
    <row r="844" customFormat="false" ht="15.75" hidden="false" customHeight="false" outlineLevel="0" collapsed="false">
      <c r="B844" s="17"/>
    </row>
    <row r="845" customFormat="false" ht="15.75" hidden="false" customHeight="false" outlineLevel="0" collapsed="false">
      <c r="B845" s="17"/>
    </row>
    <row r="846" customFormat="false" ht="15.75" hidden="false" customHeight="false" outlineLevel="0" collapsed="false">
      <c r="B846" s="17"/>
    </row>
    <row r="847" customFormat="false" ht="15.75" hidden="false" customHeight="false" outlineLevel="0" collapsed="false">
      <c r="B847" s="17"/>
    </row>
    <row r="848" customFormat="false" ht="15.75" hidden="false" customHeight="false" outlineLevel="0" collapsed="false">
      <c r="B848" s="17"/>
    </row>
    <row r="849" customFormat="false" ht="15.75" hidden="false" customHeight="false" outlineLevel="0" collapsed="false">
      <c r="B849" s="17"/>
    </row>
    <row r="850" customFormat="false" ht="15.75" hidden="false" customHeight="false" outlineLevel="0" collapsed="false">
      <c r="B850" s="17"/>
    </row>
    <row r="851" customFormat="false" ht="15.75" hidden="false" customHeight="false" outlineLevel="0" collapsed="false">
      <c r="B851" s="17"/>
    </row>
    <row r="852" customFormat="false" ht="15.75" hidden="false" customHeight="false" outlineLevel="0" collapsed="false">
      <c r="B852" s="17"/>
    </row>
    <row r="853" customFormat="false" ht="15.75" hidden="false" customHeight="false" outlineLevel="0" collapsed="false">
      <c r="B853" s="17"/>
    </row>
    <row r="854" customFormat="false" ht="15.75" hidden="false" customHeight="false" outlineLevel="0" collapsed="false">
      <c r="B854" s="17"/>
    </row>
    <row r="855" customFormat="false" ht="15.75" hidden="false" customHeight="false" outlineLevel="0" collapsed="false">
      <c r="B855" s="17"/>
    </row>
    <row r="856" customFormat="false" ht="15.75" hidden="false" customHeight="false" outlineLevel="0" collapsed="false">
      <c r="B856" s="17"/>
    </row>
    <row r="857" customFormat="false" ht="15.75" hidden="false" customHeight="false" outlineLevel="0" collapsed="false">
      <c r="B857" s="17"/>
    </row>
    <row r="858" customFormat="false" ht="15.75" hidden="false" customHeight="false" outlineLevel="0" collapsed="false">
      <c r="B858" s="17"/>
    </row>
    <row r="859" customFormat="false" ht="15.75" hidden="false" customHeight="false" outlineLevel="0" collapsed="false">
      <c r="B859" s="17"/>
    </row>
    <row r="860" customFormat="false" ht="15.75" hidden="false" customHeight="false" outlineLevel="0" collapsed="false">
      <c r="B860" s="17"/>
    </row>
    <row r="861" customFormat="false" ht="15.75" hidden="false" customHeight="false" outlineLevel="0" collapsed="false">
      <c r="B861" s="17"/>
    </row>
    <row r="862" customFormat="false" ht="15.75" hidden="false" customHeight="false" outlineLevel="0" collapsed="false">
      <c r="B862" s="17"/>
    </row>
    <row r="863" customFormat="false" ht="15.75" hidden="false" customHeight="false" outlineLevel="0" collapsed="false">
      <c r="B863" s="17"/>
    </row>
    <row r="864" customFormat="false" ht="15.75" hidden="false" customHeight="false" outlineLevel="0" collapsed="false">
      <c r="B864" s="17"/>
    </row>
    <row r="865" customFormat="false" ht="15.75" hidden="false" customHeight="false" outlineLevel="0" collapsed="false">
      <c r="B865" s="17"/>
    </row>
    <row r="866" customFormat="false" ht="15.75" hidden="false" customHeight="false" outlineLevel="0" collapsed="false">
      <c r="B866" s="17"/>
    </row>
    <row r="867" customFormat="false" ht="15.75" hidden="false" customHeight="false" outlineLevel="0" collapsed="false">
      <c r="B867" s="17"/>
    </row>
    <row r="868" customFormat="false" ht="15.75" hidden="false" customHeight="false" outlineLevel="0" collapsed="false">
      <c r="B868" s="17"/>
    </row>
    <row r="869" customFormat="false" ht="15.75" hidden="false" customHeight="false" outlineLevel="0" collapsed="false">
      <c r="B869" s="17"/>
    </row>
    <row r="870" customFormat="false" ht="15.75" hidden="false" customHeight="false" outlineLevel="0" collapsed="false">
      <c r="B870" s="17"/>
    </row>
    <row r="871" customFormat="false" ht="15.75" hidden="false" customHeight="false" outlineLevel="0" collapsed="false">
      <c r="B871" s="17"/>
    </row>
    <row r="872" customFormat="false" ht="15.75" hidden="false" customHeight="false" outlineLevel="0" collapsed="false">
      <c r="B872" s="17"/>
    </row>
    <row r="873" customFormat="false" ht="15.75" hidden="false" customHeight="false" outlineLevel="0" collapsed="false">
      <c r="B873" s="17"/>
    </row>
    <row r="874" customFormat="false" ht="15.75" hidden="false" customHeight="false" outlineLevel="0" collapsed="false">
      <c r="B874" s="17"/>
    </row>
    <row r="875" customFormat="false" ht="15.75" hidden="false" customHeight="false" outlineLevel="0" collapsed="false">
      <c r="B875" s="17"/>
    </row>
    <row r="876" customFormat="false" ht="15.75" hidden="false" customHeight="false" outlineLevel="0" collapsed="false">
      <c r="B876" s="17"/>
    </row>
    <row r="877" customFormat="false" ht="15.75" hidden="false" customHeight="false" outlineLevel="0" collapsed="false">
      <c r="B877" s="17"/>
    </row>
    <row r="878" customFormat="false" ht="15.75" hidden="false" customHeight="false" outlineLevel="0" collapsed="false">
      <c r="B878" s="17"/>
    </row>
    <row r="879" customFormat="false" ht="15.75" hidden="false" customHeight="false" outlineLevel="0" collapsed="false">
      <c r="B879" s="17"/>
    </row>
    <row r="880" customFormat="false" ht="15.75" hidden="false" customHeight="false" outlineLevel="0" collapsed="false">
      <c r="B880" s="17"/>
    </row>
    <row r="881" customFormat="false" ht="15.75" hidden="false" customHeight="false" outlineLevel="0" collapsed="false">
      <c r="B881" s="17"/>
    </row>
    <row r="882" customFormat="false" ht="15.75" hidden="false" customHeight="false" outlineLevel="0" collapsed="false">
      <c r="B882" s="17"/>
    </row>
    <row r="883" customFormat="false" ht="15.75" hidden="false" customHeight="false" outlineLevel="0" collapsed="false">
      <c r="B883" s="17"/>
    </row>
    <row r="884" customFormat="false" ht="15.75" hidden="false" customHeight="false" outlineLevel="0" collapsed="false">
      <c r="B884" s="17"/>
    </row>
    <row r="885" customFormat="false" ht="15.75" hidden="false" customHeight="false" outlineLevel="0" collapsed="false">
      <c r="B885" s="17"/>
    </row>
    <row r="886" customFormat="false" ht="15.75" hidden="false" customHeight="false" outlineLevel="0" collapsed="false">
      <c r="B886" s="17"/>
    </row>
    <row r="887" customFormat="false" ht="15.75" hidden="false" customHeight="false" outlineLevel="0" collapsed="false">
      <c r="B887" s="17"/>
    </row>
    <row r="888" customFormat="false" ht="15.75" hidden="false" customHeight="false" outlineLevel="0" collapsed="false">
      <c r="B888" s="17"/>
    </row>
    <row r="889" customFormat="false" ht="15.75" hidden="false" customHeight="false" outlineLevel="0" collapsed="false">
      <c r="B889" s="17"/>
    </row>
    <row r="890" customFormat="false" ht="15.75" hidden="false" customHeight="false" outlineLevel="0" collapsed="false">
      <c r="B890" s="17"/>
    </row>
    <row r="891" customFormat="false" ht="15.75" hidden="false" customHeight="false" outlineLevel="0" collapsed="false">
      <c r="B891" s="17"/>
    </row>
    <row r="892" customFormat="false" ht="15.75" hidden="false" customHeight="false" outlineLevel="0" collapsed="false">
      <c r="B892" s="17"/>
    </row>
    <row r="893" customFormat="false" ht="15.75" hidden="false" customHeight="false" outlineLevel="0" collapsed="false">
      <c r="B893" s="17"/>
    </row>
    <row r="894" customFormat="false" ht="15.75" hidden="false" customHeight="false" outlineLevel="0" collapsed="false">
      <c r="B894" s="17"/>
    </row>
    <row r="895" customFormat="false" ht="15.75" hidden="false" customHeight="false" outlineLevel="0" collapsed="false">
      <c r="B895" s="17"/>
    </row>
    <row r="896" customFormat="false" ht="15.75" hidden="false" customHeight="false" outlineLevel="0" collapsed="false">
      <c r="B896" s="17"/>
    </row>
    <row r="897" customFormat="false" ht="15.75" hidden="false" customHeight="false" outlineLevel="0" collapsed="false">
      <c r="B897" s="17"/>
    </row>
    <row r="898" customFormat="false" ht="15.75" hidden="false" customHeight="false" outlineLevel="0" collapsed="false">
      <c r="B898" s="17"/>
    </row>
    <row r="899" customFormat="false" ht="15.75" hidden="false" customHeight="false" outlineLevel="0" collapsed="false">
      <c r="B899" s="17"/>
    </row>
    <row r="900" customFormat="false" ht="15.75" hidden="false" customHeight="false" outlineLevel="0" collapsed="false">
      <c r="B900" s="17"/>
    </row>
    <row r="901" customFormat="false" ht="15.75" hidden="false" customHeight="false" outlineLevel="0" collapsed="false">
      <c r="B901" s="17"/>
    </row>
    <row r="902" customFormat="false" ht="15.75" hidden="false" customHeight="false" outlineLevel="0" collapsed="false">
      <c r="B902" s="17"/>
    </row>
    <row r="903" customFormat="false" ht="15.75" hidden="false" customHeight="false" outlineLevel="0" collapsed="false">
      <c r="B903" s="17"/>
    </row>
    <row r="904" customFormat="false" ht="15.75" hidden="false" customHeight="false" outlineLevel="0" collapsed="false">
      <c r="B904" s="17"/>
    </row>
    <row r="905" customFormat="false" ht="15.75" hidden="false" customHeight="false" outlineLevel="0" collapsed="false">
      <c r="B905" s="17"/>
    </row>
    <row r="906" customFormat="false" ht="15.75" hidden="false" customHeight="false" outlineLevel="0" collapsed="false">
      <c r="B906" s="17"/>
    </row>
    <row r="907" customFormat="false" ht="15.75" hidden="false" customHeight="false" outlineLevel="0" collapsed="false">
      <c r="B907" s="17"/>
    </row>
    <row r="908" customFormat="false" ht="15.75" hidden="false" customHeight="false" outlineLevel="0" collapsed="false">
      <c r="B908" s="17"/>
    </row>
    <row r="909" customFormat="false" ht="15.75" hidden="false" customHeight="false" outlineLevel="0" collapsed="false">
      <c r="B909" s="17"/>
    </row>
    <row r="910" customFormat="false" ht="15.75" hidden="false" customHeight="false" outlineLevel="0" collapsed="false">
      <c r="B910" s="17"/>
    </row>
    <row r="911" customFormat="false" ht="15.75" hidden="false" customHeight="false" outlineLevel="0" collapsed="false">
      <c r="B911" s="17"/>
    </row>
    <row r="912" customFormat="false" ht="15.75" hidden="false" customHeight="false" outlineLevel="0" collapsed="false">
      <c r="B912" s="17"/>
    </row>
    <row r="913" customFormat="false" ht="15.75" hidden="false" customHeight="false" outlineLevel="0" collapsed="false">
      <c r="B913" s="17"/>
    </row>
    <row r="914" customFormat="false" ht="15.75" hidden="false" customHeight="false" outlineLevel="0" collapsed="false">
      <c r="B914" s="17"/>
    </row>
    <row r="915" customFormat="false" ht="15.75" hidden="false" customHeight="false" outlineLevel="0" collapsed="false">
      <c r="B915" s="17"/>
    </row>
    <row r="916" customFormat="false" ht="15.75" hidden="false" customHeight="false" outlineLevel="0" collapsed="false">
      <c r="B916" s="17"/>
    </row>
    <row r="917" customFormat="false" ht="15.75" hidden="false" customHeight="false" outlineLevel="0" collapsed="false">
      <c r="B917" s="17"/>
    </row>
    <row r="918" customFormat="false" ht="15.75" hidden="false" customHeight="false" outlineLevel="0" collapsed="false">
      <c r="B918" s="17"/>
    </row>
    <row r="919" customFormat="false" ht="15.75" hidden="false" customHeight="false" outlineLevel="0" collapsed="false">
      <c r="B919" s="17"/>
    </row>
    <row r="920" customFormat="false" ht="15.75" hidden="false" customHeight="false" outlineLevel="0" collapsed="false">
      <c r="B920" s="17"/>
    </row>
    <row r="921" customFormat="false" ht="15.75" hidden="false" customHeight="false" outlineLevel="0" collapsed="false">
      <c r="B921" s="17"/>
    </row>
    <row r="922" customFormat="false" ht="15.75" hidden="false" customHeight="false" outlineLevel="0" collapsed="false">
      <c r="B922" s="17"/>
    </row>
    <row r="923" customFormat="false" ht="15.75" hidden="false" customHeight="false" outlineLevel="0" collapsed="false">
      <c r="B923" s="17"/>
    </row>
    <row r="924" customFormat="false" ht="15.75" hidden="false" customHeight="false" outlineLevel="0" collapsed="false">
      <c r="B924" s="17"/>
    </row>
    <row r="925" customFormat="false" ht="15.75" hidden="false" customHeight="false" outlineLevel="0" collapsed="false">
      <c r="B925" s="17"/>
    </row>
    <row r="926" customFormat="false" ht="15.75" hidden="false" customHeight="false" outlineLevel="0" collapsed="false">
      <c r="B926" s="17"/>
    </row>
    <row r="927" customFormat="false" ht="15.75" hidden="false" customHeight="false" outlineLevel="0" collapsed="false">
      <c r="B927" s="17"/>
    </row>
    <row r="928" customFormat="false" ht="15.75" hidden="false" customHeight="false" outlineLevel="0" collapsed="false">
      <c r="B928" s="17"/>
    </row>
    <row r="929" customFormat="false" ht="15.75" hidden="false" customHeight="false" outlineLevel="0" collapsed="false">
      <c r="B929" s="17"/>
    </row>
    <row r="930" customFormat="false" ht="15.75" hidden="false" customHeight="false" outlineLevel="0" collapsed="false">
      <c r="B930" s="17"/>
    </row>
    <row r="931" customFormat="false" ht="15.75" hidden="false" customHeight="false" outlineLevel="0" collapsed="false">
      <c r="B931" s="17"/>
    </row>
    <row r="932" customFormat="false" ht="15.75" hidden="false" customHeight="false" outlineLevel="0" collapsed="false">
      <c r="B932" s="17"/>
    </row>
    <row r="933" customFormat="false" ht="15.75" hidden="false" customHeight="false" outlineLevel="0" collapsed="false">
      <c r="B933" s="17"/>
    </row>
    <row r="934" customFormat="false" ht="15.75" hidden="false" customHeight="false" outlineLevel="0" collapsed="false">
      <c r="B934" s="17"/>
    </row>
    <row r="935" customFormat="false" ht="15.75" hidden="false" customHeight="false" outlineLevel="0" collapsed="false">
      <c r="B935" s="17"/>
    </row>
    <row r="936" customFormat="false" ht="15.75" hidden="false" customHeight="false" outlineLevel="0" collapsed="false">
      <c r="B936" s="17"/>
    </row>
    <row r="937" customFormat="false" ht="15.75" hidden="false" customHeight="false" outlineLevel="0" collapsed="false">
      <c r="B937" s="17"/>
    </row>
    <row r="938" customFormat="false" ht="15.75" hidden="false" customHeight="false" outlineLevel="0" collapsed="false">
      <c r="B938" s="17"/>
    </row>
    <row r="939" customFormat="false" ht="15.75" hidden="false" customHeight="false" outlineLevel="0" collapsed="false">
      <c r="B939" s="17"/>
    </row>
    <row r="940" customFormat="false" ht="15.75" hidden="false" customHeight="false" outlineLevel="0" collapsed="false">
      <c r="B940" s="17"/>
    </row>
    <row r="941" customFormat="false" ht="15.75" hidden="false" customHeight="false" outlineLevel="0" collapsed="false">
      <c r="B941" s="17"/>
    </row>
    <row r="942" customFormat="false" ht="15.75" hidden="false" customHeight="false" outlineLevel="0" collapsed="false">
      <c r="B942" s="17"/>
    </row>
    <row r="943" customFormat="false" ht="15.75" hidden="false" customHeight="false" outlineLevel="0" collapsed="false">
      <c r="B943" s="17"/>
    </row>
    <row r="944" customFormat="false" ht="15.75" hidden="false" customHeight="false" outlineLevel="0" collapsed="false">
      <c r="B944" s="17"/>
    </row>
    <row r="945" customFormat="false" ht="15.75" hidden="false" customHeight="false" outlineLevel="0" collapsed="false">
      <c r="B945" s="17"/>
    </row>
    <row r="946" customFormat="false" ht="15.75" hidden="false" customHeight="false" outlineLevel="0" collapsed="false">
      <c r="B946" s="17"/>
    </row>
    <row r="947" customFormat="false" ht="15.75" hidden="false" customHeight="false" outlineLevel="0" collapsed="false">
      <c r="B947" s="17"/>
    </row>
    <row r="948" customFormat="false" ht="15.75" hidden="false" customHeight="false" outlineLevel="0" collapsed="false">
      <c r="B948" s="17"/>
    </row>
    <row r="949" customFormat="false" ht="15.75" hidden="false" customHeight="false" outlineLevel="0" collapsed="false">
      <c r="B949" s="17"/>
    </row>
    <row r="950" customFormat="false" ht="15.75" hidden="false" customHeight="false" outlineLevel="0" collapsed="false">
      <c r="B950" s="17"/>
    </row>
    <row r="951" customFormat="false" ht="15.75" hidden="false" customHeight="false" outlineLevel="0" collapsed="false">
      <c r="B951" s="17"/>
    </row>
    <row r="952" customFormat="false" ht="15.75" hidden="false" customHeight="false" outlineLevel="0" collapsed="false">
      <c r="B952" s="17"/>
    </row>
    <row r="953" customFormat="false" ht="15.75" hidden="false" customHeight="false" outlineLevel="0" collapsed="false">
      <c r="B953" s="17"/>
    </row>
    <row r="954" customFormat="false" ht="15.75" hidden="false" customHeight="false" outlineLevel="0" collapsed="false">
      <c r="B954" s="17"/>
    </row>
    <row r="955" customFormat="false" ht="15.75" hidden="false" customHeight="false" outlineLevel="0" collapsed="false">
      <c r="B955" s="17"/>
    </row>
    <row r="956" customFormat="false" ht="15.75" hidden="false" customHeight="false" outlineLevel="0" collapsed="false">
      <c r="B956" s="17"/>
    </row>
    <row r="957" customFormat="false" ht="15.75" hidden="false" customHeight="false" outlineLevel="0" collapsed="false">
      <c r="B957" s="17"/>
    </row>
    <row r="958" customFormat="false" ht="15.75" hidden="false" customHeight="false" outlineLevel="0" collapsed="false">
      <c r="B958" s="17"/>
    </row>
    <row r="959" customFormat="false" ht="15.75" hidden="false" customHeight="false" outlineLevel="0" collapsed="false">
      <c r="B959" s="17"/>
    </row>
    <row r="960" customFormat="false" ht="15.75" hidden="false" customHeight="false" outlineLevel="0" collapsed="false">
      <c r="B960" s="17"/>
    </row>
    <row r="961" customFormat="false" ht="15.75" hidden="false" customHeight="false" outlineLevel="0" collapsed="false">
      <c r="B961" s="17"/>
    </row>
    <row r="962" customFormat="false" ht="15.75" hidden="false" customHeight="false" outlineLevel="0" collapsed="false">
      <c r="B962" s="17"/>
    </row>
    <row r="963" customFormat="false" ht="15.75" hidden="false" customHeight="false" outlineLevel="0" collapsed="false">
      <c r="B963" s="17"/>
    </row>
    <row r="964" customFormat="false" ht="15.75" hidden="false" customHeight="false" outlineLevel="0" collapsed="false">
      <c r="B964" s="17"/>
    </row>
    <row r="965" customFormat="false" ht="15.75" hidden="false" customHeight="false" outlineLevel="0" collapsed="false">
      <c r="B965" s="17"/>
    </row>
    <row r="966" customFormat="false" ht="15.75" hidden="false" customHeight="false" outlineLevel="0" collapsed="false">
      <c r="B966" s="17"/>
    </row>
    <row r="967" customFormat="false" ht="15.75" hidden="false" customHeight="false" outlineLevel="0" collapsed="false">
      <c r="B967" s="17"/>
    </row>
    <row r="968" customFormat="false" ht="15.75" hidden="false" customHeight="false" outlineLevel="0" collapsed="false">
      <c r="B968" s="17"/>
    </row>
    <row r="969" customFormat="false" ht="15.75" hidden="false" customHeight="false" outlineLevel="0" collapsed="false">
      <c r="B969" s="17"/>
    </row>
    <row r="970" customFormat="false" ht="15.75" hidden="false" customHeight="false" outlineLevel="0" collapsed="false">
      <c r="B970" s="17"/>
    </row>
    <row r="971" customFormat="false" ht="15.75" hidden="false" customHeight="false" outlineLevel="0" collapsed="false">
      <c r="B971" s="17"/>
    </row>
    <row r="972" customFormat="false" ht="15.75" hidden="false" customHeight="false" outlineLevel="0" collapsed="false">
      <c r="B972" s="17"/>
    </row>
    <row r="973" customFormat="false" ht="15.75" hidden="false" customHeight="false" outlineLevel="0" collapsed="false">
      <c r="B973" s="17"/>
    </row>
    <row r="974" customFormat="false" ht="15.75" hidden="false" customHeight="false" outlineLevel="0" collapsed="false">
      <c r="B974" s="17"/>
    </row>
    <row r="975" customFormat="false" ht="15.75" hidden="false" customHeight="false" outlineLevel="0" collapsed="false">
      <c r="B975" s="17"/>
    </row>
    <row r="976" customFormat="false" ht="15.75" hidden="false" customHeight="false" outlineLevel="0" collapsed="false">
      <c r="B976" s="17"/>
    </row>
    <row r="977" customFormat="false" ht="15.75" hidden="false" customHeight="false" outlineLevel="0" collapsed="false">
      <c r="B977" s="17"/>
    </row>
    <row r="978" customFormat="false" ht="15.75" hidden="false" customHeight="false" outlineLevel="0" collapsed="false">
      <c r="B978" s="17"/>
    </row>
    <row r="979" customFormat="false" ht="15.75" hidden="false" customHeight="false" outlineLevel="0" collapsed="false">
      <c r="B979" s="17"/>
    </row>
    <row r="980" customFormat="false" ht="15.75" hidden="false" customHeight="false" outlineLevel="0" collapsed="false">
      <c r="B980" s="17"/>
    </row>
    <row r="981" customFormat="false" ht="15.75" hidden="false" customHeight="false" outlineLevel="0" collapsed="false">
      <c r="B981" s="17"/>
    </row>
    <row r="982" customFormat="false" ht="15.75" hidden="false" customHeight="false" outlineLevel="0" collapsed="false">
      <c r="B982" s="17"/>
    </row>
    <row r="983" customFormat="false" ht="15.75" hidden="false" customHeight="false" outlineLevel="0" collapsed="false">
      <c r="B983" s="17"/>
    </row>
    <row r="984" customFormat="false" ht="15.75" hidden="false" customHeight="false" outlineLevel="0" collapsed="false">
      <c r="B984" s="17"/>
    </row>
    <row r="985" customFormat="false" ht="15.75" hidden="false" customHeight="false" outlineLevel="0" collapsed="false">
      <c r="B985" s="17"/>
    </row>
    <row r="986" customFormat="false" ht="15.75" hidden="false" customHeight="false" outlineLevel="0" collapsed="false">
      <c r="B986" s="17"/>
    </row>
    <row r="987" customFormat="false" ht="15.75" hidden="false" customHeight="false" outlineLevel="0" collapsed="false">
      <c r="B987" s="17"/>
    </row>
    <row r="988" customFormat="false" ht="15.75" hidden="false" customHeight="false" outlineLevel="0" collapsed="false">
      <c r="B988" s="17"/>
    </row>
    <row r="989" customFormat="false" ht="15.75" hidden="false" customHeight="false" outlineLevel="0" collapsed="false">
      <c r="B989" s="17"/>
    </row>
    <row r="990" customFormat="false" ht="15.75" hidden="false" customHeight="false" outlineLevel="0" collapsed="false">
      <c r="B990" s="17"/>
    </row>
    <row r="991" customFormat="false" ht="15.75" hidden="false" customHeight="false" outlineLevel="0" collapsed="false">
      <c r="B991" s="17"/>
    </row>
    <row r="992" customFormat="false" ht="15.75" hidden="false" customHeight="false" outlineLevel="0" collapsed="false">
      <c r="B992" s="17"/>
    </row>
    <row r="993" customFormat="false" ht="15.75" hidden="false" customHeight="false" outlineLevel="0" collapsed="false">
      <c r="B993" s="17"/>
    </row>
    <row r="994" customFormat="false" ht="15.75" hidden="false" customHeight="false" outlineLevel="0" collapsed="false">
      <c r="B994" s="17"/>
    </row>
    <row r="995" customFormat="false" ht="15.75" hidden="false" customHeight="false" outlineLevel="0" collapsed="false">
      <c r="B995" s="17"/>
    </row>
    <row r="996" customFormat="false" ht="15.75" hidden="false" customHeight="false" outlineLevel="0" collapsed="false">
      <c r="B996" s="17"/>
    </row>
    <row r="997" customFormat="false" ht="15.75" hidden="false" customHeight="false" outlineLevel="0" collapsed="false">
      <c r="B997" s="17"/>
    </row>
    <row r="998" customFormat="false" ht="15.75" hidden="false" customHeight="false" outlineLevel="0" collapsed="false">
      <c r="B998" s="17"/>
    </row>
    <row r="999" customFormat="false" ht="15.75" hidden="false" customHeight="false" outlineLevel="0" collapsed="false">
      <c r="B999" s="17"/>
    </row>
    <row r="1000" customFormat="false" ht="15.75" hidden="false" customHeight="false" outlineLevel="0" collapsed="false">
      <c r="B1000" s="1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1.25"/>
  </cols>
  <sheetData>
    <row r="1" customFormat="false" ht="15.75" hidden="false" customHeight="false" outlineLevel="0" collapsed="false">
      <c r="A1" s="8" t="s">
        <v>0</v>
      </c>
      <c r="B1" s="8" t="s">
        <v>1826</v>
      </c>
      <c r="C1" s="8" t="s">
        <v>1827</v>
      </c>
    </row>
    <row r="2" customFormat="false" ht="15.75" hidden="false" customHeight="false" outlineLevel="0" collapsed="false">
      <c r="A2" s="8" t="s">
        <v>1828</v>
      </c>
      <c r="B2" s="16" t="n">
        <v>44593</v>
      </c>
      <c r="C2" s="18" t="b">
        <f aca="false">FALSE()</f>
        <v>0</v>
      </c>
    </row>
    <row r="3" customFormat="false" ht="15.75" hidden="false" customHeight="false" outlineLevel="0" collapsed="false">
      <c r="A3" s="8" t="s">
        <v>1829</v>
      </c>
      <c r="B3" s="16" t="n">
        <v>44505</v>
      </c>
      <c r="C3" s="18" t="b">
        <f aca="false">FALSE()</f>
        <v>0</v>
      </c>
    </row>
    <row r="4" customFormat="false" ht="15.75" hidden="false" customHeight="false" outlineLevel="0" collapsed="false">
      <c r="A4" s="8" t="s">
        <v>1830</v>
      </c>
      <c r="B4" s="16" t="n">
        <v>44505</v>
      </c>
      <c r="C4" s="18" t="b">
        <f aca="false">TRUE()</f>
        <v>1</v>
      </c>
    </row>
    <row r="5" customFormat="false" ht="15.75" hidden="false" customHeight="false" outlineLevel="0" collapsed="false">
      <c r="A5" s="8" t="s">
        <v>1831</v>
      </c>
      <c r="B5" s="16" t="n">
        <v>44505</v>
      </c>
      <c r="C5" s="18" t="b">
        <f aca="false">TRUE()</f>
        <v>1</v>
      </c>
    </row>
    <row r="6" customFormat="false" ht="15.75" hidden="false" customHeight="false" outlineLevel="0" collapsed="false">
      <c r="A6" s="8" t="s">
        <v>1832</v>
      </c>
      <c r="B6" s="16" t="n">
        <v>44505</v>
      </c>
      <c r="C6" s="18" t="b">
        <f aca="false">TRUE()</f>
        <v>1</v>
      </c>
    </row>
    <row r="7" customFormat="false" ht="15.75" hidden="false" customHeight="false" outlineLevel="0" collapsed="false">
      <c r="A7" s="8" t="s">
        <v>872</v>
      </c>
      <c r="B7" s="16" t="n">
        <v>44761</v>
      </c>
      <c r="C7" s="18" t="b">
        <f aca="false">TRUE()</f>
        <v>1</v>
      </c>
    </row>
    <row r="8" customFormat="false" ht="15.75" hidden="false" customHeight="false" outlineLevel="0" collapsed="false">
      <c r="A8" s="8" t="s">
        <v>1833</v>
      </c>
      <c r="B8" s="16" t="n">
        <v>44957</v>
      </c>
      <c r="C8" s="18" t="b">
        <f aca="false">TRUE()</f>
        <v>1</v>
      </c>
    </row>
    <row r="9" customFormat="false" ht="15.75" hidden="false" customHeight="false" outlineLevel="0" collapsed="false">
      <c r="A9" s="8" t="s">
        <v>1834</v>
      </c>
      <c r="B9" s="16" t="n">
        <v>45014</v>
      </c>
      <c r="C9" s="18" t="b">
        <f aca="false">TRUE()</f>
        <v>1</v>
      </c>
    </row>
    <row r="10" customFormat="false" ht="15.75" hidden="false" customHeight="false" outlineLevel="0" collapsed="false">
      <c r="A10" s="8" t="s">
        <v>1835</v>
      </c>
      <c r="B10" s="16" t="n">
        <v>45097</v>
      </c>
      <c r="C10" s="18" t="b">
        <f aca="false">TRUE()</f>
        <v>1</v>
      </c>
    </row>
    <row r="11" customFormat="false" ht="15.75" hidden="false" customHeight="false" outlineLevel="0" collapsed="false">
      <c r="A11" s="8" t="s">
        <v>1836</v>
      </c>
      <c r="B11" s="16" t="n">
        <v>45153</v>
      </c>
      <c r="C11" s="18" t="b">
        <f aca="false">TRUE()</f>
        <v>1</v>
      </c>
    </row>
    <row r="12" customFormat="false" ht="15.75" hidden="false" customHeight="false" outlineLevel="0" collapsed="false">
      <c r="A12" s="8" t="s">
        <v>1837</v>
      </c>
      <c r="B12" s="16" t="n">
        <v>45204</v>
      </c>
      <c r="C12" s="18" t="b">
        <f aca="false">TRUE()</f>
        <v>1</v>
      </c>
    </row>
    <row r="13" customFormat="false" ht="15.75" hidden="false" customHeight="false" outlineLevel="0" collapsed="false">
      <c r="A13" s="8" t="s">
        <v>1838</v>
      </c>
      <c r="B13" s="16" t="n">
        <v>45209</v>
      </c>
      <c r="C13" s="18" t="b">
        <f aca="false">TRUE()</f>
        <v>1</v>
      </c>
    </row>
    <row r="14" customFormat="false" ht="15.75" hidden="false" customHeight="false" outlineLevel="0" collapsed="false">
      <c r="A14" s="8" t="s">
        <v>1839</v>
      </c>
      <c r="B14" s="16" t="n">
        <v>45237</v>
      </c>
      <c r="C14" s="18" t="b">
        <f aca="false">TRUE()</f>
        <v>1</v>
      </c>
    </row>
    <row r="15" customFormat="false" ht="15.75" hidden="false" customHeight="false" outlineLevel="0" collapsed="false">
      <c r="A15" s="8" t="s">
        <v>1840</v>
      </c>
      <c r="B15" s="16" t="n">
        <v>45265</v>
      </c>
      <c r="C15" s="18" t="b">
        <f aca="false">TRUE()</f>
        <v>1</v>
      </c>
    </row>
    <row r="16" customFormat="false" ht="15.75" hidden="false" customHeight="false" outlineLevel="0" collapsed="false">
      <c r="A16" s="8" t="s">
        <v>1841</v>
      </c>
      <c r="B16" s="16" t="n">
        <v>44505</v>
      </c>
      <c r="C16" s="18" t="b">
        <f aca="false">TRUE()</f>
        <v>1</v>
      </c>
    </row>
    <row r="17" customFormat="false" ht="15.75" hidden="false" customHeight="false" outlineLevel="0" collapsed="false">
      <c r="A17" s="8" t="s">
        <v>1842</v>
      </c>
      <c r="B17" s="16" t="n">
        <v>45321</v>
      </c>
      <c r="C17" s="18" t="b">
        <f aca="false">TRUE()</f>
        <v>1</v>
      </c>
    </row>
    <row r="18" customFormat="false" ht="15.75" hidden="false" customHeight="false" outlineLevel="0" collapsed="false">
      <c r="A18" s="8" t="s">
        <v>1843</v>
      </c>
      <c r="B18" s="16" t="n">
        <v>45349</v>
      </c>
      <c r="C18" s="18" t="b">
        <f aca="false">TRUE()</f>
        <v>1</v>
      </c>
    </row>
    <row r="19" customFormat="false" ht="15.75" hidden="false" customHeight="false" outlineLevel="0" collapsed="false">
      <c r="A19" s="8" t="s">
        <v>1844</v>
      </c>
      <c r="B19" s="16" t="n">
        <v>45377</v>
      </c>
      <c r="C19" s="19" t="b">
        <f aca="false">FALSE()</f>
        <v>0</v>
      </c>
    </row>
    <row r="20" customFormat="false" ht="15.75" hidden="false" customHeight="false" outlineLevel="0" collapsed="false">
      <c r="A20" s="8" t="s">
        <v>1845</v>
      </c>
      <c r="B20" s="16" t="n">
        <v>45405</v>
      </c>
      <c r="C20" s="19" t="b">
        <f aca="false">FALSE()</f>
        <v>0</v>
      </c>
    </row>
    <row r="21" customFormat="false" ht="15.75" hidden="false" customHeight="false" outlineLevel="0" collapsed="false">
      <c r="B21" s="17"/>
      <c r="C21" s="19" t="b">
        <f aca="false">FALSE()</f>
        <v>0</v>
      </c>
    </row>
    <row r="22" customFormat="false" ht="15.75" hidden="false" customHeight="false" outlineLevel="0" collapsed="false">
      <c r="B22" s="17"/>
      <c r="C22" s="19" t="b">
        <f aca="false">FALSE()</f>
        <v>0</v>
      </c>
    </row>
    <row r="23" customFormat="false" ht="15.75" hidden="false" customHeight="false" outlineLevel="0" collapsed="false">
      <c r="B23" s="17"/>
      <c r="C23" s="19" t="b">
        <f aca="false">FALSE()</f>
        <v>0</v>
      </c>
    </row>
    <row r="24" customFormat="false" ht="15.75" hidden="false" customHeight="false" outlineLevel="0" collapsed="false">
      <c r="B24" s="17"/>
      <c r="C24" s="19" t="b">
        <f aca="false">FALSE()</f>
        <v>0</v>
      </c>
    </row>
    <row r="25" customFormat="false" ht="15.75" hidden="false" customHeight="false" outlineLevel="0" collapsed="false">
      <c r="B25" s="17"/>
      <c r="C25" s="19" t="b">
        <f aca="false">FALSE()</f>
        <v>0</v>
      </c>
    </row>
    <row r="26" customFormat="false" ht="15.75" hidden="false" customHeight="false" outlineLevel="0" collapsed="false">
      <c r="B26" s="17"/>
      <c r="C26" s="19" t="b">
        <f aca="false">FALSE()</f>
        <v>0</v>
      </c>
    </row>
    <row r="27" customFormat="false" ht="15.75" hidden="false" customHeight="false" outlineLevel="0" collapsed="false">
      <c r="B27" s="17"/>
      <c r="C27" s="19" t="b">
        <f aca="false">FALSE()</f>
        <v>0</v>
      </c>
    </row>
    <row r="28" customFormat="false" ht="15.75" hidden="false" customHeight="false" outlineLevel="0" collapsed="false">
      <c r="B28" s="17"/>
      <c r="C28" s="19" t="b">
        <f aca="false">FALSE()</f>
        <v>0</v>
      </c>
    </row>
    <row r="29" customFormat="false" ht="15.75" hidden="false" customHeight="false" outlineLevel="0" collapsed="false">
      <c r="B29" s="17"/>
      <c r="C29" s="19" t="b">
        <f aca="false">FALSE()</f>
        <v>0</v>
      </c>
    </row>
    <row r="30" customFormat="false" ht="15.75" hidden="false" customHeight="false" outlineLevel="0" collapsed="false">
      <c r="B30" s="17"/>
      <c r="C30" s="19" t="b">
        <f aca="false">FALSE()</f>
        <v>0</v>
      </c>
    </row>
    <row r="31" customFormat="false" ht="15.75" hidden="false" customHeight="false" outlineLevel="0" collapsed="false">
      <c r="B31" s="17"/>
      <c r="C31" s="19" t="b">
        <f aca="false">FALSE()</f>
        <v>0</v>
      </c>
    </row>
    <row r="32" customFormat="false" ht="15.75" hidden="false" customHeight="false" outlineLevel="0" collapsed="false">
      <c r="B32" s="17"/>
      <c r="C32" s="19" t="b">
        <f aca="false">FALSE()</f>
        <v>0</v>
      </c>
    </row>
    <row r="33" customFormat="false" ht="15.75" hidden="false" customHeight="false" outlineLevel="0" collapsed="false">
      <c r="B33" s="17"/>
      <c r="C33" s="19" t="b">
        <f aca="false">FALSE()</f>
        <v>0</v>
      </c>
    </row>
    <row r="34" customFormat="false" ht="15.75" hidden="false" customHeight="false" outlineLevel="0" collapsed="false">
      <c r="B34" s="17"/>
      <c r="C34" s="19" t="b">
        <f aca="false">FALSE()</f>
        <v>0</v>
      </c>
    </row>
    <row r="35" customFormat="false" ht="15.75" hidden="false" customHeight="false" outlineLevel="0" collapsed="false">
      <c r="B35" s="17"/>
      <c r="C35" s="19" t="b">
        <f aca="false">FALSE()</f>
        <v>0</v>
      </c>
    </row>
    <row r="36" customFormat="false" ht="15.75" hidden="false" customHeight="false" outlineLevel="0" collapsed="false">
      <c r="B36" s="17"/>
      <c r="C36" s="19" t="b">
        <f aca="false">FALSE()</f>
        <v>0</v>
      </c>
    </row>
    <row r="37" customFormat="false" ht="15.75" hidden="false" customHeight="false" outlineLevel="0" collapsed="false">
      <c r="B37" s="17"/>
      <c r="C37" s="19" t="b">
        <f aca="false">FALSE()</f>
        <v>0</v>
      </c>
    </row>
    <row r="38" customFormat="false" ht="15.75" hidden="false" customHeight="false" outlineLevel="0" collapsed="false">
      <c r="B38" s="17"/>
      <c r="C38" s="19" t="b">
        <f aca="false">FALSE()</f>
        <v>0</v>
      </c>
    </row>
    <row r="39" customFormat="false" ht="15.75" hidden="false" customHeight="false" outlineLevel="0" collapsed="false">
      <c r="B39" s="17"/>
      <c r="C39" s="19" t="b">
        <f aca="false">FALSE()</f>
        <v>0</v>
      </c>
    </row>
    <row r="40" customFormat="false" ht="15.75" hidden="false" customHeight="false" outlineLevel="0" collapsed="false">
      <c r="B40" s="17"/>
      <c r="C40" s="19" t="b">
        <f aca="false">FALSE()</f>
        <v>0</v>
      </c>
    </row>
    <row r="41" customFormat="false" ht="15.75" hidden="false" customHeight="false" outlineLevel="0" collapsed="false">
      <c r="B41" s="17"/>
      <c r="C41" s="19" t="b">
        <f aca="false">FALSE()</f>
        <v>0</v>
      </c>
    </row>
    <row r="42" customFormat="false" ht="15.75" hidden="false" customHeight="false" outlineLevel="0" collapsed="false">
      <c r="B42" s="17"/>
      <c r="C42" s="19" t="b">
        <f aca="false">FALSE()</f>
        <v>0</v>
      </c>
    </row>
    <row r="43" customFormat="false" ht="15.75" hidden="false" customHeight="false" outlineLevel="0" collapsed="false">
      <c r="B43" s="17"/>
      <c r="C43" s="19" t="b">
        <f aca="false">FALSE()</f>
        <v>0</v>
      </c>
    </row>
    <row r="44" customFormat="false" ht="15.75" hidden="false" customHeight="false" outlineLevel="0" collapsed="false">
      <c r="B44" s="17"/>
      <c r="C44" s="19" t="b">
        <f aca="false">FALSE()</f>
        <v>0</v>
      </c>
    </row>
    <row r="45" customFormat="false" ht="15.75" hidden="false" customHeight="false" outlineLevel="0" collapsed="false">
      <c r="B45" s="17"/>
      <c r="C45" s="19" t="b">
        <f aca="false">FALSE()</f>
        <v>0</v>
      </c>
    </row>
    <row r="46" customFormat="false" ht="15.75" hidden="false" customHeight="false" outlineLevel="0" collapsed="false">
      <c r="B46" s="17"/>
      <c r="C46" s="19" t="b">
        <f aca="false">FALSE()</f>
        <v>0</v>
      </c>
    </row>
    <row r="47" customFormat="false" ht="15.75" hidden="false" customHeight="false" outlineLevel="0" collapsed="false">
      <c r="B47" s="17"/>
      <c r="C47" s="19" t="b">
        <f aca="false">FALSE()</f>
        <v>0</v>
      </c>
    </row>
    <row r="48" customFormat="false" ht="15.75" hidden="false" customHeight="false" outlineLevel="0" collapsed="false">
      <c r="B48" s="17"/>
      <c r="C48" s="19" t="b">
        <f aca="false">FALSE()</f>
        <v>0</v>
      </c>
    </row>
    <row r="49" customFormat="false" ht="15.75" hidden="false" customHeight="false" outlineLevel="0" collapsed="false">
      <c r="B49" s="17"/>
      <c r="C49" s="19" t="b">
        <f aca="false">FALSE()</f>
        <v>0</v>
      </c>
    </row>
    <row r="50" customFormat="false" ht="15.75" hidden="false" customHeight="false" outlineLevel="0" collapsed="false">
      <c r="B50" s="17"/>
      <c r="C50" s="19" t="b">
        <f aca="false">FALSE()</f>
        <v>0</v>
      </c>
    </row>
    <row r="51" customFormat="false" ht="15.75" hidden="false" customHeight="false" outlineLevel="0" collapsed="false">
      <c r="B51" s="17"/>
      <c r="C51" s="19" t="b">
        <f aca="false">FALSE()</f>
        <v>0</v>
      </c>
    </row>
    <row r="52" customFormat="false" ht="15.75" hidden="false" customHeight="false" outlineLevel="0" collapsed="false">
      <c r="B52" s="17"/>
      <c r="C52" s="19" t="b">
        <f aca="false">FALSE()</f>
        <v>0</v>
      </c>
    </row>
    <row r="53" customFormat="false" ht="15.75" hidden="false" customHeight="false" outlineLevel="0" collapsed="false">
      <c r="B53" s="17"/>
      <c r="C53" s="19" t="b">
        <f aca="false">FALSE()</f>
        <v>0</v>
      </c>
    </row>
    <row r="54" customFormat="false" ht="15.75" hidden="false" customHeight="false" outlineLevel="0" collapsed="false">
      <c r="B54" s="17"/>
      <c r="C54" s="19" t="b">
        <f aca="false">FALSE()</f>
        <v>0</v>
      </c>
    </row>
    <row r="55" customFormat="false" ht="15.75" hidden="false" customHeight="false" outlineLevel="0" collapsed="false">
      <c r="B55" s="17"/>
      <c r="C55" s="19" t="b">
        <f aca="false">FALSE()</f>
        <v>0</v>
      </c>
    </row>
    <row r="56" customFormat="false" ht="15.75" hidden="false" customHeight="false" outlineLevel="0" collapsed="false">
      <c r="B56" s="17"/>
      <c r="C56" s="19" t="b">
        <f aca="false">FALSE()</f>
        <v>0</v>
      </c>
    </row>
    <row r="57" customFormat="false" ht="15.75" hidden="false" customHeight="false" outlineLevel="0" collapsed="false">
      <c r="B57" s="17"/>
      <c r="C57" s="19" t="b">
        <f aca="false">FALSE()</f>
        <v>0</v>
      </c>
    </row>
    <row r="58" customFormat="false" ht="15.75" hidden="false" customHeight="false" outlineLevel="0" collapsed="false">
      <c r="B58" s="17"/>
      <c r="C58" s="19" t="b">
        <f aca="false">FALSE()</f>
        <v>0</v>
      </c>
    </row>
    <row r="59" customFormat="false" ht="15.75" hidden="false" customHeight="false" outlineLevel="0" collapsed="false">
      <c r="B59" s="17"/>
      <c r="C59" s="19" t="b">
        <f aca="false">FALSE()</f>
        <v>0</v>
      </c>
    </row>
    <row r="60" customFormat="false" ht="15.75" hidden="false" customHeight="false" outlineLevel="0" collapsed="false">
      <c r="B60" s="17"/>
      <c r="C60" s="19" t="b">
        <f aca="false">FALSE()</f>
        <v>0</v>
      </c>
    </row>
    <row r="61" customFormat="false" ht="15.75" hidden="false" customHeight="false" outlineLevel="0" collapsed="false">
      <c r="B61" s="17"/>
      <c r="C61" s="19" t="b">
        <f aca="false">FALSE()</f>
        <v>0</v>
      </c>
    </row>
    <row r="62" customFormat="false" ht="15.75" hidden="false" customHeight="false" outlineLevel="0" collapsed="false">
      <c r="B62" s="17"/>
      <c r="C62" s="19" t="b">
        <f aca="false">FALSE()</f>
        <v>0</v>
      </c>
    </row>
    <row r="63" customFormat="false" ht="15.75" hidden="false" customHeight="false" outlineLevel="0" collapsed="false">
      <c r="B63" s="17"/>
      <c r="C63" s="19" t="b">
        <f aca="false">FALSE()</f>
        <v>0</v>
      </c>
    </row>
    <row r="64" customFormat="false" ht="15.75" hidden="false" customHeight="false" outlineLevel="0" collapsed="false">
      <c r="B64" s="17"/>
      <c r="C64" s="19" t="b">
        <f aca="false">FALSE()</f>
        <v>0</v>
      </c>
    </row>
    <row r="65" customFormat="false" ht="15.75" hidden="false" customHeight="false" outlineLevel="0" collapsed="false">
      <c r="B65" s="17"/>
      <c r="C65" s="19" t="b">
        <f aca="false">FALSE()</f>
        <v>0</v>
      </c>
    </row>
    <row r="66" customFormat="false" ht="15.75" hidden="false" customHeight="false" outlineLevel="0" collapsed="false">
      <c r="B66" s="17"/>
      <c r="C66" s="19" t="b">
        <f aca="false">FALSE()</f>
        <v>0</v>
      </c>
    </row>
    <row r="67" customFormat="false" ht="15.75" hidden="false" customHeight="false" outlineLevel="0" collapsed="false">
      <c r="B67" s="17"/>
      <c r="C67" s="19" t="b">
        <f aca="false">FALSE()</f>
        <v>0</v>
      </c>
    </row>
    <row r="68" customFormat="false" ht="15.75" hidden="false" customHeight="false" outlineLevel="0" collapsed="false">
      <c r="B68" s="17"/>
      <c r="C68" s="19" t="b">
        <f aca="false">FALSE()</f>
        <v>0</v>
      </c>
    </row>
    <row r="69" customFormat="false" ht="15.75" hidden="false" customHeight="false" outlineLevel="0" collapsed="false">
      <c r="B69" s="17"/>
      <c r="C69" s="19" t="b">
        <f aca="false">FALSE()</f>
        <v>0</v>
      </c>
    </row>
    <row r="70" customFormat="false" ht="15.75" hidden="false" customHeight="false" outlineLevel="0" collapsed="false">
      <c r="B70" s="17"/>
      <c r="C70" s="19" t="b">
        <f aca="false">FALSE()</f>
        <v>0</v>
      </c>
    </row>
    <row r="71" customFormat="false" ht="15.75" hidden="false" customHeight="false" outlineLevel="0" collapsed="false">
      <c r="B71" s="17"/>
      <c r="C71" s="19" t="b">
        <f aca="false">FALSE()</f>
        <v>0</v>
      </c>
    </row>
    <row r="72" customFormat="false" ht="15.75" hidden="false" customHeight="false" outlineLevel="0" collapsed="false">
      <c r="B72" s="17"/>
      <c r="C72" s="19" t="b">
        <f aca="false">FALSE()</f>
        <v>0</v>
      </c>
    </row>
    <row r="73" customFormat="false" ht="15.75" hidden="false" customHeight="false" outlineLevel="0" collapsed="false">
      <c r="B73" s="17"/>
      <c r="C73" s="19" t="b">
        <f aca="false">FALSE()</f>
        <v>0</v>
      </c>
    </row>
    <row r="74" customFormat="false" ht="15.75" hidden="false" customHeight="false" outlineLevel="0" collapsed="false">
      <c r="B74" s="17"/>
      <c r="C74" s="19" t="b">
        <f aca="false">FALSE()</f>
        <v>0</v>
      </c>
    </row>
    <row r="75" customFormat="false" ht="15.75" hidden="false" customHeight="false" outlineLevel="0" collapsed="false">
      <c r="B75" s="17"/>
      <c r="C75" s="19" t="b">
        <f aca="false">FALSE()</f>
        <v>0</v>
      </c>
    </row>
    <row r="76" customFormat="false" ht="15.75" hidden="false" customHeight="false" outlineLevel="0" collapsed="false">
      <c r="B76" s="17"/>
      <c r="C76" s="19" t="b">
        <f aca="false">FALSE()</f>
        <v>0</v>
      </c>
    </row>
    <row r="77" customFormat="false" ht="15.75" hidden="false" customHeight="false" outlineLevel="0" collapsed="false">
      <c r="B77" s="17"/>
      <c r="C77" s="19" t="b">
        <f aca="false">FALSE()</f>
        <v>0</v>
      </c>
    </row>
    <row r="78" customFormat="false" ht="15.75" hidden="false" customHeight="false" outlineLevel="0" collapsed="false">
      <c r="B78" s="17"/>
      <c r="C78" s="19" t="b">
        <f aca="false">FALSE()</f>
        <v>0</v>
      </c>
    </row>
    <row r="79" customFormat="false" ht="15.75" hidden="false" customHeight="false" outlineLevel="0" collapsed="false">
      <c r="B79" s="17"/>
      <c r="C79" s="19" t="b">
        <f aca="false">FALSE()</f>
        <v>0</v>
      </c>
    </row>
    <row r="80" customFormat="false" ht="15.75" hidden="false" customHeight="false" outlineLevel="0" collapsed="false">
      <c r="B80" s="17"/>
      <c r="C80" s="19" t="b">
        <f aca="false">FALSE()</f>
        <v>0</v>
      </c>
    </row>
    <row r="81" customFormat="false" ht="15.75" hidden="false" customHeight="false" outlineLevel="0" collapsed="false">
      <c r="B81" s="17"/>
      <c r="C81" s="19" t="b">
        <f aca="false">FALSE()</f>
        <v>0</v>
      </c>
    </row>
    <row r="82" customFormat="false" ht="15.75" hidden="false" customHeight="false" outlineLevel="0" collapsed="false">
      <c r="B82" s="17"/>
      <c r="C82" s="19" t="b">
        <f aca="false">FALSE()</f>
        <v>0</v>
      </c>
    </row>
    <row r="83" customFormat="false" ht="15.75" hidden="false" customHeight="false" outlineLevel="0" collapsed="false">
      <c r="B83" s="17"/>
      <c r="C83" s="19" t="b">
        <f aca="false">FALSE()</f>
        <v>0</v>
      </c>
    </row>
    <row r="84" customFormat="false" ht="15.75" hidden="false" customHeight="false" outlineLevel="0" collapsed="false">
      <c r="B84" s="17"/>
      <c r="C84" s="19" t="b">
        <f aca="false">FALSE()</f>
        <v>0</v>
      </c>
    </row>
    <row r="85" customFormat="false" ht="15.75" hidden="false" customHeight="false" outlineLevel="0" collapsed="false">
      <c r="B85" s="17"/>
      <c r="C85" s="19" t="b">
        <f aca="false">FALSE()</f>
        <v>0</v>
      </c>
    </row>
    <row r="86" customFormat="false" ht="15.75" hidden="false" customHeight="false" outlineLevel="0" collapsed="false">
      <c r="B86" s="17"/>
      <c r="C86" s="19" t="b">
        <f aca="false">FALSE()</f>
        <v>0</v>
      </c>
    </row>
    <row r="87" customFormat="false" ht="15.75" hidden="false" customHeight="false" outlineLevel="0" collapsed="false">
      <c r="B87" s="17"/>
      <c r="C87" s="19" t="b">
        <f aca="false">FALSE()</f>
        <v>0</v>
      </c>
    </row>
    <row r="88" customFormat="false" ht="15.75" hidden="false" customHeight="false" outlineLevel="0" collapsed="false">
      <c r="B88" s="17"/>
      <c r="C88" s="19" t="b">
        <f aca="false">FALSE()</f>
        <v>0</v>
      </c>
    </row>
    <row r="89" customFormat="false" ht="15.75" hidden="false" customHeight="false" outlineLevel="0" collapsed="false">
      <c r="B89" s="17"/>
      <c r="C89" s="19" t="b">
        <f aca="false">FALSE()</f>
        <v>0</v>
      </c>
    </row>
    <row r="90" customFormat="false" ht="15.75" hidden="false" customHeight="false" outlineLevel="0" collapsed="false">
      <c r="B90" s="17"/>
      <c r="C90" s="19" t="b">
        <f aca="false">FALSE()</f>
        <v>0</v>
      </c>
    </row>
    <row r="91" customFormat="false" ht="15.75" hidden="false" customHeight="false" outlineLevel="0" collapsed="false">
      <c r="B91" s="17"/>
      <c r="C91" s="19" t="b">
        <f aca="false">FALSE()</f>
        <v>0</v>
      </c>
    </row>
    <row r="92" customFormat="false" ht="15.75" hidden="false" customHeight="false" outlineLevel="0" collapsed="false">
      <c r="B92" s="17"/>
      <c r="C92" s="19" t="b">
        <f aca="false">FALSE()</f>
        <v>0</v>
      </c>
    </row>
    <row r="93" customFormat="false" ht="15.75" hidden="false" customHeight="false" outlineLevel="0" collapsed="false">
      <c r="B93" s="17"/>
      <c r="C93" s="19" t="b">
        <f aca="false">FALSE()</f>
        <v>0</v>
      </c>
    </row>
    <row r="94" customFormat="false" ht="15.75" hidden="false" customHeight="false" outlineLevel="0" collapsed="false">
      <c r="B94" s="17"/>
      <c r="C94" s="19" t="b">
        <f aca="false">FALSE()</f>
        <v>0</v>
      </c>
    </row>
    <row r="95" customFormat="false" ht="15.75" hidden="false" customHeight="false" outlineLevel="0" collapsed="false">
      <c r="B95" s="17"/>
      <c r="C95" s="19" t="b">
        <f aca="false">FALSE()</f>
        <v>0</v>
      </c>
    </row>
    <row r="96" customFormat="false" ht="15.75" hidden="false" customHeight="false" outlineLevel="0" collapsed="false">
      <c r="B96" s="17"/>
      <c r="C96" s="19" t="b">
        <f aca="false">FALSE()</f>
        <v>0</v>
      </c>
    </row>
    <row r="97" customFormat="false" ht="15.75" hidden="false" customHeight="false" outlineLevel="0" collapsed="false">
      <c r="B97" s="17"/>
      <c r="C97" s="19" t="b">
        <f aca="false">FALSE()</f>
        <v>0</v>
      </c>
    </row>
    <row r="98" customFormat="false" ht="15.75" hidden="false" customHeight="false" outlineLevel="0" collapsed="false">
      <c r="B98" s="17"/>
      <c r="C98" s="19" t="b">
        <f aca="false">FALSE()</f>
        <v>0</v>
      </c>
    </row>
    <row r="99" customFormat="false" ht="15.75" hidden="false" customHeight="false" outlineLevel="0" collapsed="false">
      <c r="B99" s="17"/>
      <c r="C99" s="19" t="b">
        <f aca="false">FALSE()</f>
        <v>0</v>
      </c>
    </row>
    <row r="100" customFormat="false" ht="15.75" hidden="false" customHeight="false" outlineLevel="0" collapsed="false">
      <c r="B100" s="17"/>
      <c r="C100" s="19" t="b">
        <f aca="false">FALSE()</f>
        <v>0</v>
      </c>
    </row>
    <row r="101" customFormat="false" ht="15.75" hidden="false" customHeight="false" outlineLevel="0" collapsed="false">
      <c r="B101" s="17"/>
      <c r="C101" s="19" t="b">
        <f aca="false">FALSE()</f>
        <v>0</v>
      </c>
    </row>
    <row r="102" customFormat="false" ht="15.75" hidden="false" customHeight="false" outlineLevel="0" collapsed="false">
      <c r="B102" s="17"/>
      <c r="C102" s="19" t="b">
        <f aca="false">FALSE()</f>
        <v>0</v>
      </c>
    </row>
    <row r="103" customFormat="false" ht="15.75" hidden="false" customHeight="false" outlineLevel="0" collapsed="false">
      <c r="B103" s="17"/>
      <c r="C103" s="19" t="b">
        <f aca="false">FALSE()</f>
        <v>0</v>
      </c>
    </row>
    <row r="104" customFormat="false" ht="15.75" hidden="false" customHeight="false" outlineLevel="0" collapsed="false">
      <c r="B104" s="17"/>
      <c r="C104" s="19" t="b">
        <f aca="false">FALSE()</f>
        <v>0</v>
      </c>
    </row>
    <row r="105" customFormat="false" ht="15.75" hidden="false" customHeight="false" outlineLevel="0" collapsed="false">
      <c r="B105" s="17"/>
      <c r="C105" s="19" t="b">
        <f aca="false">FALSE()</f>
        <v>0</v>
      </c>
    </row>
    <row r="106" customFormat="false" ht="15.75" hidden="false" customHeight="false" outlineLevel="0" collapsed="false">
      <c r="B106" s="17"/>
      <c r="C106" s="19" t="b">
        <f aca="false">FALSE()</f>
        <v>0</v>
      </c>
    </row>
    <row r="107" customFormat="false" ht="15.75" hidden="false" customHeight="false" outlineLevel="0" collapsed="false">
      <c r="B107" s="17"/>
      <c r="C107" s="19" t="b">
        <f aca="false">FALSE()</f>
        <v>0</v>
      </c>
    </row>
    <row r="108" customFormat="false" ht="15.75" hidden="false" customHeight="false" outlineLevel="0" collapsed="false">
      <c r="B108" s="17"/>
      <c r="C108" s="19" t="b">
        <f aca="false">FALSE()</f>
        <v>0</v>
      </c>
    </row>
    <row r="109" customFormat="false" ht="15.75" hidden="false" customHeight="false" outlineLevel="0" collapsed="false">
      <c r="B109" s="17"/>
      <c r="C109" s="19" t="b">
        <f aca="false">FALSE()</f>
        <v>0</v>
      </c>
    </row>
    <row r="110" customFormat="false" ht="15.75" hidden="false" customHeight="false" outlineLevel="0" collapsed="false">
      <c r="B110" s="17"/>
      <c r="C110" s="19" t="b">
        <f aca="false">FALSE()</f>
        <v>0</v>
      </c>
    </row>
    <row r="111" customFormat="false" ht="15.75" hidden="false" customHeight="false" outlineLevel="0" collapsed="false">
      <c r="B111" s="17"/>
      <c r="C111" s="19" t="b">
        <f aca="false">FALSE()</f>
        <v>0</v>
      </c>
    </row>
    <row r="112" customFormat="false" ht="15.75" hidden="false" customHeight="false" outlineLevel="0" collapsed="false">
      <c r="B112" s="17"/>
      <c r="C112" s="19" t="b">
        <f aca="false">FALSE()</f>
        <v>0</v>
      </c>
    </row>
    <row r="113" customFormat="false" ht="15.75" hidden="false" customHeight="false" outlineLevel="0" collapsed="false">
      <c r="B113" s="17"/>
      <c r="C113" s="19" t="b">
        <f aca="false">FALSE()</f>
        <v>0</v>
      </c>
    </row>
    <row r="114" customFormat="false" ht="15.75" hidden="false" customHeight="false" outlineLevel="0" collapsed="false">
      <c r="B114" s="17"/>
      <c r="C114" s="19" t="b">
        <f aca="false">FALSE()</f>
        <v>0</v>
      </c>
    </row>
    <row r="115" customFormat="false" ht="15.75" hidden="false" customHeight="false" outlineLevel="0" collapsed="false">
      <c r="B115" s="17"/>
      <c r="C115" s="19" t="b">
        <f aca="false">FALSE()</f>
        <v>0</v>
      </c>
    </row>
    <row r="116" customFormat="false" ht="15.75" hidden="false" customHeight="false" outlineLevel="0" collapsed="false">
      <c r="B116" s="17"/>
      <c r="C116" s="19" t="b">
        <f aca="false">FALSE()</f>
        <v>0</v>
      </c>
    </row>
    <row r="117" customFormat="false" ht="15.75" hidden="false" customHeight="false" outlineLevel="0" collapsed="false">
      <c r="B117" s="17"/>
      <c r="C117" s="19" t="b">
        <f aca="false">FALSE()</f>
        <v>0</v>
      </c>
    </row>
    <row r="118" customFormat="false" ht="15.75" hidden="false" customHeight="false" outlineLevel="0" collapsed="false">
      <c r="B118" s="17"/>
      <c r="C118" s="19" t="b">
        <f aca="false">FALSE()</f>
        <v>0</v>
      </c>
    </row>
    <row r="119" customFormat="false" ht="15.75" hidden="false" customHeight="false" outlineLevel="0" collapsed="false">
      <c r="B119" s="17"/>
      <c r="C119" s="19" t="b">
        <f aca="false">FALSE()</f>
        <v>0</v>
      </c>
    </row>
    <row r="120" customFormat="false" ht="15.75" hidden="false" customHeight="false" outlineLevel="0" collapsed="false">
      <c r="B120" s="17"/>
      <c r="C120" s="19" t="b">
        <f aca="false">FALSE()</f>
        <v>0</v>
      </c>
    </row>
    <row r="121" customFormat="false" ht="15.75" hidden="false" customHeight="false" outlineLevel="0" collapsed="false">
      <c r="B121" s="17"/>
      <c r="C121" s="19" t="b">
        <f aca="false">FALSE()</f>
        <v>0</v>
      </c>
    </row>
    <row r="122" customFormat="false" ht="15.75" hidden="false" customHeight="false" outlineLevel="0" collapsed="false">
      <c r="B122" s="17"/>
      <c r="C122" s="19" t="b">
        <f aca="false">FALSE()</f>
        <v>0</v>
      </c>
    </row>
    <row r="123" customFormat="false" ht="15.75" hidden="false" customHeight="false" outlineLevel="0" collapsed="false">
      <c r="B123" s="17"/>
      <c r="C123" s="19" t="b">
        <f aca="false">FALSE()</f>
        <v>0</v>
      </c>
    </row>
    <row r="124" customFormat="false" ht="15.75" hidden="false" customHeight="false" outlineLevel="0" collapsed="false">
      <c r="B124" s="17"/>
      <c r="C124" s="19" t="b">
        <f aca="false">FALSE()</f>
        <v>0</v>
      </c>
    </row>
    <row r="125" customFormat="false" ht="15.75" hidden="false" customHeight="false" outlineLevel="0" collapsed="false">
      <c r="B125" s="17"/>
      <c r="C125" s="19" t="b">
        <f aca="false">FALSE()</f>
        <v>0</v>
      </c>
    </row>
    <row r="126" customFormat="false" ht="15.75" hidden="false" customHeight="false" outlineLevel="0" collapsed="false">
      <c r="B126" s="17"/>
      <c r="C126" s="19" t="b">
        <f aca="false">FALSE()</f>
        <v>0</v>
      </c>
    </row>
    <row r="127" customFormat="false" ht="15.75" hidden="false" customHeight="false" outlineLevel="0" collapsed="false">
      <c r="B127" s="17"/>
      <c r="C127" s="19" t="b">
        <f aca="false">FALSE()</f>
        <v>0</v>
      </c>
    </row>
    <row r="128" customFormat="false" ht="15.75" hidden="false" customHeight="false" outlineLevel="0" collapsed="false">
      <c r="B128" s="17"/>
      <c r="C128" s="19" t="b">
        <f aca="false">FALSE()</f>
        <v>0</v>
      </c>
    </row>
    <row r="129" customFormat="false" ht="15.75" hidden="false" customHeight="false" outlineLevel="0" collapsed="false">
      <c r="B129" s="17"/>
      <c r="C129" s="19" t="b">
        <f aca="false">FALSE()</f>
        <v>0</v>
      </c>
    </row>
    <row r="130" customFormat="false" ht="15.75" hidden="false" customHeight="false" outlineLevel="0" collapsed="false">
      <c r="B130" s="17"/>
      <c r="C130" s="19" t="b">
        <f aca="false">FALSE()</f>
        <v>0</v>
      </c>
    </row>
    <row r="131" customFormat="false" ht="15.75" hidden="false" customHeight="false" outlineLevel="0" collapsed="false">
      <c r="B131" s="17"/>
      <c r="C131" s="19" t="b">
        <f aca="false">FALSE()</f>
        <v>0</v>
      </c>
    </row>
    <row r="132" customFormat="false" ht="15.75" hidden="false" customHeight="false" outlineLevel="0" collapsed="false">
      <c r="B132" s="17"/>
      <c r="C132" s="19" t="b">
        <f aca="false">FALSE()</f>
        <v>0</v>
      </c>
    </row>
    <row r="133" customFormat="false" ht="15.75" hidden="false" customHeight="false" outlineLevel="0" collapsed="false">
      <c r="B133" s="17"/>
      <c r="C133" s="19" t="b">
        <f aca="false">FALSE()</f>
        <v>0</v>
      </c>
    </row>
    <row r="134" customFormat="false" ht="15.75" hidden="false" customHeight="false" outlineLevel="0" collapsed="false">
      <c r="B134" s="17"/>
      <c r="C134" s="19" t="b">
        <f aca="false">FALSE()</f>
        <v>0</v>
      </c>
    </row>
    <row r="135" customFormat="false" ht="15.75" hidden="false" customHeight="false" outlineLevel="0" collapsed="false">
      <c r="B135" s="17"/>
      <c r="C135" s="19" t="b">
        <f aca="false">FALSE()</f>
        <v>0</v>
      </c>
    </row>
    <row r="136" customFormat="false" ht="15.75" hidden="false" customHeight="false" outlineLevel="0" collapsed="false">
      <c r="B136" s="17"/>
      <c r="C136" s="19" t="b">
        <f aca="false">FALSE()</f>
        <v>0</v>
      </c>
    </row>
    <row r="137" customFormat="false" ht="15.75" hidden="false" customHeight="false" outlineLevel="0" collapsed="false">
      <c r="B137" s="17"/>
      <c r="C137" s="19" t="b">
        <f aca="false">FALSE()</f>
        <v>0</v>
      </c>
    </row>
    <row r="138" customFormat="false" ht="15.75" hidden="false" customHeight="false" outlineLevel="0" collapsed="false">
      <c r="B138" s="17"/>
      <c r="C138" s="19" t="b">
        <f aca="false">FALSE()</f>
        <v>0</v>
      </c>
    </row>
    <row r="139" customFormat="false" ht="15.75" hidden="false" customHeight="false" outlineLevel="0" collapsed="false">
      <c r="B139" s="17"/>
      <c r="C139" s="19" t="b">
        <f aca="false">FALSE()</f>
        <v>0</v>
      </c>
    </row>
    <row r="140" customFormat="false" ht="15.75" hidden="false" customHeight="false" outlineLevel="0" collapsed="false">
      <c r="B140" s="17"/>
      <c r="C140" s="19" t="b">
        <f aca="false">FALSE()</f>
        <v>0</v>
      </c>
    </row>
    <row r="141" customFormat="false" ht="15.75" hidden="false" customHeight="false" outlineLevel="0" collapsed="false">
      <c r="B141" s="17"/>
      <c r="C141" s="19" t="b">
        <f aca="false">FALSE()</f>
        <v>0</v>
      </c>
    </row>
    <row r="142" customFormat="false" ht="15.75" hidden="false" customHeight="false" outlineLevel="0" collapsed="false">
      <c r="B142" s="17"/>
      <c r="C142" s="19" t="b">
        <f aca="false">FALSE()</f>
        <v>0</v>
      </c>
    </row>
    <row r="143" customFormat="false" ht="15.75" hidden="false" customHeight="false" outlineLevel="0" collapsed="false">
      <c r="B143" s="17"/>
      <c r="C143" s="19" t="b">
        <f aca="false">FALSE()</f>
        <v>0</v>
      </c>
    </row>
    <row r="144" customFormat="false" ht="15.75" hidden="false" customHeight="false" outlineLevel="0" collapsed="false">
      <c r="B144" s="17"/>
      <c r="C144" s="19" t="b">
        <f aca="false">FALSE()</f>
        <v>0</v>
      </c>
    </row>
    <row r="145" customFormat="false" ht="15.75" hidden="false" customHeight="false" outlineLevel="0" collapsed="false">
      <c r="B145" s="17"/>
      <c r="C145" s="19" t="b">
        <f aca="false">FALSE()</f>
        <v>0</v>
      </c>
    </row>
    <row r="146" customFormat="false" ht="15.75" hidden="false" customHeight="false" outlineLevel="0" collapsed="false">
      <c r="B146" s="17"/>
      <c r="C146" s="19" t="b">
        <f aca="false">FALSE()</f>
        <v>0</v>
      </c>
    </row>
    <row r="147" customFormat="false" ht="15.75" hidden="false" customHeight="false" outlineLevel="0" collapsed="false">
      <c r="B147" s="17"/>
      <c r="C147" s="19" t="b">
        <f aca="false">FALSE()</f>
        <v>0</v>
      </c>
    </row>
    <row r="148" customFormat="false" ht="15.75" hidden="false" customHeight="false" outlineLevel="0" collapsed="false">
      <c r="B148" s="17"/>
      <c r="C148" s="19" t="b">
        <f aca="false">FALSE()</f>
        <v>0</v>
      </c>
    </row>
    <row r="149" customFormat="false" ht="15.75" hidden="false" customHeight="false" outlineLevel="0" collapsed="false">
      <c r="B149" s="17"/>
      <c r="C149" s="19" t="b">
        <f aca="false">FALSE()</f>
        <v>0</v>
      </c>
    </row>
    <row r="150" customFormat="false" ht="15.75" hidden="false" customHeight="false" outlineLevel="0" collapsed="false">
      <c r="B150" s="17"/>
      <c r="C150" s="19" t="b">
        <f aca="false">FALSE()</f>
        <v>0</v>
      </c>
    </row>
    <row r="151" customFormat="false" ht="15.75" hidden="false" customHeight="false" outlineLevel="0" collapsed="false">
      <c r="B151" s="17"/>
      <c r="C151" s="19" t="b">
        <f aca="false">FALSE()</f>
        <v>0</v>
      </c>
    </row>
    <row r="152" customFormat="false" ht="15.75" hidden="false" customHeight="false" outlineLevel="0" collapsed="false">
      <c r="B152" s="17"/>
      <c r="C152" s="19" t="b">
        <f aca="false">FALSE()</f>
        <v>0</v>
      </c>
    </row>
    <row r="153" customFormat="false" ht="15.75" hidden="false" customHeight="false" outlineLevel="0" collapsed="false">
      <c r="B153" s="17"/>
      <c r="C153" s="19" t="b">
        <f aca="false">FALSE()</f>
        <v>0</v>
      </c>
    </row>
    <row r="154" customFormat="false" ht="15.75" hidden="false" customHeight="false" outlineLevel="0" collapsed="false">
      <c r="B154" s="17"/>
      <c r="C154" s="19" t="b">
        <f aca="false">FALSE()</f>
        <v>0</v>
      </c>
    </row>
    <row r="155" customFormat="false" ht="15.75" hidden="false" customHeight="false" outlineLevel="0" collapsed="false">
      <c r="B155" s="17"/>
      <c r="C155" s="19" t="b">
        <f aca="false">FALSE()</f>
        <v>0</v>
      </c>
    </row>
    <row r="156" customFormat="false" ht="15.75" hidden="false" customHeight="false" outlineLevel="0" collapsed="false">
      <c r="B156" s="17"/>
      <c r="C156" s="19" t="b">
        <f aca="false">FALSE()</f>
        <v>0</v>
      </c>
    </row>
    <row r="157" customFormat="false" ht="15.75" hidden="false" customHeight="false" outlineLevel="0" collapsed="false">
      <c r="B157" s="17"/>
      <c r="C157" s="19" t="b">
        <f aca="false">FALSE()</f>
        <v>0</v>
      </c>
    </row>
    <row r="158" customFormat="false" ht="15.75" hidden="false" customHeight="false" outlineLevel="0" collapsed="false">
      <c r="B158" s="17"/>
      <c r="C158" s="19" t="b">
        <f aca="false">FALSE()</f>
        <v>0</v>
      </c>
    </row>
    <row r="159" customFormat="false" ht="15.75" hidden="false" customHeight="false" outlineLevel="0" collapsed="false">
      <c r="B159" s="17"/>
      <c r="C159" s="19" t="b">
        <f aca="false">FALSE()</f>
        <v>0</v>
      </c>
    </row>
    <row r="160" customFormat="false" ht="15.75" hidden="false" customHeight="false" outlineLevel="0" collapsed="false">
      <c r="B160" s="17"/>
      <c r="C160" s="19" t="b">
        <f aca="false">FALSE()</f>
        <v>0</v>
      </c>
    </row>
    <row r="161" customFormat="false" ht="15.75" hidden="false" customHeight="false" outlineLevel="0" collapsed="false">
      <c r="B161" s="17"/>
      <c r="C161" s="19" t="b">
        <f aca="false">FALSE()</f>
        <v>0</v>
      </c>
    </row>
    <row r="162" customFormat="false" ht="15.75" hidden="false" customHeight="false" outlineLevel="0" collapsed="false">
      <c r="B162" s="17"/>
      <c r="C162" s="19" t="b">
        <f aca="false">FALSE()</f>
        <v>0</v>
      </c>
    </row>
    <row r="163" customFormat="false" ht="15.75" hidden="false" customHeight="false" outlineLevel="0" collapsed="false">
      <c r="B163" s="17"/>
      <c r="C163" s="19" t="b">
        <f aca="false">FALSE()</f>
        <v>0</v>
      </c>
    </row>
    <row r="164" customFormat="false" ht="15.75" hidden="false" customHeight="false" outlineLevel="0" collapsed="false">
      <c r="B164" s="17"/>
      <c r="C164" s="19" t="b">
        <f aca="false">FALSE()</f>
        <v>0</v>
      </c>
    </row>
    <row r="165" customFormat="false" ht="15.75" hidden="false" customHeight="false" outlineLevel="0" collapsed="false">
      <c r="B165" s="17"/>
      <c r="C165" s="19" t="b">
        <f aca="false">FALSE()</f>
        <v>0</v>
      </c>
    </row>
    <row r="166" customFormat="false" ht="15.75" hidden="false" customHeight="false" outlineLevel="0" collapsed="false">
      <c r="B166" s="17"/>
      <c r="C166" s="19" t="b">
        <f aca="false">FALSE()</f>
        <v>0</v>
      </c>
    </row>
    <row r="167" customFormat="false" ht="15.75" hidden="false" customHeight="false" outlineLevel="0" collapsed="false">
      <c r="B167" s="17"/>
      <c r="C167" s="19" t="b">
        <f aca="false">FALSE()</f>
        <v>0</v>
      </c>
    </row>
    <row r="168" customFormat="false" ht="15.75" hidden="false" customHeight="false" outlineLevel="0" collapsed="false">
      <c r="B168" s="17"/>
      <c r="C168" s="19" t="b">
        <f aca="false">FALSE()</f>
        <v>0</v>
      </c>
    </row>
    <row r="169" customFormat="false" ht="15.75" hidden="false" customHeight="false" outlineLevel="0" collapsed="false">
      <c r="B169" s="17"/>
      <c r="C169" s="19" t="b">
        <f aca="false">FALSE()</f>
        <v>0</v>
      </c>
    </row>
    <row r="170" customFormat="false" ht="15.75" hidden="false" customHeight="false" outlineLevel="0" collapsed="false">
      <c r="B170" s="17"/>
      <c r="C170" s="19" t="b">
        <f aca="false">FALSE()</f>
        <v>0</v>
      </c>
    </row>
    <row r="171" customFormat="false" ht="15.75" hidden="false" customHeight="false" outlineLevel="0" collapsed="false">
      <c r="B171" s="17"/>
      <c r="C171" s="19" t="b">
        <f aca="false">FALSE()</f>
        <v>0</v>
      </c>
    </row>
    <row r="172" customFormat="false" ht="15.75" hidden="false" customHeight="false" outlineLevel="0" collapsed="false">
      <c r="B172" s="17"/>
      <c r="C172" s="19" t="b">
        <f aca="false">FALSE()</f>
        <v>0</v>
      </c>
    </row>
    <row r="173" customFormat="false" ht="15.75" hidden="false" customHeight="false" outlineLevel="0" collapsed="false">
      <c r="B173" s="17"/>
      <c r="C173" s="19" t="b">
        <f aca="false">FALSE()</f>
        <v>0</v>
      </c>
    </row>
    <row r="174" customFormat="false" ht="15.75" hidden="false" customHeight="false" outlineLevel="0" collapsed="false">
      <c r="B174" s="17"/>
      <c r="C174" s="19" t="b">
        <f aca="false">FALSE()</f>
        <v>0</v>
      </c>
    </row>
    <row r="175" customFormat="false" ht="15.75" hidden="false" customHeight="false" outlineLevel="0" collapsed="false">
      <c r="B175" s="17"/>
      <c r="C175" s="19" t="b">
        <f aca="false">FALSE()</f>
        <v>0</v>
      </c>
    </row>
    <row r="176" customFormat="false" ht="15.75" hidden="false" customHeight="false" outlineLevel="0" collapsed="false">
      <c r="B176" s="17"/>
      <c r="C176" s="19" t="b">
        <f aca="false">FALSE()</f>
        <v>0</v>
      </c>
    </row>
    <row r="177" customFormat="false" ht="15.75" hidden="false" customHeight="false" outlineLevel="0" collapsed="false">
      <c r="B177" s="17"/>
      <c r="C177" s="19" t="b">
        <f aca="false">FALSE()</f>
        <v>0</v>
      </c>
    </row>
    <row r="178" customFormat="false" ht="15.75" hidden="false" customHeight="false" outlineLevel="0" collapsed="false">
      <c r="B178" s="17"/>
      <c r="C178" s="19" t="b">
        <f aca="false">FALSE()</f>
        <v>0</v>
      </c>
    </row>
    <row r="179" customFormat="false" ht="15.75" hidden="false" customHeight="false" outlineLevel="0" collapsed="false">
      <c r="B179" s="17"/>
      <c r="C179" s="19" t="b">
        <f aca="false">FALSE()</f>
        <v>0</v>
      </c>
    </row>
    <row r="180" customFormat="false" ht="15.75" hidden="false" customHeight="false" outlineLevel="0" collapsed="false">
      <c r="B180" s="17"/>
      <c r="C180" s="19" t="b">
        <f aca="false">FALSE()</f>
        <v>0</v>
      </c>
    </row>
    <row r="181" customFormat="false" ht="15.75" hidden="false" customHeight="false" outlineLevel="0" collapsed="false">
      <c r="B181" s="17"/>
      <c r="C181" s="19" t="b">
        <f aca="false">FALSE()</f>
        <v>0</v>
      </c>
    </row>
    <row r="182" customFormat="false" ht="15.75" hidden="false" customHeight="false" outlineLevel="0" collapsed="false">
      <c r="B182" s="17"/>
      <c r="C182" s="19" t="b">
        <f aca="false">FALSE()</f>
        <v>0</v>
      </c>
    </row>
    <row r="183" customFormat="false" ht="15.75" hidden="false" customHeight="false" outlineLevel="0" collapsed="false">
      <c r="B183" s="17"/>
      <c r="C183" s="19" t="b">
        <f aca="false">FALSE()</f>
        <v>0</v>
      </c>
    </row>
    <row r="184" customFormat="false" ht="15.75" hidden="false" customHeight="false" outlineLevel="0" collapsed="false">
      <c r="B184" s="17"/>
      <c r="C184" s="19" t="b">
        <f aca="false">FALSE()</f>
        <v>0</v>
      </c>
    </row>
    <row r="185" customFormat="false" ht="15.75" hidden="false" customHeight="false" outlineLevel="0" collapsed="false">
      <c r="B185" s="17"/>
      <c r="C185" s="19" t="b">
        <f aca="false">FALSE()</f>
        <v>0</v>
      </c>
    </row>
    <row r="186" customFormat="false" ht="15.75" hidden="false" customHeight="false" outlineLevel="0" collapsed="false">
      <c r="B186" s="17"/>
      <c r="C186" s="19" t="b">
        <f aca="false">FALSE()</f>
        <v>0</v>
      </c>
    </row>
    <row r="187" customFormat="false" ht="15.75" hidden="false" customHeight="false" outlineLevel="0" collapsed="false">
      <c r="B187" s="17"/>
      <c r="C187" s="19" t="b">
        <f aca="false">FALSE()</f>
        <v>0</v>
      </c>
    </row>
    <row r="188" customFormat="false" ht="15.75" hidden="false" customHeight="false" outlineLevel="0" collapsed="false">
      <c r="B188" s="17"/>
      <c r="C188" s="19" t="b">
        <f aca="false">FALSE()</f>
        <v>0</v>
      </c>
    </row>
    <row r="189" customFormat="false" ht="15.75" hidden="false" customHeight="false" outlineLevel="0" collapsed="false">
      <c r="B189" s="17"/>
      <c r="C189" s="19" t="b">
        <f aca="false">FALSE()</f>
        <v>0</v>
      </c>
    </row>
    <row r="190" customFormat="false" ht="15.75" hidden="false" customHeight="false" outlineLevel="0" collapsed="false">
      <c r="B190" s="17"/>
      <c r="C190" s="19" t="b">
        <f aca="false">FALSE()</f>
        <v>0</v>
      </c>
    </row>
    <row r="191" customFormat="false" ht="15.75" hidden="false" customHeight="false" outlineLevel="0" collapsed="false">
      <c r="B191" s="17"/>
      <c r="C191" s="19" t="b">
        <f aca="false">FALSE()</f>
        <v>0</v>
      </c>
    </row>
    <row r="192" customFormat="false" ht="15.75" hidden="false" customHeight="false" outlineLevel="0" collapsed="false">
      <c r="B192" s="17"/>
      <c r="C192" s="19" t="b">
        <f aca="false">FALSE()</f>
        <v>0</v>
      </c>
    </row>
    <row r="193" customFormat="false" ht="15.75" hidden="false" customHeight="false" outlineLevel="0" collapsed="false">
      <c r="B193" s="17"/>
      <c r="C193" s="19" t="b">
        <f aca="false">FALSE()</f>
        <v>0</v>
      </c>
    </row>
    <row r="194" customFormat="false" ht="15.75" hidden="false" customHeight="false" outlineLevel="0" collapsed="false">
      <c r="B194" s="17"/>
      <c r="C194" s="19" t="b">
        <f aca="false">FALSE()</f>
        <v>0</v>
      </c>
    </row>
    <row r="195" customFormat="false" ht="15.75" hidden="false" customHeight="false" outlineLevel="0" collapsed="false">
      <c r="B195" s="17"/>
      <c r="C195" s="19" t="b">
        <f aca="false">FALSE()</f>
        <v>0</v>
      </c>
    </row>
    <row r="196" customFormat="false" ht="15.75" hidden="false" customHeight="false" outlineLevel="0" collapsed="false">
      <c r="B196" s="17"/>
      <c r="C196" s="19" t="b">
        <f aca="false">FALSE()</f>
        <v>0</v>
      </c>
    </row>
    <row r="197" customFormat="false" ht="15.75" hidden="false" customHeight="false" outlineLevel="0" collapsed="false">
      <c r="B197" s="17"/>
      <c r="C197" s="19" t="b">
        <f aca="false">FALSE()</f>
        <v>0</v>
      </c>
    </row>
    <row r="198" customFormat="false" ht="15.75" hidden="false" customHeight="false" outlineLevel="0" collapsed="false">
      <c r="B198" s="17"/>
      <c r="C198" s="19" t="b">
        <f aca="false">FALSE()</f>
        <v>0</v>
      </c>
    </row>
    <row r="199" customFormat="false" ht="15.75" hidden="false" customHeight="false" outlineLevel="0" collapsed="false">
      <c r="B199" s="17"/>
      <c r="C199" s="19" t="b">
        <f aca="false">FALSE()</f>
        <v>0</v>
      </c>
    </row>
    <row r="200" customFormat="false" ht="15.75" hidden="false" customHeight="false" outlineLevel="0" collapsed="false">
      <c r="B200" s="17"/>
      <c r="C200" s="19" t="b">
        <f aca="false">FALSE()</f>
        <v>0</v>
      </c>
    </row>
    <row r="201" customFormat="false" ht="15.75" hidden="false" customHeight="false" outlineLevel="0" collapsed="false">
      <c r="B201" s="17"/>
      <c r="C201" s="19" t="b">
        <f aca="false">FALSE()</f>
        <v>0</v>
      </c>
    </row>
    <row r="202" customFormat="false" ht="15.75" hidden="false" customHeight="false" outlineLevel="0" collapsed="false">
      <c r="B202" s="17"/>
      <c r="C202" s="19" t="b">
        <f aca="false">FALSE()</f>
        <v>0</v>
      </c>
    </row>
    <row r="203" customFormat="false" ht="15.75" hidden="false" customHeight="false" outlineLevel="0" collapsed="false">
      <c r="B203" s="17"/>
      <c r="C203" s="19" t="b">
        <f aca="false">FALSE()</f>
        <v>0</v>
      </c>
    </row>
    <row r="204" customFormat="false" ht="15.75" hidden="false" customHeight="false" outlineLevel="0" collapsed="false">
      <c r="B204" s="17"/>
      <c r="C204" s="19" t="b">
        <f aca="false">FALSE()</f>
        <v>0</v>
      </c>
    </row>
    <row r="205" customFormat="false" ht="15.75" hidden="false" customHeight="false" outlineLevel="0" collapsed="false">
      <c r="B205" s="17"/>
      <c r="C205" s="19" t="b">
        <f aca="false">FALSE()</f>
        <v>0</v>
      </c>
    </row>
    <row r="206" customFormat="false" ht="15.75" hidden="false" customHeight="false" outlineLevel="0" collapsed="false">
      <c r="B206" s="17"/>
      <c r="C206" s="19" t="b">
        <f aca="false">FALSE()</f>
        <v>0</v>
      </c>
    </row>
    <row r="207" customFormat="false" ht="15.75" hidden="false" customHeight="false" outlineLevel="0" collapsed="false">
      <c r="B207" s="17"/>
      <c r="C207" s="19" t="b">
        <f aca="false">FALSE()</f>
        <v>0</v>
      </c>
    </row>
    <row r="208" customFormat="false" ht="15.75" hidden="false" customHeight="false" outlineLevel="0" collapsed="false">
      <c r="B208" s="17"/>
      <c r="C208" s="19" t="b">
        <f aca="false">FALSE()</f>
        <v>0</v>
      </c>
    </row>
    <row r="209" customFormat="false" ht="15.75" hidden="false" customHeight="false" outlineLevel="0" collapsed="false">
      <c r="B209" s="17"/>
      <c r="C209" s="19" t="b">
        <f aca="false">FALSE()</f>
        <v>0</v>
      </c>
    </row>
    <row r="210" customFormat="false" ht="15.75" hidden="false" customHeight="false" outlineLevel="0" collapsed="false">
      <c r="B210" s="17"/>
      <c r="C210" s="19" t="b">
        <f aca="false">FALSE()</f>
        <v>0</v>
      </c>
    </row>
    <row r="211" customFormat="false" ht="15.75" hidden="false" customHeight="false" outlineLevel="0" collapsed="false">
      <c r="B211" s="17"/>
      <c r="C211" s="19" t="b">
        <f aca="false">FALSE()</f>
        <v>0</v>
      </c>
    </row>
    <row r="212" customFormat="false" ht="15.75" hidden="false" customHeight="false" outlineLevel="0" collapsed="false">
      <c r="B212" s="17"/>
      <c r="C212" s="19" t="b">
        <f aca="false">FALSE()</f>
        <v>0</v>
      </c>
    </row>
    <row r="213" customFormat="false" ht="15.75" hidden="false" customHeight="false" outlineLevel="0" collapsed="false">
      <c r="B213" s="17"/>
      <c r="C213" s="19" t="b">
        <f aca="false">FALSE()</f>
        <v>0</v>
      </c>
    </row>
    <row r="214" customFormat="false" ht="15.75" hidden="false" customHeight="false" outlineLevel="0" collapsed="false">
      <c r="B214" s="17"/>
      <c r="C214" s="19" t="b">
        <f aca="false">FALSE()</f>
        <v>0</v>
      </c>
    </row>
    <row r="215" customFormat="false" ht="15.75" hidden="false" customHeight="false" outlineLevel="0" collapsed="false">
      <c r="B215" s="17"/>
      <c r="C215" s="19" t="b">
        <f aca="false">FALSE()</f>
        <v>0</v>
      </c>
    </row>
    <row r="216" customFormat="false" ht="15.75" hidden="false" customHeight="false" outlineLevel="0" collapsed="false">
      <c r="B216" s="17"/>
      <c r="C216" s="19" t="b">
        <f aca="false">FALSE()</f>
        <v>0</v>
      </c>
    </row>
    <row r="217" customFormat="false" ht="15.75" hidden="false" customHeight="false" outlineLevel="0" collapsed="false">
      <c r="B217" s="17"/>
      <c r="C217" s="19" t="b">
        <f aca="false">FALSE()</f>
        <v>0</v>
      </c>
    </row>
    <row r="218" customFormat="false" ht="15.75" hidden="false" customHeight="false" outlineLevel="0" collapsed="false">
      <c r="B218" s="17"/>
      <c r="C218" s="19" t="b">
        <f aca="false">FALSE()</f>
        <v>0</v>
      </c>
    </row>
    <row r="219" customFormat="false" ht="15.75" hidden="false" customHeight="false" outlineLevel="0" collapsed="false">
      <c r="B219" s="17"/>
      <c r="C219" s="19" t="b">
        <f aca="false">FALSE()</f>
        <v>0</v>
      </c>
    </row>
    <row r="220" customFormat="false" ht="15.75" hidden="false" customHeight="false" outlineLevel="0" collapsed="false">
      <c r="B220" s="17"/>
      <c r="C220" s="19" t="b">
        <f aca="false">FALSE()</f>
        <v>0</v>
      </c>
    </row>
    <row r="221" customFormat="false" ht="15.75" hidden="false" customHeight="false" outlineLevel="0" collapsed="false">
      <c r="B221" s="17"/>
      <c r="C221" s="19" t="b">
        <f aca="false">FALSE()</f>
        <v>0</v>
      </c>
    </row>
    <row r="222" customFormat="false" ht="15.75" hidden="false" customHeight="false" outlineLevel="0" collapsed="false">
      <c r="B222" s="17"/>
      <c r="C222" s="19" t="b">
        <f aca="false">FALSE()</f>
        <v>0</v>
      </c>
    </row>
    <row r="223" customFormat="false" ht="15.75" hidden="false" customHeight="false" outlineLevel="0" collapsed="false">
      <c r="B223" s="17"/>
      <c r="C223" s="19" t="b">
        <f aca="false">FALSE()</f>
        <v>0</v>
      </c>
    </row>
    <row r="224" customFormat="false" ht="15.75" hidden="false" customHeight="false" outlineLevel="0" collapsed="false">
      <c r="B224" s="17"/>
      <c r="C224" s="19" t="b">
        <f aca="false">FALSE()</f>
        <v>0</v>
      </c>
    </row>
    <row r="225" customFormat="false" ht="15.75" hidden="false" customHeight="false" outlineLevel="0" collapsed="false">
      <c r="B225" s="17"/>
      <c r="C225" s="19" t="b">
        <f aca="false">FALSE()</f>
        <v>0</v>
      </c>
    </row>
    <row r="226" customFormat="false" ht="15.75" hidden="false" customHeight="false" outlineLevel="0" collapsed="false">
      <c r="B226" s="17"/>
      <c r="C226" s="19" t="b">
        <f aca="false">FALSE()</f>
        <v>0</v>
      </c>
    </row>
    <row r="227" customFormat="false" ht="15.75" hidden="false" customHeight="false" outlineLevel="0" collapsed="false">
      <c r="B227" s="17"/>
      <c r="C227" s="19" t="b">
        <f aca="false">FALSE()</f>
        <v>0</v>
      </c>
    </row>
    <row r="228" customFormat="false" ht="15.75" hidden="false" customHeight="false" outlineLevel="0" collapsed="false">
      <c r="B228" s="17"/>
      <c r="C228" s="19" t="b">
        <f aca="false">FALSE()</f>
        <v>0</v>
      </c>
    </row>
    <row r="229" customFormat="false" ht="15.75" hidden="false" customHeight="false" outlineLevel="0" collapsed="false">
      <c r="B229" s="17"/>
      <c r="C229" s="19" t="b">
        <f aca="false">FALSE()</f>
        <v>0</v>
      </c>
    </row>
    <row r="230" customFormat="false" ht="15.75" hidden="false" customHeight="false" outlineLevel="0" collapsed="false">
      <c r="B230" s="17"/>
      <c r="C230" s="19" t="b">
        <f aca="false">FALSE()</f>
        <v>0</v>
      </c>
    </row>
    <row r="231" customFormat="false" ht="15.75" hidden="false" customHeight="false" outlineLevel="0" collapsed="false">
      <c r="B231" s="17"/>
      <c r="C231" s="19" t="b">
        <f aca="false">FALSE()</f>
        <v>0</v>
      </c>
    </row>
    <row r="232" customFormat="false" ht="15.75" hidden="false" customHeight="false" outlineLevel="0" collapsed="false">
      <c r="B232" s="17"/>
      <c r="C232" s="19" t="b">
        <f aca="false">FALSE()</f>
        <v>0</v>
      </c>
    </row>
    <row r="233" customFormat="false" ht="15.75" hidden="false" customHeight="false" outlineLevel="0" collapsed="false">
      <c r="B233" s="17"/>
      <c r="C233" s="19" t="b">
        <f aca="false">FALSE()</f>
        <v>0</v>
      </c>
    </row>
    <row r="234" customFormat="false" ht="15.75" hidden="false" customHeight="false" outlineLevel="0" collapsed="false">
      <c r="B234" s="17"/>
      <c r="C234" s="19" t="b">
        <f aca="false">FALSE()</f>
        <v>0</v>
      </c>
    </row>
    <row r="235" customFormat="false" ht="15.75" hidden="false" customHeight="false" outlineLevel="0" collapsed="false">
      <c r="B235" s="17"/>
      <c r="C235" s="19" t="b">
        <f aca="false">FALSE()</f>
        <v>0</v>
      </c>
    </row>
    <row r="236" customFormat="false" ht="15.75" hidden="false" customHeight="false" outlineLevel="0" collapsed="false">
      <c r="B236" s="17"/>
      <c r="C236" s="19" t="b">
        <f aca="false">FALSE()</f>
        <v>0</v>
      </c>
    </row>
    <row r="237" customFormat="false" ht="15.75" hidden="false" customHeight="false" outlineLevel="0" collapsed="false">
      <c r="B237" s="17"/>
      <c r="C237" s="19" t="b">
        <f aca="false">FALSE()</f>
        <v>0</v>
      </c>
    </row>
    <row r="238" customFormat="false" ht="15.75" hidden="false" customHeight="false" outlineLevel="0" collapsed="false">
      <c r="B238" s="17"/>
      <c r="C238" s="19" t="b">
        <f aca="false">FALSE()</f>
        <v>0</v>
      </c>
    </row>
    <row r="239" customFormat="false" ht="15.75" hidden="false" customHeight="false" outlineLevel="0" collapsed="false">
      <c r="B239" s="17"/>
      <c r="C239" s="19" t="b">
        <f aca="false">FALSE()</f>
        <v>0</v>
      </c>
    </row>
    <row r="240" customFormat="false" ht="15.75" hidden="false" customHeight="false" outlineLevel="0" collapsed="false">
      <c r="B240" s="17"/>
      <c r="C240" s="19" t="b">
        <f aca="false">FALSE()</f>
        <v>0</v>
      </c>
    </row>
    <row r="241" customFormat="false" ht="15.75" hidden="false" customHeight="false" outlineLevel="0" collapsed="false">
      <c r="B241" s="17"/>
      <c r="C241" s="19" t="b">
        <f aca="false">FALSE()</f>
        <v>0</v>
      </c>
    </row>
    <row r="242" customFormat="false" ht="15.75" hidden="false" customHeight="false" outlineLevel="0" collapsed="false">
      <c r="B242" s="17"/>
      <c r="C242" s="19" t="b">
        <f aca="false">FALSE()</f>
        <v>0</v>
      </c>
    </row>
    <row r="243" customFormat="false" ht="15.75" hidden="false" customHeight="false" outlineLevel="0" collapsed="false">
      <c r="B243" s="17"/>
      <c r="C243" s="19" t="b">
        <f aca="false">FALSE()</f>
        <v>0</v>
      </c>
    </row>
    <row r="244" customFormat="false" ht="15.75" hidden="false" customHeight="false" outlineLevel="0" collapsed="false">
      <c r="B244" s="17"/>
      <c r="C244" s="19" t="b">
        <f aca="false">FALSE()</f>
        <v>0</v>
      </c>
    </row>
    <row r="245" customFormat="false" ht="15.75" hidden="false" customHeight="false" outlineLevel="0" collapsed="false">
      <c r="B245" s="17"/>
      <c r="C245" s="19" t="b">
        <f aca="false">FALSE()</f>
        <v>0</v>
      </c>
    </row>
    <row r="246" customFormat="false" ht="15.75" hidden="false" customHeight="false" outlineLevel="0" collapsed="false">
      <c r="B246" s="17"/>
      <c r="C246" s="19" t="b">
        <f aca="false">FALSE()</f>
        <v>0</v>
      </c>
    </row>
    <row r="247" customFormat="false" ht="15.75" hidden="false" customHeight="false" outlineLevel="0" collapsed="false">
      <c r="B247" s="17"/>
      <c r="C247" s="19" t="b">
        <f aca="false">FALSE()</f>
        <v>0</v>
      </c>
    </row>
    <row r="248" customFormat="false" ht="15.75" hidden="false" customHeight="false" outlineLevel="0" collapsed="false">
      <c r="B248" s="17"/>
      <c r="C248" s="19" t="b">
        <f aca="false">FALSE()</f>
        <v>0</v>
      </c>
    </row>
    <row r="249" customFormat="false" ht="15.75" hidden="false" customHeight="false" outlineLevel="0" collapsed="false">
      <c r="B249" s="17"/>
      <c r="C249" s="19" t="b">
        <f aca="false">FALSE()</f>
        <v>0</v>
      </c>
    </row>
    <row r="250" customFormat="false" ht="15.75" hidden="false" customHeight="false" outlineLevel="0" collapsed="false">
      <c r="B250" s="17"/>
      <c r="C250" s="19" t="b">
        <f aca="false">FALSE()</f>
        <v>0</v>
      </c>
    </row>
    <row r="251" customFormat="false" ht="15.75" hidden="false" customHeight="false" outlineLevel="0" collapsed="false">
      <c r="B251" s="17"/>
      <c r="C251" s="19" t="b">
        <f aca="false">FALSE()</f>
        <v>0</v>
      </c>
    </row>
    <row r="252" customFormat="false" ht="15.75" hidden="false" customHeight="false" outlineLevel="0" collapsed="false">
      <c r="B252" s="17"/>
      <c r="C252" s="19" t="b">
        <f aca="false">FALSE()</f>
        <v>0</v>
      </c>
    </row>
    <row r="253" customFormat="false" ht="15.75" hidden="false" customHeight="false" outlineLevel="0" collapsed="false">
      <c r="B253" s="17"/>
      <c r="C253" s="19" t="b">
        <f aca="false">FALSE()</f>
        <v>0</v>
      </c>
    </row>
    <row r="254" customFormat="false" ht="15.75" hidden="false" customHeight="false" outlineLevel="0" collapsed="false">
      <c r="B254" s="17"/>
      <c r="C254" s="19" t="b">
        <f aca="false">FALSE()</f>
        <v>0</v>
      </c>
    </row>
    <row r="255" customFormat="false" ht="15.75" hidden="false" customHeight="false" outlineLevel="0" collapsed="false">
      <c r="B255" s="17"/>
      <c r="C255" s="19" t="b">
        <f aca="false">FALSE()</f>
        <v>0</v>
      </c>
    </row>
    <row r="256" customFormat="false" ht="15.75" hidden="false" customHeight="false" outlineLevel="0" collapsed="false">
      <c r="B256" s="17"/>
      <c r="C256" s="19" t="b">
        <f aca="false">FALSE()</f>
        <v>0</v>
      </c>
    </row>
    <row r="257" customFormat="false" ht="15.75" hidden="false" customHeight="false" outlineLevel="0" collapsed="false">
      <c r="B257" s="17"/>
      <c r="C257" s="19" t="b">
        <f aca="false">FALSE()</f>
        <v>0</v>
      </c>
    </row>
    <row r="258" customFormat="false" ht="15.75" hidden="false" customHeight="false" outlineLevel="0" collapsed="false">
      <c r="B258" s="17"/>
      <c r="C258" s="19" t="b">
        <f aca="false">FALSE()</f>
        <v>0</v>
      </c>
    </row>
    <row r="259" customFormat="false" ht="15.75" hidden="false" customHeight="false" outlineLevel="0" collapsed="false">
      <c r="B259" s="17"/>
      <c r="C259" s="19" t="b">
        <f aca="false">FALSE()</f>
        <v>0</v>
      </c>
    </row>
    <row r="260" customFormat="false" ht="15.75" hidden="false" customHeight="false" outlineLevel="0" collapsed="false">
      <c r="B260" s="17"/>
      <c r="C260" s="19" t="b">
        <f aca="false">FALSE()</f>
        <v>0</v>
      </c>
    </row>
    <row r="261" customFormat="false" ht="15.75" hidden="false" customHeight="false" outlineLevel="0" collapsed="false">
      <c r="B261" s="17"/>
      <c r="C261" s="19" t="b">
        <f aca="false">FALSE()</f>
        <v>0</v>
      </c>
    </row>
    <row r="262" customFormat="false" ht="15.75" hidden="false" customHeight="false" outlineLevel="0" collapsed="false">
      <c r="B262" s="17"/>
      <c r="C262" s="19" t="b">
        <f aca="false">FALSE()</f>
        <v>0</v>
      </c>
    </row>
    <row r="263" customFormat="false" ht="15.75" hidden="false" customHeight="false" outlineLevel="0" collapsed="false">
      <c r="B263" s="17"/>
      <c r="C263" s="19" t="b">
        <f aca="false">FALSE()</f>
        <v>0</v>
      </c>
    </row>
    <row r="264" customFormat="false" ht="15.75" hidden="false" customHeight="false" outlineLevel="0" collapsed="false">
      <c r="B264" s="17"/>
      <c r="C264" s="19" t="b">
        <f aca="false">FALSE()</f>
        <v>0</v>
      </c>
    </row>
    <row r="265" customFormat="false" ht="15.75" hidden="false" customHeight="false" outlineLevel="0" collapsed="false">
      <c r="B265" s="17"/>
      <c r="C265" s="19" t="b">
        <f aca="false">FALSE()</f>
        <v>0</v>
      </c>
    </row>
    <row r="266" customFormat="false" ht="15.75" hidden="false" customHeight="false" outlineLevel="0" collapsed="false">
      <c r="B266" s="17"/>
      <c r="C266" s="19" t="b">
        <f aca="false">FALSE()</f>
        <v>0</v>
      </c>
    </row>
    <row r="267" customFormat="false" ht="15.75" hidden="false" customHeight="false" outlineLevel="0" collapsed="false">
      <c r="B267" s="17"/>
      <c r="C267" s="19" t="b">
        <f aca="false">FALSE()</f>
        <v>0</v>
      </c>
    </row>
    <row r="268" customFormat="false" ht="15.75" hidden="false" customHeight="false" outlineLevel="0" collapsed="false">
      <c r="B268" s="17"/>
      <c r="C268" s="19" t="b">
        <f aca="false">FALSE()</f>
        <v>0</v>
      </c>
    </row>
    <row r="269" customFormat="false" ht="15.75" hidden="false" customHeight="false" outlineLevel="0" collapsed="false">
      <c r="B269" s="17"/>
      <c r="C269" s="19" t="b">
        <f aca="false">FALSE()</f>
        <v>0</v>
      </c>
    </row>
    <row r="270" customFormat="false" ht="15.75" hidden="false" customHeight="false" outlineLevel="0" collapsed="false">
      <c r="B270" s="17"/>
      <c r="C270" s="19" t="b">
        <f aca="false">FALSE()</f>
        <v>0</v>
      </c>
    </row>
    <row r="271" customFormat="false" ht="15.75" hidden="false" customHeight="false" outlineLevel="0" collapsed="false">
      <c r="B271" s="17"/>
      <c r="C271" s="19" t="b">
        <f aca="false">FALSE()</f>
        <v>0</v>
      </c>
    </row>
    <row r="272" customFormat="false" ht="15.75" hidden="false" customHeight="false" outlineLevel="0" collapsed="false">
      <c r="B272" s="17"/>
      <c r="C272" s="19" t="b">
        <f aca="false">FALSE()</f>
        <v>0</v>
      </c>
    </row>
    <row r="273" customFormat="false" ht="15.75" hidden="false" customHeight="false" outlineLevel="0" collapsed="false">
      <c r="B273" s="17"/>
      <c r="C273" s="19" t="b">
        <f aca="false">FALSE()</f>
        <v>0</v>
      </c>
    </row>
    <row r="274" customFormat="false" ht="15.75" hidden="false" customHeight="false" outlineLevel="0" collapsed="false">
      <c r="B274" s="17"/>
      <c r="C274" s="19" t="b">
        <f aca="false">FALSE()</f>
        <v>0</v>
      </c>
    </row>
    <row r="275" customFormat="false" ht="15.75" hidden="false" customHeight="false" outlineLevel="0" collapsed="false">
      <c r="B275" s="17"/>
      <c r="C275" s="19" t="b">
        <f aca="false">FALSE()</f>
        <v>0</v>
      </c>
    </row>
    <row r="276" customFormat="false" ht="15.75" hidden="false" customHeight="false" outlineLevel="0" collapsed="false">
      <c r="B276" s="17"/>
      <c r="C276" s="19" t="b">
        <f aca="false">FALSE()</f>
        <v>0</v>
      </c>
    </row>
    <row r="277" customFormat="false" ht="15.75" hidden="false" customHeight="false" outlineLevel="0" collapsed="false">
      <c r="B277" s="17"/>
      <c r="C277" s="19" t="b">
        <f aca="false">FALSE()</f>
        <v>0</v>
      </c>
    </row>
    <row r="278" customFormat="false" ht="15.75" hidden="false" customHeight="false" outlineLevel="0" collapsed="false">
      <c r="B278" s="17"/>
      <c r="C278" s="19" t="b">
        <f aca="false">FALSE()</f>
        <v>0</v>
      </c>
    </row>
    <row r="279" customFormat="false" ht="15.75" hidden="false" customHeight="false" outlineLevel="0" collapsed="false">
      <c r="B279" s="17"/>
      <c r="C279" s="19" t="b">
        <f aca="false">FALSE()</f>
        <v>0</v>
      </c>
    </row>
    <row r="280" customFormat="false" ht="15.75" hidden="false" customHeight="false" outlineLevel="0" collapsed="false">
      <c r="B280" s="17"/>
      <c r="C280" s="19" t="b">
        <f aca="false">FALSE()</f>
        <v>0</v>
      </c>
    </row>
    <row r="281" customFormat="false" ht="15.75" hidden="false" customHeight="false" outlineLevel="0" collapsed="false">
      <c r="B281" s="17"/>
      <c r="C281" s="19" t="b">
        <f aca="false">FALSE()</f>
        <v>0</v>
      </c>
    </row>
    <row r="282" customFormat="false" ht="15.75" hidden="false" customHeight="false" outlineLevel="0" collapsed="false">
      <c r="B282" s="17"/>
      <c r="C282" s="19" t="b">
        <f aca="false">FALSE()</f>
        <v>0</v>
      </c>
    </row>
    <row r="283" customFormat="false" ht="15.75" hidden="false" customHeight="false" outlineLevel="0" collapsed="false">
      <c r="B283" s="17"/>
      <c r="C283" s="19" t="b">
        <f aca="false">FALSE()</f>
        <v>0</v>
      </c>
    </row>
    <row r="284" customFormat="false" ht="15.75" hidden="false" customHeight="false" outlineLevel="0" collapsed="false">
      <c r="B284" s="17"/>
      <c r="C284" s="19" t="b">
        <f aca="false">FALSE()</f>
        <v>0</v>
      </c>
    </row>
    <row r="285" customFormat="false" ht="15.75" hidden="false" customHeight="false" outlineLevel="0" collapsed="false">
      <c r="B285" s="17"/>
      <c r="C285" s="19" t="b">
        <f aca="false">FALSE()</f>
        <v>0</v>
      </c>
    </row>
    <row r="286" customFormat="false" ht="15.75" hidden="false" customHeight="false" outlineLevel="0" collapsed="false">
      <c r="B286" s="17"/>
      <c r="C286" s="19" t="b">
        <f aca="false">FALSE()</f>
        <v>0</v>
      </c>
    </row>
    <row r="287" customFormat="false" ht="15.75" hidden="false" customHeight="false" outlineLevel="0" collapsed="false">
      <c r="B287" s="17"/>
      <c r="C287" s="19" t="b">
        <f aca="false">FALSE()</f>
        <v>0</v>
      </c>
    </row>
    <row r="288" customFormat="false" ht="15.75" hidden="false" customHeight="false" outlineLevel="0" collapsed="false">
      <c r="B288" s="17"/>
      <c r="C288" s="19" t="b">
        <f aca="false">FALSE()</f>
        <v>0</v>
      </c>
    </row>
    <row r="289" customFormat="false" ht="15.75" hidden="false" customHeight="false" outlineLevel="0" collapsed="false">
      <c r="B289" s="17"/>
      <c r="C289" s="19" t="b">
        <f aca="false">FALSE()</f>
        <v>0</v>
      </c>
    </row>
    <row r="290" customFormat="false" ht="15.75" hidden="false" customHeight="false" outlineLevel="0" collapsed="false">
      <c r="B290" s="17"/>
      <c r="C290" s="19" t="b">
        <f aca="false">FALSE()</f>
        <v>0</v>
      </c>
    </row>
    <row r="291" customFormat="false" ht="15.75" hidden="false" customHeight="false" outlineLevel="0" collapsed="false">
      <c r="B291" s="17"/>
      <c r="C291" s="19" t="b">
        <f aca="false">FALSE()</f>
        <v>0</v>
      </c>
    </row>
    <row r="292" customFormat="false" ht="15.75" hidden="false" customHeight="false" outlineLevel="0" collapsed="false">
      <c r="B292" s="17"/>
      <c r="C292" s="19" t="b">
        <f aca="false">FALSE()</f>
        <v>0</v>
      </c>
    </row>
    <row r="293" customFormat="false" ht="15.75" hidden="false" customHeight="false" outlineLevel="0" collapsed="false">
      <c r="B293" s="17"/>
      <c r="C293" s="19" t="b">
        <f aca="false">FALSE()</f>
        <v>0</v>
      </c>
    </row>
    <row r="294" customFormat="false" ht="15.75" hidden="false" customHeight="false" outlineLevel="0" collapsed="false">
      <c r="B294" s="17"/>
      <c r="C294" s="19" t="b">
        <f aca="false">FALSE()</f>
        <v>0</v>
      </c>
    </row>
    <row r="295" customFormat="false" ht="15.75" hidden="false" customHeight="false" outlineLevel="0" collapsed="false">
      <c r="B295" s="17"/>
      <c r="C295" s="19" t="b">
        <f aca="false">FALSE()</f>
        <v>0</v>
      </c>
    </row>
    <row r="296" customFormat="false" ht="15.75" hidden="false" customHeight="false" outlineLevel="0" collapsed="false">
      <c r="B296" s="17"/>
      <c r="C296" s="19" t="b">
        <f aca="false">FALSE()</f>
        <v>0</v>
      </c>
    </row>
    <row r="297" customFormat="false" ht="15.75" hidden="false" customHeight="false" outlineLevel="0" collapsed="false">
      <c r="B297" s="17"/>
      <c r="C297" s="19" t="b">
        <f aca="false">FALSE()</f>
        <v>0</v>
      </c>
    </row>
    <row r="298" customFormat="false" ht="15.75" hidden="false" customHeight="false" outlineLevel="0" collapsed="false">
      <c r="B298" s="17"/>
      <c r="C298" s="19" t="b">
        <f aca="false">FALSE()</f>
        <v>0</v>
      </c>
    </row>
    <row r="299" customFormat="false" ht="15.75" hidden="false" customHeight="false" outlineLevel="0" collapsed="false">
      <c r="B299" s="17"/>
      <c r="C299" s="19" t="b">
        <f aca="false">FALSE()</f>
        <v>0</v>
      </c>
    </row>
    <row r="300" customFormat="false" ht="15.75" hidden="false" customHeight="false" outlineLevel="0" collapsed="false">
      <c r="B300" s="17"/>
      <c r="C300" s="19" t="b">
        <f aca="false">FALSE()</f>
        <v>0</v>
      </c>
    </row>
    <row r="301" customFormat="false" ht="15.75" hidden="false" customHeight="false" outlineLevel="0" collapsed="false">
      <c r="B301" s="17"/>
      <c r="C301" s="19" t="b">
        <f aca="false">FALSE()</f>
        <v>0</v>
      </c>
    </row>
    <row r="302" customFormat="false" ht="15.75" hidden="false" customHeight="false" outlineLevel="0" collapsed="false">
      <c r="B302" s="17"/>
      <c r="C302" s="19" t="b">
        <f aca="false">FALSE()</f>
        <v>0</v>
      </c>
    </row>
    <row r="303" customFormat="false" ht="15.75" hidden="false" customHeight="false" outlineLevel="0" collapsed="false">
      <c r="B303" s="17"/>
      <c r="C303" s="19" t="b">
        <f aca="false">FALSE()</f>
        <v>0</v>
      </c>
    </row>
    <row r="304" customFormat="false" ht="15.75" hidden="false" customHeight="false" outlineLevel="0" collapsed="false">
      <c r="B304" s="17"/>
      <c r="C304" s="19" t="b">
        <f aca="false">FALSE()</f>
        <v>0</v>
      </c>
    </row>
    <row r="305" customFormat="false" ht="15.75" hidden="false" customHeight="false" outlineLevel="0" collapsed="false">
      <c r="B305" s="17"/>
      <c r="C305" s="19" t="b">
        <f aca="false">FALSE()</f>
        <v>0</v>
      </c>
    </row>
    <row r="306" customFormat="false" ht="15.75" hidden="false" customHeight="false" outlineLevel="0" collapsed="false">
      <c r="B306" s="17"/>
      <c r="C306" s="19" t="b">
        <f aca="false">FALSE()</f>
        <v>0</v>
      </c>
    </row>
    <row r="307" customFormat="false" ht="15.75" hidden="false" customHeight="false" outlineLevel="0" collapsed="false">
      <c r="B307" s="17"/>
      <c r="C307" s="19" t="b">
        <f aca="false">FALSE()</f>
        <v>0</v>
      </c>
    </row>
    <row r="308" customFormat="false" ht="15.75" hidden="false" customHeight="false" outlineLevel="0" collapsed="false">
      <c r="B308" s="17"/>
      <c r="C308" s="19" t="b">
        <f aca="false">FALSE()</f>
        <v>0</v>
      </c>
    </row>
    <row r="309" customFormat="false" ht="15.75" hidden="false" customHeight="false" outlineLevel="0" collapsed="false">
      <c r="B309" s="17"/>
      <c r="C309" s="19" t="b">
        <f aca="false">FALSE()</f>
        <v>0</v>
      </c>
    </row>
    <row r="310" customFormat="false" ht="15.75" hidden="false" customHeight="false" outlineLevel="0" collapsed="false">
      <c r="B310" s="17"/>
      <c r="C310" s="19" t="b">
        <f aca="false">FALSE()</f>
        <v>0</v>
      </c>
    </row>
    <row r="311" customFormat="false" ht="15.75" hidden="false" customHeight="false" outlineLevel="0" collapsed="false">
      <c r="B311" s="17"/>
      <c r="C311" s="19" t="b">
        <f aca="false">FALSE()</f>
        <v>0</v>
      </c>
    </row>
    <row r="312" customFormat="false" ht="15.75" hidden="false" customHeight="false" outlineLevel="0" collapsed="false">
      <c r="B312" s="17"/>
      <c r="C312" s="19" t="b">
        <f aca="false">FALSE()</f>
        <v>0</v>
      </c>
    </row>
    <row r="313" customFormat="false" ht="15.75" hidden="false" customHeight="false" outlineLevel="0" collapsed="false">
      <c r="B313" s="17"/>
      <c r="C313" s="19" t="b">
        <f aca="false">FALSE()</f>
        <v>0</v>
      </c>
    </row>
    <row r="314" customFormat="false" ht="15.75" hidden="false" customHeight="false" outlineLevel="0" collapsed="false">
      <c r="B314" s="17"/>
      <c r="C314" s="19" t="b">
        <f aca="false">FALSE()</f>
        <v>0</v>
      </c>
    </row>
    <row r="315" customFormat="false" ht="15.75" hidden="false" customHeight="false" outlineLevel="0" collapsed="false">
      <c r="B315" s="17"/>
      <c r="C315" s="19" t="b">
        <f aca="false">FALSE()</f>
        <v>0</v>
      </c>
    </row>
    <row r="316" customFormat="false" ht="15.75" hidden="false" customHeight="false" outlineLevel="0" collapsed="false">
      <c r="B316" s="17"/>
      <c r="C316" s="19" t="b">
        <f aca="false">FALSE()</f>
        <v>0</v>
      </c>
    </row>
    <row r="317" customFormat="false" ht="15.75" hidden="false" customHeight="false" outlineLevel="0" collapsed="false">
      <c r="B317" s="17"/>
      <c r="C317" s="19" t="b">
        <f aca="false">FALSE()</f>
        <v>0</v>
      </c>
    </row>
    <row r="318" customFormat="false" ht="15.75" hidden="false" customHeight="false" outlineLevel="0" collapsed="false">
      <c r="B318" s="17"/>
      <c r="C318" s="19" t="b">
        <f aca="false">FALSE()</f>
        <v>0</v>
      </c>
    </row>
    <row r="319" customFormat="false" ht="15.75" hidden="false" customHeight="false" outlineLevel="0" collapsed="false">
      <c r="B319" s="17"/>
      <c r="C319" s="19" t="b">
        <f aca="false">FALSE()</f>
        <v>0</v>
      </c>
    </row>
    <row r="320" customFormat="false" ht="15.75" hidden="false" customHeight="false" outlineLevel="0" collapsed="false">
      <c r="B320" s="17"/>
      <c r="C320" s="19" t="b">
        <f aca="false">FALSE()</f>
        <v>0</v>
      </c>
    </row>
    <row r="321" customFormat="false" ht="15.75" hidden="false" customHeight="false" outlineLevel="0" collapsed="false">
      <c r="B321" s="17"/>
      <c r="C321" s="19" t="b">
        <f aca="false">FALSE()</f>
        <v>0</v>
      </c>
    </row>
    <row r="322" customFormat="false" ht="15.75" hidden="false" customHeight="false" outlineLevel="0" collapsed="false">
      <c r="B322" s="17"/>
      <c r="C322" s="19" t="b">
        <f aca="false">FALSE()</f>
        <v>0</v>
      </c>
    </row>
    <row r="323" customFormat="false" ht="15.75" hidden="false" customHeight="false" outlineLevel="0" collapsed="false">
      <c r="B323" s="17"/>
      <c r="C323" s="19" t="b">
        <f aca="false">FALSE()</f>
        <v>0</v>
      </c>
    </row>
    <row r="324" customFormat="false" ht="15.75" hidden="false" customHeight="false" outlineLevel="0" collapsed="false">
      <c r="B324" s="17"/>
      <c r="C324" s="19" t="b">
        <f aca="false">FALSE()</f>
        <v>0</v>
      </c>
    </row>
    <row r="325" customFormat="false" ht="15.75" hidden="false" customHeight="false" outlineLevel="0" collapsed="false">
      <c r="B325" s="17"/>
      <c r="C325" s="19" t="b">
        <f aca="false">FALSE()</f>
        <v>0</v>
      </c>
    </row>
    <row r="326" customFormat="false" ht="15.75" hidden="false" customHeight="false" outlineLevel="0" collapsed="false">
      <c r="B326" s="17"/>
      <c r="C326" s="19" t="b">
        <f aca="false">FALSE()</f>
        <v>0</v>
      </c>
    </row>
    <row r="327" customFormat="false" ht="15.75" hidden="false" customHeight="false" outlineLevel="0" collapsed="false">
      <c r="B327" s="17"/>
      <c r="C327" s="19" t="b">
        <f aca="false">FALSE()</f>
        <v>0</v>
      </c>
    </row>
    <row r="328" customFormat="false" ht="15.75" hidden="false" customHeight="false" outlineLevel="0" collapsed="false">
      <c r="B328" s="17"/>
      <c r="C328" s="19" t="b">
        <f aca="false">FALSE()</f>
        <v>0</v>
      </c>
    </row>
    <row r="329" customFormat="false" ht="15.75" hidden="false" customHeight="false" outlineLevel="0" collapsed="false">
      <c r="B329" s="17"/>
      <c r="C329" s="19" t="b">
        <f aca="false">FALSE()</f>
        <v>0</v>
      </c>
    </row>
    <row r="330" customFormat="false" ht="15.75" hidden="false" customHeight="false" outlineLevel="0" collapsed="false">
      <c r="B330" s="17"/>
      <c r="C330" s="19" t="b">
        <f aca="false">FALSE()</f>
        <v>0</v>
      </c>
    </row>
    <row r="331" customFormat="false" ht="15.75" hidden="false" customHeight="false" outlineLevel="0" collapsed="false">
      <c r="B331" s="17"/>
      <c r="C331" s="19" t="b">
        <f aca="false">FALSE()</f>
        <v>0</v>
      </c>
    </row>
    <row r="332" customFormat="false" ht="15.75" hidden="false" customHeight="false" outlineLevel="0" collapsed="false">
      <c r="B332" s="17"/>
      <c r="C332" s="19" t="b">
        <f aca="false">FALSE()</f>
        <v>0</v>
      </c>
    </row>
    <row r="333" customFormat="false" ht="15.75" hidden="false" customHeight="false" outlineLevel="0" collapsed="false">
      <c r="B333" s="17"/>
      <c r="C333" s="19" t="b">
        <f aca="false">FALSE()</f>
        <v>0</v>
      </c>
    </row>
    <row r="334" customFormat="false" ht="15.75" hidden="false" customHeight="false" outlineLevel="0" collapsed="false">
      <c r="B334" s="17"/>
      <c r="C334" s="19" t="b">
        <f aca="false">FALSE()</f>
        <v>0</v>
      </c>
    </row>
    <row r="335" customFormat="false" ht="15.75" hidden="false" customHeight="false" outlineLevel="0" collapsed="false">
      <c r="B335" s="17"/>
      <c r="C335" s="19" t="b">
        <f aca="false">FALSE()</f>
        <v>0</v>
      </c>
    </row>
    <row r="336" customFormat="false" ht="15.75" hidden="false" customHeight="false" outlineLevel="0" collapsed="false">
      <c r="B336" s="17"/>
      <c r="C336" s="19" t="b">
        <f aca="false">FALSE()</f>
        <v>0</v>
      </c>
    </row>
    <row r="337" customFormat="false" ht="15.75" hidden="false" customHeight="false" outlineLevel="0" collapsed="false">
      <c r="B337" s="17"/>
      <c r="C337" s="19" t="b">
        <f aca="false">FALSE()</f>
        <v>0</v>
      </c>
    </row>
    <row r="338" customFormat="false" ht="15.75" hidden="false" customHeight="false" outlineLevel="0" collapsed="false">
      <c r="B338" s="17"/>
      <c r="C338" s="19" t="b">
        <f aca="false">FALSE()</f>
        <v>0</v>
      </c>
    </row>
    <row r="339" customFormat="false" ht="15.75" hidden="false" customHeight="false" outlineLevel="0" collapsed="false">
      <c r="B339" s="17"/>
      <c r="C339" s="19" t="b">
        <f aca="false">FALSE()</f>
        <v>0</v>
      </c>
    </row>
    <row r="340" customFormat="false" ht="15.75" hidden="false" customHeight="false" outlineLevel="0" collapsed="false">
      <c r="B340" s="17"/>
      <c r="C340" s="19" t="b">
        <f aca="false">FALSE()</f>
        <v>0</v>
      </c>
    </row>
    <row r="341" customFormat="false" ht="15.75" hidden="false" customHeight="false" outlineLevel="0" collapsed="false">
      <c r="B341" s="17"/>
      <c r="C341" s="19" t="b">
        <f aca="false">FALSE()</f>
        <v>0</v>
      </c>
    </row>
    <row r="342" customFormat="false" ht="15.75" hidden="false" customHeight="false" outlineLevel="0" collapsed="false">
      <c r="B342" s="17"/>
      <c r="C342" s="19" t="b">
        <f aca="false">FALSE()</f>
        <v>0</v>
      </c>
    </row>
    <row r="343" customFormat="false" ht="15.75" hidden="false" customHeight="false" outlineLevel="0" collapsed="false">
      <c r="B343" s="17"/>
      <c r="C343" s="19" t="b">
        <f aca="false">FALSE()</f>
        <v>0</v>
      </c>
    </row>
    <row r="344" customFormat="false" ht="15.75" hidden="false" customHeight="false" outlineLevel="0" collapsed="false">
      <c r="B344" s="17"/>
      <c r="C344" s="19" t="b">
        <f aca="false">FALSE()</f>
        <v>0</v>
      </c>
    </row>
    <row r="345" customFormat="false" ht="15.75" hidden="false" customHeight="false" outlineLevel="0" collapsed="false">
      <c r="B345" s="17"/>
      <c r="C345" s="19" t="b">
        <f aca="false">FALSE()</f>
        <v>0</v>
      </c>
    </row>
    <row r="346" customFormat="false" ht="15.75" hidden="false" customHeight="false" outlineLevel="0" collapsed="false">
      <c r="B346" s="17"/>
      <c r="C346" s="19" t="b">
        <f aca="false">FALSE()</f>
        <v>0</v>
      </c>
    </row>
    <row r="347" customFormat="false" ht="15.75" hidden="false" customHeight="false" outlineLevel="0" collapsed="false">
      <c r="B347" s="17"/>
      <c r="C347" s="19" t="b">
        <f aca="false">FALSE()</f>
        <v>0</v>
      </c>
    </row>
    <row r="348" customFormat="false" ht="15.75" hidden="false" customHeight="false" outlineLevel="0" collapsed="false">
      <c r="B348" s="17"/>
      <c r="C348" s="19" t="b">
        <f aca="false">FALSE()</f>
        <v>0</v>
      </c>
    </row>
    <row r="349" customFormat="false" ht="15.75" hidden="false" customHeight="false" outlineLevel="0" collapsed="false">
      <c r="B349" s="17"/>
      <c r="C349" s="19" t="b">
        <f aca="false">FALSE()</f>
        <v>0</v>
      </c>
    </row>
    <row r="350" customFormat="false" ht="15.75" hidden="false" customHeight="false" outlineLevel="0" collapsed="false">
      <c r="B350" s="17"/>
      <c r="C350" s="19" t="b">
        <f aca="false">FALSE()</f>
        <v>0</v>
      </c>
    </row>
    <row r="351" customFormat="false" ht="15.75" hidden="false" customHeight="false" outlineLevel="0" collapsed="false">
      <c r="B351" s="17"/>
      <c r="C351" s="19" t="b">
        <f aca="false">FALSE()</f>
        <v>0</v>
      </c>
    </row>
    <row r="352" customFormat="false" ht="15.75" hidden="false" customHeight="false" outlineLevel="0" collapsed="false">
      <c r="B352" s="17"/>
      <c r="C352" s="19" t="b">
        <f aca="false">FALSE()</f>
        <v>0</v>
      </c>
    </row>
    <row r="353" customFormat="false" ht="15.75" hidden="false" customHeight="false" outlineLevel="0" collapsed="false">
      <c r="B353" s="17"/>
      <c r="C353" s="19" t="b">
        <f aca="false">FALSE()</f>
        <v>0</v>
      </c>
    </row>
    <row r="354" customFormat="false" ht="15.75" hidden="false" customHeight="false" outlineLevel="0" collapsed="false">
      <c r="B354" s="17"/>
      <c r="C354" s="19" t="b">
        <f aca="false">FALSE()</f>
        <v>0</v>
      </c>
    </row>
    <row r="355" customFormat="false" ht="15.75" hidden="false" customHeight="false" outlineLevel="0" collapsed="false">
      <c r="B355" s="17"/>
      <c r="C355" s="19" t="b">
        <f aca="false">FALSE()</f>
        <v>0</v>
      </c>
    </row>
    <row r="356" customFormat="false" ht="15.75" hidden="false" customHeight="false" outlineLevel="0" collapsed="false">
      <c r="B356" s="17"/>
      <c r="C356" s="19" t="b">
        <f aca="false">FALSE()</f>
        <v>0</v>
      </c>
    </row>
    <row r="357" customFormat="false" ht="15.75" hidden="false" customHeight="false" outlineLevel="0" collapsed="false">
      <c r="B357" s="17"/>
      <c r="C357" s="19" t="b">
        <f aca="false">FALSE()</f>
        <v>0</v>
      </c>
    </row>
    <row r="358" customFormat="false" ht="15.75" hidden="false" customHeight="false" outlineLevel="0" collapsed="false">
      <c r="B358" s="17"/>
      <c r="C358" s="19" t="b">
        <f aca="false">FALSE()</f>
        <v>0</v>
      </c>
    </row>
    <row r="359" customFormat="false" ht="15.75" hidden="false" customHeight="false" outlineLevel="0" collapsed="false">
      <c r="B359" s="17"/>
      <c r="C359" s="19" t="b">
        <f aca="false">FALSE()</f>
        <v>0</v>
      </c>
    </row>
    <row r="360" customFormat="false" ht="15.75" hidden="false" customHeight="false" outlineLevel="0" collapsed="false">
      <c r="B360" s="17"/>
      <c r="C360" s="19" t="b">
        <f aca="false">FALSE()</f>
        <v>0</v>
      </c>
    </row>
    <row r="361" customFormat="false" ht="15.75" hidden="false" customHeight="false" outlineLevel="0" collapsed="false">
      <c r="B361" s="17"/>
      <c r="C361" s="19" t="b">
        <f aca="false">FALSE()</f>
        <v>0</v>
      </c>
    </row>
    <row r="362" customFormat="false" ht="15.75" hidden="false" customHeight="false" outlineLevel="0" collapsed="false">
      <c r="B362" s="17"/>
      <c r="C362" s="19" t="b">
        <f aca="false">FALSE()</f>
        <v>0</v>
      </c>
    </row>
    <row r="363" customFormat="false" ht="15.75" hidden="false" customHeight="false" outlineLevel="0" collapsed="false">
      <c r="B363" s="17"/>
      <c r="C363" s="19" t="b">
        <f aca="false">FALSE()</f>
        <v>0</v>
      </c>
    </row>
    <row r="364" customFormat="false" ht="15.75" hidden="false" customHeight="false" outlineLevel="0" collapsed="false">
      <c r="B364" s="17"/>
      <c r="C364" s="19" t="b">
        <f aca="false">FALSE()</f>
        <v>0</v>
      </c>
    </row>
    <row r="365" customFormat="false" ht="15.75" hidden="false" customHeight="false" outlineLevel="0" collapsed="false">
      <c r="B365" s="17"/>
      <c r="C365" s="19" t="b">
        <f aca="false">FALSE()</f>
        <v>0</v>
      </c>
    </row>
    <row r="366" customFormat="false" ht="15.75" hidden="false" customHeight="false" outlineLevel="0" collapsed="false">
      <c r="B366" s="17"/>
      <c r="C366" s="19" t="b">
        <f aca="false">FALSE()</f>
        <v>0</v>
      </c>
    </row>
    <row r="367" customFormat="false" ht="15.75" hidden="false" customHeight="false" outlineLevel="0" collapsed="false">
      <c r="B367" s="17"/>
      <c r="C367" s="19" t="b">
        <f aca="false">FALSE()</f>
        <v>0</v>
      </c>
    </row>
    <row r="368" customFormat="false" ht="15.75" hidden="false" customHeight="false" outlineLevel="0" collapsed="false">
      <c r="B368" s="17"/>
      <c r="C368" s="19" t="b">
        <f aca="false">FALSE()</f>
        <v>0</v>
      </c>
    </row>
    <row r="369" customFormat="false" ht="15.75" hidden="false" customHeight="false" outlineLevel="0" collapsed="false">
      <c r="B369" s="17"/>
      <c r="C369" s="19" t="b">
        <f aca="false">FALSE()</f>
        <v>0</v>
      </c>
    </row>
    <row r="370" customFormat="false" ht="15.75" hidden="false" customHeight="false" outlineLevel="0" collapsed="false">
      <c r="B370" s="17"/>
      <c r="C370" s="19" t="b">
        <f aca="false">FALSE()</f>
        <v>0</v>
      </c>
    </row>
    <row r="371" customFormat="false" ht="15.75" hidden="false" customHeight="false" outlineLevel="0" collapsed="false">
      <c r="B371" s="17"/>
      <c r="C371" s="19" t="b">
        <f aca="false">FALSE()</f>
        <v>0</v>
      </c>
    </row>
    <row r="372" customFormat="false" ht="15.75" hidden="false" customHeight="false" outlineLevel="0" collapsed="false">
      <c r="B372" s="17"/>
      <c r="C372" s="19" t="b">
        <f aca="false">FALSE()</f>
        <v>0</v>
      </c>
    </row>
    <row r="373" customFormat="false" ht="15.75" hidden="false" customHeight="false" outlineLevel="0" collapsed="false">
      <c r="B373" s="17"/>
      <c r="C373" s="19" t="b">
        <f aca="false">FALSE()</f>
        <v>0</v>
      </c>
    </row>
    <row r="374" customFormat="false" ht="15.75" hidden="false" customHeight="false" outlineLevel="0" collapsed="false">
      <c r="B374" s="17"/>
      <c r="C374" s="19" t="b">
        <f aca="false">FALSE()</f>
        <v>0</v>
      </c>
    </row>
    <row r="375" customFormat="false" ht="15.75" hidden="false" customHeight="false" outlineLevel="0" collapsed="false">
      <c r="B375" s="17"/>
      <c r="C375" s="19" t="b">
        <f aca="false">FALSE()</f>
        <v>0</v>
      </c>
    </row>
    <row r="376" customFormat="false" ht="15.75" hidden="false" customHeight="false" outlineLevel="0" collapsed="false">
      <c r="B376" s="17"/>
      <c r="C376" s="19" t="b">
        <f aca="false">FALSE()</f>
        <v>0</v>
      </c>
    </row>
    <row r="377" customFormat="false" ht="15.75" hidden="false" customHeight="false" outlineLevel="0" collapsed="false">
      <c r="B377" s="17"/>
      <c r="C377" s="19" t="b">
        <f aca="false">FALSE()</f>
        <v>0</v>
      </c>
    </row>
    <row r="378" customFormat="false" ht="15.75" hidden="false" customHeight="false" outlineLevel="0" collapsed="false">
      <c r="B378" s="17"/>
      <c r="C378" s="19" t="b">
        <f aca="false">FALSE()</f>
        <v>0</v>
      </c>
    </row>
    <row r="379" customFormat="false" ht="15.75" hidden="false" customHeight="false" outlineLevel="0" collapsed="false">
      <c r="B379" s="17"/>
      <c r="C379" s="19" t="b">
        <f aca="false">FALSE()</f>
        <v>0</v>
      </c>
    </row>
    <row r="380" customFormat="false" ht="15.75" hidden="false" customHeight="false" outlineLevel="0" collapsed="false">
      <c r="B380" s="17"/>
      <c r="C380" s="19" t="b">
        <f aca="false">FALSE()</f>
        <v>0</v>
      </c>
    </row>
    <row r="381" customFormat="false" ht="15.75" hidden="false" customHeight="false" outlineLevel="0" collapsed="false">
      <c r="B381" s="17"/>
      <c r="C381" s="19" t="b">
        <f aca="false">FALSE()</f>
        <v>0</v>
      </c>
    </row>
    <row r="382" customFormat="false" ht="15.75" hidden="false" customHeight="false" outlineLevel="0" collapsed="false">
      <c r="B382" s="17"/>
      <c r="C382" s="19" t="b">
        <f aca="false">FALSE()</f>
        <v>0</v>
      </c>
    </row>
    <row r="383" customFormat="false" ht="15.75" hidden="false" customHeight="false" outlineLevel="0" collapsed="false">
      <c r="B383" s="17"/>
      <c r="C383" s="19" t="b">
        <f aca="false">FALSE()</f>
        <v>0</v>
      </c>
    </row>
    <row r="384" customFormat="false" ht="15.75" hidden="false" customHeight="false" outlineLevel="0" collapsed="false">
      <c r="B384" s="17"/>
      <c r="C384" s="19" t="b">
        <f aca="false">FALSE()</f>
        <v>0</v>
      </c>
    </row>
    <row r="385" customFormat="false" ht="15.75" hidden="false" customHeight="false" outlineLevel="0" collapsed="false">
      <c r="B385" s="17"/>
      <c r="C385" s="19" t="b">
        <f aca="false">FALSE()</f>
        <v>0</v>
      </c>
    </row>
    <row r="386" customFormat="false" ht="15.75" hidden="false" customHeight="false" outlineLevel="0" collapsed="false">
      <c r="B386" s="17"/>
      <c r="C386" s="19" t="b">
        <f aca="false">FALSE()</f>
        <v>0</v>
      </c>
    </row>
    <row r="387" customFormat="false" ht="15.75" hidden="false" customHeight="false" outlineLevel="0" collapsed="false">
      <c r="B387" s="17"/>
      <c r="C387" s="19" t="b">
        <f aca="false">FALSE()</f>
        <v>0</v>
      </c>
    </row>
    <row r="388" customFormat="false" ht="15.75" hidden="false" customHeight="false" outlineLevel="0" collapsed="false">
      <c r="B388" s="17"/>
      <c r="C388" s="19" t="b">
        <f aca="false">FALSE()</f>
        <v>0</v>
      </c>
    </row>
    <row r="389" customFormat="false" ht="15.75" hidden="false" customHeight="false" outlineLevel="0" collapsed="false">
      <c r="B389" s="17"/>
      <c r="C389" s="19" t="b">
        <f aca="false">FALSE()</f>
        <v>0</v>
      </c>
    </row>
    <row r="390" customFormat="false" ht="15.75" hidden="false" customHeight="false" outlineLevel="0" collapsed="false">
      <c r="B390" s="17"/>
      <c r="C390" s="19" t="b">
        <f aca="false">FALSE()</f>
        <v>0</v>
      </c>
    </row>
    <row r="391" customFormat="false" ht="15.75" hidden="false" customHeight="false" outlineLevel="0" collapsed="false">
      <c r="B391" s="17"/>
      <c r="C391" s="19" t="b">
        <f aca="false">FALSE()</f>
        <v>0</v>
      </c>
    </row>
    <row r="392" customFormat="false" ht="15.75" hidden="false" customHeight="false" outlineLevel="0" collapsed="false">
      <c r="B392" s="17"/>
      <c r="C392" s="19" t="b">
        <f aca="false">FALSE()</f>
        <v>0</v>
      </c>
    </row>
    <row r="393" customFormat="false" ht="15.75" hidden="false" customHeight="false" outlineLevel="0" collapsed="false">
      <c r="B393" s="17"/>
      <c r="C393" s="19" t="b">
        <f aca="false">FALSE()</f>
        <v>0</v>
      </c>
    </row>
    <row r="394" customFormat="false" ht="15.75" hidden="false" customHeight="false" outlineLevel="0" collapsed="false">
      <c r="B394" s="17"/>
      <c r="C394" s="19" t="b">
        <f aca="false">FALSE()</f>
        <v>0</v>
      </c>
    </row>
    <row r="395" customFormat="false" ht="15.75" hidden="false" customHeight="false" outlineLevel="0" collapsed="false">
      <c r="B395" s="17"/>
      <c r="C395" s="19" t="b">
        <f aca="false">FALSE()</f>
        <v>0</v>
      </c>
    </row>
    <row r="396" customFormat="false" ht="15.75" hidden="false" customHeight="false" outlineLevel="0" collapsed="false">
      <c r="B396" s="17"/>
      <c r="C396" s="19" t="b">
        <f aca="false">FALSE()</f>
        <v>0</v>
      </c>
    </row>
    <row r="397" customFormat="false" ht="15.75" hidden="false" customHeight="false" outlineLevel="0" collapsed="false">
      <c r="B397" s="17"/>
      <c r="C397" s="19" t="b">
        <f aca="false">FALSE()</f>
        <v>0</v>
      </c>
    </row>
    <row r="398" customFormat="false" ht="15.75" hidden="false" customHeight="false" outlineLevel="0" collapsed="false">
      <c r="B398" s="17"/>
      <c r="C398" s="19" t="b">
        <f aca="false">FALSE()</f>
        <v>0</v>
      </c>
    </row>
    <row r="399" customFormat="false" ht="15.75" hidden="false" customHeight="false" outlineLevel="0" collapsed="false">
      <c r="B399" s="17"/>
      <c r="C399" s="19" t="b">
        <f aca="false">FALSE()</f>
        <v>0</v>
      </c>
    </row>
    <row r="400" customFormat="false" ht="15.75" hidden="false" customHeight="false" outlineLevel="0" collapsed="false">
      <c r="B400" s="17"/>
      <c r="C400" s="19" t="b">
        <f aca="false">FALSE()</f>
        <v>0</v>
      </c>
    </row>
    <row r="401" customFormat="false" ht="15.75" hidden="false" customHeight="false" outlineLevel="0" collapsed="false">
      <c r="B401" s="17"/>
      <c r="C401" s="19" t="b">
        <f aca="false">FALSE()</f>
        <v>0</v>
      </c>
    </row>
    <row r="402" customFormat="false" ht="15.75" hidden="false" customHeight="false" outlineLevel="0" collapsed="false">
      <c r="B402" s="17"/>
      <c r="C402" s="19" t="b">
        <f aca="false">FALSE()</f>
        <v>0</v>
      </c>
    </row>
    <row r="403" customFormat="false" ht="15.75" hidden="false" customHeight="false" outlineLevel="0" collapsed="false">
      <c r="B403" s="17"/>
      <c r="C403" s="19" t="b">
        <f aca="false">FALSE()</f>
        <v>0</v>
      </c>
    </row>
    <row r="404" customFormat="false" ht="15.75" hidden="false" customHeight="false" outlineLevel="0" collapsed="false">
      <c r="B404" s="17"/>
      <c r="C404" s="19" t="b">
        <f aca="false">FALSE()</f>
        <v>0</v>
      </c>
    </row>
    <row r="405" customFormat="false" ht="15.75" hidden="false" customHeight="false" outlineLevel="0" collapsed="false">
      <c r="B405" s="17"/>
      <c r="C405" s="19" t="b">
        <f aca="false">FALSE()</f>
        <v>0</v>
      </c>
    </row>
    <row r="406" customFormat="false" ht="15.75" hidden="false" customHeight="false" outlineLevel="0" collapsed="false">
      <c r="B406" s="17"/>
      <c r="C406" s="19" t="b">
        <f aca="false">FALSE()</f>
        <v>0</v>
      </c>
    </row>
    <row r="407" customFormat="false" ht="15.75" hidden="false" customHeight="false" outlineLevel="0" collapsed="false">
      <c r="B407" s="17"/>
      <c r="C407" s="19" t="b">
        <f aca="false">FALSE()</f>
        <v>0</v>
      </c>
    </row>
    <row r="408" customFormat="false" ht="15.75" hidden="false" customHeight="false" outlineLevel="0" collapsed="false">
      <c r="B408" s="17"/>
      <c r="C408" s="19" t="b">
        <f aca="false">FALSE()</f>
        <v>0</v>
      </c>
    </row>
    <row r="409" customFormat="false" ht="15.75" hidden="false" customHeight="false" outlineLevel="0" collapsed="false">
      <c r="B409" s="17"/>
      <c r="C409" s="19" t="b">
        <f aca="false">FALSE()</f>
        <v>0</v>
      </c>
    </row>
    <row r="410" customFormat="false" ht="15.75" hidden="false" customHeight="false" outlineLevel="0" collapsed="false">
      <c r="B410" s="17"/>
      <c r="C410" s="19" t="b">
        <f aca="false">FALSE()</f>
        <v>0</v>
      </c>
    </row>
    <row r="411" customFormat="false" ht="15.75" hidden="false" customHeight="false" outlineLevel="0" collapsed="false">
      <c r="B411" s="17"/>
      <c r="C411" s="19" t="b">
        <f aca="false">FALSE()</f>
        <v>0</v>
      </c>
    </row>
    <row r="412" customFormat="false" ht="15.75" hidden="false" customHeight="false" outlineLevel="0" collapsed="false">
      <c r="B412" s="17"/>
      <c r="C412" s="19" t="b">
        <f aca="false">FALSE()</f>
        <v>0</v>
      </c>
    </row>
    <row r="413" customFormat="false" ht="15.75" hidden="false" customHeight="false" outlineLevel="0" collapsed="false">
      <c r="B413" s="17"/>
      <c r="C413" s="19" t="b">
        <f aca="false">FALSE()</f>
        <v>0</v>
      </c>
    </row>
    <row r="414" customFormat="false" ht="15.75" hidden="false" customHeight="false" outlineLevel="0" collapsed="false">
      <c r="B414" s="17"/>
      <c r="C414" s="19" t="b">
        <f aca="false">FALSE()</f>
        <v>0</v>
      </c>
    </row>
    <row r="415" customFormat="false" ht="15.75" hidden="false" customHeight="false" outlineLevel="0" collapsed="false">
      <c r="B415" s="17"/>
      <c r="C415" s="19" t="b">
        <f aca="false">FALSE()</f>
        <v>0</v>
      </c>
    </row>
    <row r="416" customFormat="false" ht="15.75" hidden="false" customHeight="false" outlineLevel="0" collapsed="false">
      <c r="B416" s="17"/>
      <c r="C416" s="19" t="b">
        <f aca="false">FALSE()</f>
        <v>0</v>
      </c>
    </row>
    <row r="417" customFormat="false" ht="15.75" hidden="false" customHeight="false" outlineLevel="0" collapsed="false">
      <c r="B417" s="17"/>
      <c r="C417" s="19" t="b">
        <f aca="false">FALSE()</f>
        <v>0</v>
      </c>
    </row>
    <row r="418" customFormat="false" ht="15.75" hidden="false" customHeight="false" outlineLevel="0" collapsed="false">
      <c r="B418" s="17"/>
      <c r="C418" s="19" t="b">
        <f aca="false">FALSE()</f>
        <v>0</v>
      </c>
    </row>
    <row r="419" customFormat="false" ht="15.75" hidden="false" customHeight="false" outlineLevel="0" collapsed="false">
      <c r="B419" s="17"/>
      <c r="C419" s="19" t="b">
        <f aca="false">FALSE()</f>
        <v>0</v>
      </c>
    </row>
    <row r="420" customFormat="false" ht="15.75" hidden="false" customHeight="false" outlineLevel="0" collapsed="false">
      <c r="B420" s="17"/>
      <c r="C420" s="19" t="b">
        <f aca="false">FALSE()</f>
        <v>0</v>
      </c>
    </row>
    <row r="421" customFormat="false" ht="15.75" hidden="false" customHeight="false" outlineLevel="0" collapsed="false">
      <c r="B421" s="17"/>
      <c r="C421" s="19" t="b">
        <f aca="false">FALSE()</f>
        <v>0</v>
      </c>
    </row>
    <row r="422" customFormat="false" ht="15.75" hidden="false" customHeight="false" outlineLevel="0" collapsed="false">
      <c r="B422" s="17"/>
      <c r="C422" s="19" t="b">
        <f aca="false">FALSE()</f>
        <v>0</v>
      </c>
    </row>
    <row r="423" customFormat="false" ht="15.75" hidden="false" customHeight="false" outlineLevel="0" collapsed="false">
      <c r="B423" s="17"/>
      <c r="C423" s="19" t="b">
        <f aca="false">FALSE()</f>
        <v>0</v>
      </c>
    </row>
    <row r="424" customFormat="false" ht="15.75" hidden="false" customHeight="false" outlineLevel="0" collapsed="false">
      <c r="B424" s="17"/>
      <c r="C424" s="19" t="b">
        <f aca="false">FALSE()</f>
        <v>0</v>
      </c>
    </row>
    <row r="425" customFormat="false" ht="15.75" hidden="false" customHeight="false" outlineLevel="0" collapsed="false">
      <c r="B425" s="17"/>
      <c r="C425" s="19" t="b">
        <f aca="false">FALSE()</f>
        <v>0</v>
      </c>
    </row>
    <row r="426" customFormat="false" ht="15.75" hidden="false" customHeight="false" outlineLevel="0" collapsed="false">
      <c r="B426" s="17"/>
      <c r="C426" s="19" t="b">
        <f aca="false">FALSE()</f>
        <v>0</v>
      </c>
    </row>
    <row r="427" customFormat="false" ht="15.75" hidden="false" customHeight="false" outlineLevel="0" collapsed="false">
      <c r="B427" s="17"/>
      <c r="C427" s="19" t="b">
        <f aca="false">FALSE()</f>
        <v>0</v>
      </c>
    </row>
    <row r="428" customFormat="false" ht="15.75" hidden="false" customHeight="false" outlineLevel="0" collapsed="false">
      <c r="B428" s="17"/>
      <c r="C428" s="19" t="b">
        <f aca="false">FALSE()</f>
        <v>0</v>
      </c>
    </row>
    <row r="429" customFormat="false" ht="15.75" hidden="false" customHeight="false" outlineLevel="0" collapsed="false">
      <c r="B429" s="17"/>
      <c r="C429" s="19" t="b">
        <f aca="false">FALSE()</f>
        <v>0</v>
      </c>
    </row>
    <row r="430" customFormat="false" ht="15.75" hidden="false" customHeight="false" outlineLevel="0" collapsed="false">
      <c r="B430" s="17"/>
      <c r="C430" s="19" t="b">
        <f aca="false">FALSE()</f>
        <v>0</v>
      </c>
    </row>
    <row r="431" customFormat="false" ht="15.75" hidden="false" customHeight="false" outlineLevel="0" collapsed="false">
      <c r="B431" s="17"/>
      <c r="C431" s="19" t="b">
        <f aca="false">FALSE()</f>
        <v>0</v>
      </c>
    </row>
    <row r="432" customFormat="false" ht="15.75" hidden="false" customHeight="false" outlineLevel="0" collapsed="false">
      <c r="B432" s="17"/>
      <c r="C432" s="19" t="b">
        <f aca="false">FALSE()</f>
        <v>0</v>
      </c>
    </row>
    <row r="433" customFormat="false" ht="15.75" hidden="false" customHeight="false" outlineLevel="0" collapsed="false">
      <c r="B433" s="17"/>
      <c r="C433" s="19" t="b">
        <f aca="false">FALSE()</f>
        <v>0</v>
      </c>
    </row>
    <row r="434" customFormat="false" ht="15.75" hidden="false" customHeight="false" outlineLevel="0" collapsed="false">
      <c r="B434" s="17"/>
      <c r="C434" s="19" t="b">
        <f aca="false">FALSE()</f>
        <v>0</v>
      </c>
    </row>
    <row r="435" customFormat="false" ht="15.75" hidden="false" customHeight="false" outlineLevel="0" collapsed="false">
      <c r="B435" s="17"/>
      <c r="C435" s="19" t="b">
        <f aca="false">FALSE()</f>
        <v>0</v>
      </c>
    </row>
    <row r="436" customFormat="false" ht="15.75" hidden="false" customHeight="false" outlineLevel="0" collapsed="false">
      <c r="B436" s="17"/>
      <c r="C436" s="19" t="b">
        <f aca="false">FALSE()</f>
        <v>0</v>
      </c>
    </row>
    <row r="437" customFormat="false" ht="15.75" hidden="false" customHeight="false" outlineLevel="0" collapsed="false">
      <c r="B437" s="17"/>
      <c r="C437" s="19" t="b">
        <f aca="false">FALSE()</f>
        <v>0</v>
      </c>
    </row>
    <row r="438" customFormat="false" ht="15.75" hidden="false" customHeight="false" outlineLevel="0" collapsed="false">
      <c r="B438" s="17"/>
      <c r="C438" s="19" t="b">
        <f aca="false">FALSE()</f>
        <v>0</v>
      </c>
    </row>
    <row r="439" customFormat="false" ht="15.75" hidden="false" customHeight="false" outlineLevel="0" collapsed="false">
      <c r="B439" s="17"/>
      <c r="C439" s="19" t="b">
        <f aca="false">FALSE()</f>
        <v>0</v>
      </c>
    </row>
    <row r="440" customFormat="false" ht="15.75" hidden="false" customHeight="false" outlineLevel="0" collapsed="false">
      <c r="B440" s="17"/>
      <c r="C440" s="19" t="b">
        <f aca="false">FALSE()</f>
        <v>0</v>
      </c>
    </row>
    <row r="441" customFormat="false" ht="15.75" hidden="false" customHeight="false" outlineLevel="0" collapsed="false">
      <c r="B441" s="17"/>
      <c r="C441" s="19" t="b">
        <f aca="false">FALSE()</f>
        <v>0</v>
      </c>
    </row>
    <row r="442" customFormat="false" ht="15.75" hidden="false" customHeight="false" outlineLevel="0" collapsed="false">
      <c r="B442" s="17"/>
      <c r="C442" s="19" t="b">
        <f aca="false">FALSE()</f>
        <v>0</v>
      </c>
    </row>
    <row r="443" customFormat="false" ht="15.75" hidden="false" customHeight="false" outlineLevel="0" collapsed="false">
      <c r="B443" s="17"/>
      <c r="C443" s="19" t="b">
        <f aca="false">FALSE()</f>
        <v>0</v>
      </c>
    </row>
    <row r="444" customFormat="false" ht="15.75" hidden="false" customHeight="false" outlineLevel="0" collapsed="false">
      <c r="B444" s="17"/>
      <c r="C444" s="19" t="b">
        <f aca="false">FALSE()</f>
        <v>0</v>
      </c>
    </row>
    <row r="445" customFormat="false" ht="15.75" hidden="false" customHeight="false" outlineLevel="0" collapsed="false">
      <c r="B445" s="17"/>
      <c r="C445" s="19" t="b">
        <f aca="false">FALSE()</f>
        <v>0</v>
      </c>
    </row>
    <row r="446" customFormat="false" ht="15.75" hidden="false" customHeight="false" outlineLevel="0" collapsed="false">
      <c r="B446" s="17"/>
      <c r="C446" s="19" t="b">
        <f aca="false">FALSE()</f>
        <v>0</v>
      </c>
    </row>
    <row r="447" customFormat="false" ht="15.75" hidden="false" customHeight="false" outlineLevel="0" collapsed="false">
      <c r="B447" s="17"/>
      <c r="C447" s="19" t="b">
        <f aca="false">FALSE()</f>
        <v>0</v>
      </c>
    </row>
    <row r="448" customFormat="false" ht="15.75" hidden="false" customHeight="false" outlineLevel="0" collapsed="false">
      <c r="B448" s="17"/>
      <c r="C448" s="19" t="b">
        <f aca="false">FALSE()</f>
        <v>0</v>
      </c>
    </row>
    <row r="449" customFormat="false" ht="15.75" hidden="false" customHeight="false" outlineLevel="0" collapsed="false">
      <c r="B449" s="17"/>
      <c r="C449" s="19" t="b">
        <f aca="false">FALSE()</f>
        <v>0</v>
      </c>
    </row>
    <row r="450" customFormat="false" ht="15.75" hidden="false" customHeight="false" outlineLevel="0" collapsed="false">
      <c r="B450" s="17"/>
      <c r="C450" s="19" t="b">
        <f aca="false">FALSE()</f>
        <v>0</v>
      </c>
    </row>
    <row r="451" customFormat="false" ht="15.75" hidden="false" customHeight="false" outlineLevel="0" collapsed="false">
      <c r="B451" s="17"/>
      <c r="C451" s="19" t="b">
        <f aca="false">FALSE()</f>
        <v>0</v>
      </c>
    </row>
    <row r="452" customFormat="false" ht="15.75" hidden="false" customHeight="false" outlineLevel="0" collapsed="false">
      <c r="B452" s="17"/>
      <c r="C452" s="19" t="b">
        <f aca="false">FALSE()</f>
        <v>0</v>
      </c>
    </row>
    <row r="453" customFormat="false" ht="15.75" hidden="false" customHeight="false" outlineLevel="0" collapsed="false">
      <c r="B453" s="17"/>
      <c r="C453" s="19" t="b">
        <f aca="false">FALSE()</f>
        <v>0</v>
      </c>
    </row>
    <row r="454" customFormat="false" ht="15.75" hidden="false" customHeight="false" outlineLevel="0" collapsed="false">
      <c r="B454" s="17"/>
      <c r="C454" s="19" t="b">
        <f aca="false">FALSE()</f>
        <v>0</v>
      </c>
    </row>
    <row r="455" customFormat="false" ht="15.75" hidden="false" customHeight="false" outlineLevel="0" collapsed="false">
      <c r="B455" s="17"/>
      <c r="C455" s="19" t="b">
        <f aca="false">FALSE()</f>
        <v>0</v>
      </c>
    </row>
    <row r="456" customFormat="false" ht="15.75" hidden="false" customHeight="false" outlineLevel="0" collapsed="false">
      <c r="B456" s="17"/>
      <c r="C456" s="19" t="b">
        <f aca="false">FALSE()</f>
        <v>0</v>
      </c>
    </row>
    <row r="457" customFormat="false" ht="15.75" hidden="false" customHeight="false" outlineLevel="0" collapsed="false">
      <c r="B457" s="17"/>
      <c r="C457" s="19" t="b">
        <f aca="false">FALSE()</f>
        <v>0</v>
      </c>
    </row>
    <row r="458" customFormat="false" ht="15.75" hidden="false" customHeight="false" outlineLevel="0" collapsed="false">
      <c r="B458" s="17"/>
      <c r="C458" s="19" t="b">
        <f aca="false">FALSE()</f>
        <v>0</v>
      </c>
    </row>
    <row r="459" customFormat="false" ht="15.75" hidden="false" customHeight="false" outlineLevel="0" collapsed="false">
      <c r="B459" s="17"/>
      <c r="C459" s="19" t="b">
        <f aca="false">FALSE()</f>
        <v>0</v>
      </c>
    </row>
    <row r="460" customFormat="false" ht="15.75" hidden="false" customHeight="false" outlineLevel="0" collapsed="false">
      <c r="B460" s="17"/>
      <c r="C460" s="19" t="b">
        <f aca="false">FALSE()</f>
        <v>0</v>
      </c>
    </row>
    <row r="461" customFormat="false" ht="15.75" hidden="false" customHeight="false" outlineLevel="0" collapsed="false">
      <c r="B461" s="17"/>
      <c r="C461" s="19" t="b">
        <f aca="false">FALSE()</f>
        <v>0</v>
      </c>
    </row>
    <row r="462" customFormat="false" ht="15.75" hidden="false" customHeight="false" outlineLevel="0" collapsed="false">
      <c r="B462" s="17"/>
      <c r="C462" s="19" t="b">
        <f aca="false">FALSE()</f>
        <v>0</v>
      </c>
    </row>
    <row r="463" customFormat="false" ht="15.75" hidden="false" customHeight="false" outlineLevel="0" collapsed="false">
      <c r="B463" s="17"/>
      <c r="C463" s="19" t="b">
        <f aca="false">FALSE()</f>
        <v>0</v>
      </c>
    </row>
    <row r="464" customFormat="false" ht="15.75" hidden="false" customHeight="false" outlineLevel="0" collapsed="false">
      <c r="B464" s="17"/>
      <c r="C464" s="19" t="b">
        <f aca="false">FALSE()</f>
        <v>0</v>
      </c>
    </row>
    <row r="465" customFormat="false" ht="15.75" hidden="false" customHeight="false" outlineLevel="0" collapsed="false">
      <c r="B465" s="17"/>
      <c r="C465" s="19" t="b">
        <f aca="false">FALSE()</f>
        <v>0</v>
      </c>
    </row>
    <row r="466" customFormat="false" ht="15.75" hidden="false" customHeight="false" outlineLevel="0" collapsed="false">
      <c r="B466" s="17"/>
      <c r="C466" s="19" t="b">
        <f aca="false">FALSE()</f>
        <v>0</v>
      </c>
    </row>
    <row r="467" customFormat="false" ht="15.75" hidden="false" customHeight="false" outlineLevel="0" collapsed="false">
      <c r="B467" s="17"/>
      <c r="C467" s="19" t="b">
        <f aca="false">FALSE()</f>
        <v>0</v>
      </c>
    </row>
    <row r="468" customFormat="false" ht="15.75" hidden="false" customHeight="false" outlineLevel="0" collapsed="false">
      <c r="B468" s="17"/>
      <c r="C468" s="19" t="b">
        <f aca="false">FALSE()</f>
        <v>0</v>
      </c>
    </row>
    <row r="469" customFormat="false" ht="15.75" hidden="false" customHeight="false" outlineLevel="0" collapsed="false">
      <c r="B469" s="17"/>
      <c r="C469" s="19" t="b">
        <f aca="false">FALSE()</f>
        <v>0</v>
      </c>
    </row>
    <row r="470" customFormat="false" ht="15.75" hidden="false" customHeight="false" outlineLevel="0" collapsed="false">
      <c r="B470" s="17"/>
      <c r="C470" s="19" t="b">
        <f aca="false">FALSE()</f>
        <v>0</v>
      </c>
    </row>
    <row r="471" customFormat="false" ht="15.75" hidden="false" customHeight="false" outlineLevel="0" collapsed="false">
      <c r="B471" s="17"/>
      <c r="C471" s="19" t="b">
        <f aca="false">FALSE()</f>
        <v>0</v>
      </c>
    </row>
    <row r="472" customFormat="false" ht="15.75" hidden="false" customHeight="false" outlineLevel="0" collapsed="false">
      <c r="B472" s="17"/>
      <c r="C472" s="19" t="b">
        <f aca="false">FALSE()</f>
        <v>0</v>
      </c>
    </row>
    <row r="473" customFormat="false" ht="15.75" hidden="false" customHeight="false" outlineLevel="0" collapsed="false">
      <c r="B473" s="17"/>
      <c r="C473" s="19" t="b">
        <f aca="false">FALSE()</f>
        <v>0</v>
      </c>
    </row>
    <row r="474" customFormat="false" ht="15.75" hidden="false" customHeight="false" outlineLevel="0" collapsed="false">
      <c r="B474" s="17"/>
      <c r="C474" s="19" t="b">
        <f aca="false">FALSE()</f>
        <v>0</v>
      </c>
    </row>
    <row r="475" customFormat="false" ht="15.75" hidden="false" customHeight="false" outlineLevel="0" collapsed="false">
      <c r="B475" s="17"/>
      <c r="C475" s="19" t="b">
        <f aca="false">FALSE()</f>
        <v>0</v>
      </c>
    </row>
    <row r="476" customFormat="false" ht="15.75" hidden="false" customHeight="false" outlineLevel="0" collapsed="false">
      <c r="B476" s="17"/>
      <c r="C476" s="19" t="b">
        <f aca="false">FALSE()</f>
        <v>0</v>
      </c>
    </row>
    <row r="477" customFormat="false" ht="15.75" hidden="false" customHeight="false" outlineLevel="0" collapsed="false">
      <c r="B477" s="17"/>
      <c r="C477" s="19" t="b">
        <f aca="false">FALSE()</f>
        <v>0</v>
      </c>
    </row>
    <row r="478" customFormat="false" ht="15.75" hidden="false" customHeight="false" outlineLevel="0" collapsed="false">
      <c r="B478" s="17"/>
      <c r="C478" s="19" t="b">
        <f aca="false">FALSE()</f>
        <v>0</v>
      </c>
    </row>
    <row r="479" customFormat="false" ht="15.75" hidden="false" customHeight="false" outlineLevel="0" collapsed="false">
      <c r="B479" s="17"/>
      <c r="C479" s="19" t="b">
        <f aca="false">FALSE()</f>
        <v>0</v>
      </c>
    </row>
    <row r="480" customFormat="false" ht="15.75" hidden="false" customHeight="false" outlineLevel="0" collapsed="false">
      <c r="B480" s="17"/>
      <c r="C480" s="19" t="b">
        <f aca="false">FALSE()</f>
        <v>0</v>
      </c>
    </row>
    <row r="481" customFormat="false" ht="15.75" hidden="false" customHeight="false" outlineLevel="0" collapsed="false">
      <c r="B481" s="17"/>
      <c r="C481" s="19" t="b">
        <f aca="false">FALSE()</f>
        <v>0</v>
      </c>
    </row>
    <row r="482" customFormat="false" ht="15.75" hidden="false" customHeight="false" outlineLevel="0" collapsed="false">
      <c r="B482" s="17"/>
      <c r="C482" s="19" t="b">
        <f aca="false">FALSE()</f>
        <v>0</v>
      </c>
    </row>
    <row r="483" customFormat="false" ht="15.75" hidden="false" customHeight="false" outlineLevel="0" collapsed="false">
      <c r="B483" s="17"/>
      <c r="C483" s="19" t="b">
        <f aca="false">FALSE()</f>
        <v>0</v>
      </c>
    </row>
    <row r="484" customFormat="false" ht="15.75" hidden="false" customHeight="false" outlineLevel="0" collapsed="false">
      <c r="B484" s="17"/>
      <c r="C484" s="19" t="b">
        <f aca="false">FALSE()</f>
        <v>0</v>
      </c>
    </row>
    <row r="485" customFormat="false" ht="15.75" hidden="false" customHeight="false" outlineLevel="0" collapsed="false">
      <c r="B485" s="17"/>
      <c r="C485" s="19" t="b">
        <f aca="false">FALSE()</f>
        <v>0</v>
      </c>
    </row>
    <row r="486" customFormat="false" ht="15.75" hidden="false" customHeight="false" outlineLevel="0" collapsed="false">
      <c r="B486" s="17"/>
      <c r="C486" s="19" t="b">
        <f aca="false">FALSE()</f>
        <v>0</v>
      </c>
    </row>
    <row r="487" customFormat="false" ht="15.75" hidden="false" customHeight="false" outlineLevel="0" collapsed="false">
      <c r="B487" s="17"/>
      <c r="C487" s="19" t="b">
        <f aca="false">FALSE()</f>
        <v>0</v>
      </c>
    </row>
    <row r="488" customFormat="false" ht="15.75" hidden="false" customHeight="false" outlineLevel="0" collapsed="false">
      <c r="B488" s="17"/>
      <c r="C488" s="19" t="b">
        <f aca="false">FALSE()</f>
        <v>0</v>
      </c>
    </row>
    <row r="489" customFormat="false" ht="15.75" hidden="false" customHeight="false" outlineLevel="0" collapsed="false">
      <c r="B489" s="17"/>
      <c r="C489" s="19" t="b">
        <f aca="false">FALSE()</f>
        <v>0</v>
      </c>
    </row>
    <row r="490" customFormat="false" ht="15.75" hidden="false" customHeight="false" outlineLevel="0" collapsed="false">
      <c r="B490" s="17"/>
      <c r="C490" s="19" t="b">
        <f aca="false">FALSE()</f>
        <v>0</v>
      </c>
    </row>
    <row r="491" customFormat="false" ht="15.75" hidden="false" customHeight="false" outlineLevel="0" collapsed="false">
      <c r="B491" s="17"/>
      <c r="C491" s="19" t="b">
        <f aca="false">FALSE()</f>
        <v>0</v>
      </c>
    </row>
    <row r="492" customFormat="false" ht="15.75" hidden="false" customHeight="false" outlineLevel="0" collapsed="false">
      <c r="B492" s="17"/>
      <c r="C492" s="19" t="b">
        <f aca="false">FALSE()</f>
        <v>0</v>
      </c>
    </row>
    <row r="493" customFormat="false" ht="15.75" hidden="false" customHeight="false" outlineLevel="0" collapsed="false">
      <c r="B493" s="17"/>
      <c r="C493" s="19" t="b">
        <f aca="false">FALSE()</f>
        <v>0</v>
      </c>
    </row>
    <row r="494" customFormat="false" ht="15.75" hidden="false" customHeight="false" outlineLevel="0" collapsed="false">
      <c r="B494" s="17"/>
      <c r="C494" s="19" t="b">
        <f aca="false">FALSE()</f>
        <v>0</v>
      </c>
    </row>
    <row r="495" customFormat="false" ht="15.75" hidden="false" customHeight="false" outlineLevel="0" collapsed="false">
      <c r="B495" s="17"/>
      <c r="C495" s="19" t="b">
        <f aca="false">FALSE()</f>
        <v>0</v>
      </c>
    </row>
    <row r="496" customFormat="false" ht="15.75" hidden="false" customHeight="false" outlineLevel="0" collapsed="false">
      <c r="B496" s="17"/>
      <c r="C496" s="19" t="b">
        <f aca="false">FALSE()</f>
        <v>0</v>
      </c>
    </row>
    <row r="497" customFormat="false" ht="15.75" hidden="false" customHeight="false" outlineLevel="0" collapsed="false">
      <c r="B497" s="17"/>
      <c r="C497" s="19" t="b">
        <f aca="false">FALSE()</f>
        <v>0</v>
      </c>
    </row>
    <row r="498" customFormat="false" ht="15.75" hidden="false" customHeight="false" outlineLevel="0" collapsed="false">
      <c r="B498" s="17"/>
      <c r="C498" s="19" t="b">
        <f aca="false">FALSE()</f>
        <v>0</v>
      </c>
    </row>
    <row r="499" customFormat="false" ht="15.75" hidden="false" customHeight="false" outlineLevel="0" collapsed="false">
      <c r="B499" s="17"/>
      <c r="C499" s="19" t="b">
        <f aca="false">FALSE()</f>
        <v>0</v>
      </c>
    </row>
    <row r="500" customFormat="false" ht="15.75" hidden="false" customHeight="false" outlineLevel="0" collapsed="false">
      <c r="B500" s="17"/>
      <c r="C500" s="19" t="b">
        <f aca="false">FALSE()</f>
        <v>0</v>
      </c>
    </row>
    <row r="501" customFormat="false" ht="15.75" hidden="false" customHeight="false" outlineLevel="0" collapsed="false">
      <c r="B501" s="17"/>
      <c r="C501" s="19" t="b">
        <f aca="false">FALSE()</f>
        <v>0</v>
      </c>
    </row>
    <row r="502" customFormat="false" ht="15.75" hidden="false" customHeight="false" outlineLevel="0" collapsed="false">
      <c r="B502" s="17"/>
      <c r="C502" s="19" t="b">
        <f aca="false">FALSE()</f>
        <v>0</v>
      </c>
    </row>
    <row r="503" customFormat="false" ht="15.75" hidden="false" customHeight="false" outlineLevel="0" collapsed="false">
      <c r="B503" s="17"/>
      <c r="C503" s="19" t="b">
        <f aca="false">FALSE()</f>
        <v>0</v>
      </c>
    </row>
    <row r="504" customFormat="false" ht="15.75" hidden="false" customHeight="false" outlineLevel="0" collapsed="false">
      <c r="B504" s="17"/>
      <c r="C504" s="19" t="b">
        <f aca="false">FALSE()</f>
        <v>0</v>
      </c>
    </row>
    <row r="505" customFormat="false" ht="15.75" hidden="false" customHeight="false" outlineLevel="0" collapsed="false">
      <c r="B505" s="17"/>
      <c r="C505" s="19" t="b">
        <f aca="false">FALSE()</f>
        <v>0</v>
      </c>
    </row>
    <row r="506" customFormat="false" ht="15.75" hidden="false" customHeight="false" outlineLevel="0" collapsed="false">
      <c r="B506" s="17"/>
      <c r="C506" s="19" t="b">
        <f aca="false">FALSE()</f>
        <v>0</v>
      </c>
    </row>
    <row r="507" customFormat="false" ht="15.75" hidden="false" customHeight="false" outlineLevel="0" collapsed="false">
      <c r="B507" s="17"/>
      <c r="C507" s="19" t="b">
        <f aca="false">FALSE()</f>
        <v>0</v>
      </c>
    </row>
    <row r="508" customFormat="false" ht="15.75" hidden="false" customHeight="false" outlineLevel="0" collapsed="false">
      <c r="B508" s="17"/>
      <c r="C508" s="19" t="b">
        <f aca="false">FALSE()</f>
        <v>0</v>
      </c>
    </row>
    <row r="509" customFormat="false" ht="15.75" hidden="false" customHeight="false" outlineLevel="0" collapsed="false">
      <c r="B509" s="17"/>
      <c r="C509" s="19" t="b">
        <f aca="false">FALSE()</f>
        <v>0</v>
      </c>
    </row>
    <row r="510" customFormat="false" ht="15.75" hidden="false" customHeight="false" outlineLevel="0" collapsed="false">
      <c r="B510" s="17"/>
      <c r="C510" s="19" t="b">
        <f aca="false">FALSE()</f>
        <v>0</v>
      </c>
    </row>
    <row r="511" customFormat="false" ht="15.75" hidden="false" customHeight="false" outlineLevel="0" collapsed="false">
      <c r="B511" s="17"/>
      <c r="C511" s="19" t="b">
        <f aca="false">FALSE()</f>
        <v>0</v>
      </c>
    </row>
    <row r="512" customFormat="false" ht="15.75" hidden="false" customHeight="false" outlineLevel="0" collapsed="false">
      <c r="B512" s="17"/>
      <c r="C512" s="19" t="b">
        <f aca="false">FALSE()</f>
        <v>0</v>
      </c>
    </row>
    <row r="513" customFormat="false" ht="15.75" hidden="false" customHeight="false" outlineLevel="0" collapsed="false">
      <c r="B513" s="17"/>
      <c r="C513" s="19" t="b">
        <f aca="false">FALSE()</f>
        <v>0</v>
      </c>
    </row>
    <row r="514" customFormat="false" ht="15.75" hidden="false" customHeight="false" outlineLevel="0" collapsed="false">
      <c r="B514" s="17"/>
      <c r="C514" s="19" t="b">
        <f aca="false">FALSE()</f>
        <v>0</v>
      </c>
    </row>
    <row r="515" customFormat="false" ht="15.75" hidden="false" customHeight="false" outlineLevel="0" collapsed="false">
      <c r="B515" s="17"/>
      <c r="C515" s="19" t="b">
        <f aca="false">FALSE()</f>
        <v>0</v>
      </c>
    </row>
    <row r="516" customFormat="false" ht="15.75" hidden="false" customHeight="false" outlineLevel="0" collapsed="false">
      <c r="B516" s="17"/>
      <c r="C516" s="19" t="b">
        <f aca="false">FALSE()</f>
        <v>0</v>
      </c>
    </row>
    <row r="517" customFormat="false" ht="15.75" hidden="false" customHeight="false" outlineLevel="0" collapsed="false">
      <c r="B517" s="17"/>
      <c r="C517" s="19" t="b">
        <f aca="false">FALSE()</f>
        <v>0</v>
      </c>
    </row>
    <row r="518" customFormat="false" ht="15.75" hidden="false" customHeight="false" outlineLevel="0" collapsed="false">
      <c r="B518" s="17"/>
      <c r="C518" s="19" t="b">
        <f aca="false">FALSE()</f>
        <v>0</v>
      </c>
    </row>
    <row r="519" customFormat="false" ht="15.75" hidden="false" customHeight="false" outlineLevel="0" collapsed="false">
      <c r="B519" s="17"/>
      <c r="C519" s="19" t="b">
        <f aca="false">FALSE()</f>
        <v>0</v>
      </c>
    </row>
    <row r="520" customFormat="false" ht="15.75" hidden="false" customHeight="false" outlineLevel="0" collapsed="false">
      <c r="B520" s="17"/>
      <c r="C520" s="19" t="b">
        <f aca="false">FALSE()</f>
        <v>0</v>
      </c>
    </row>
    <row r="521" customFormat="false" ht="15.75" hidden="false" customHeight="false" outlineLevel="0" collapsed="false">
      <c r="B521" s="17"/>
      <c r="C521" s="19" t="b">
        <f aca="false">FALSE()</f>
        <v>0</v>
      </c>
    </row>
    <row r="522" customFormat="false" ht="15.75" hidden="false" customHeight="false" outlineLevel="0" collapsed="false">
      <c r="B522" s="17"/>
      <c r="C522" s="19" t="b">
        <f aca="false">FALSE()</f>
        <v>0</v>
      </c>
    </row>
    <row r="523" customFormat="false" ht="15.75" hidden="false" customHeight="false" outlineLevel="0" collapsed="false">
      <c r="B523" s="17"/>
      <c r="C523" s="19" t="b">
        <f aca="false">FALSE()</f>
        <v>0</v>
      </c>
    </row>
    <row r="524" customFormat="false" ht="15.75" hidden="false" customHeight="false" outlineLevel="0" collapsed="false">
      <c r="B524" s="17"/>
      <c r="C524" s="19" t="b">
        <f aca="false">FALSE()</f>
        <v>0</v>
      </c>
    </row>
    <row r="525" customFormat="false" ht="15.75" hidden="false" customHeight="false" outlineLevel="0" collapsed="false">
      <c r="B525" s="17"/>
      <c r="C525" s="19" t="b">
        <f aca="false">FALSE()</f>
        <v>0</v>
      </c>
    </row>
    <row r="526" customFormat="false" ht="15.75" hidden="false" customHeight="false" outlineLevel="0" collapsed="false">
      <c r="B526" s="17"/>
      <c r="C526" s="19" t="b">
        <f aca="false">FALSE()</f>
        <v>0</v>
      </c>
    </row>
    <row r="527" customFormat="false" ht="15.75" hidden="false" customHeight="false" outlineLevel="0" collapsed="false">
      <c r="B527" s="17"/>
      <c r="C527" s="19" t="b">
        <f aca="false">FALSE()</f>
        <v>0</v>
      </c>
    </row>
    <row r="528" customFormat="false" ht="15.75" hidden="false" customHeight="false" outlineLevel="0" collapsed="false">
      <c r="B528" s="17"/>
      <c r="C528" s="19" t="b">
        <f aca="false">FALSE()</f>
        <v>0</v>
      </c>
    </row>
    <row r="529" customFormat="false" ht="15.75" hidden="false" customHeight="false" outlineLevel="0" collapsed="false">
      <c r="B529" s="17"/>
      <c r="C529" s="19" t="b">
        <f aca="false">FALSE()</f>
        <v>0</v>
      </c>
    </row>
    <row r="530" customFormat="false" ht="15.75" hidden="false" customHeight="false" outlineLevel="0" collapsed="false">
      <c r="B530" s="17"/>
      <c r="C530" s="19" t="b">
        <f aca="false">FALSE()</f>
        <v>0</v>
      </c>
    </row>
    <row r="531" customFormat="false" ht="15.75" hidden="false" customHeight="false" outlineLevel="0" collapsed="false">
      <c r="B531" s="17"/>
      <c r="C531" s="19" t="b">
        <f aca="false">FALSE()</f>
        <v>0</v>
      </c>
    </row>
    <row r="532" customFormat="false" ht="15.75" hidden="false" customHeight="false" outlineLevel="0" collapsed="false">
      <c r="B532" s="17"/>
      <c r="C532" s="19" t="b">
        <f aca="false">FALSE()</f>
        <v>0</v>
      </c>
    </row>
    <row r="533" customFormat="false" ht="15.75" hidden="false" customHeight="false" outlineLevel="0" collapsed="false">
      <c r="B533" s="17"/>
      <c r="C533" s="19" t="b">
        <f aca="false">FALSE()</f>
        <v>0</v>
      </c>
    </row>
    <row r="534" customFormat="false" ht="15.75" hidden="false" customHeight="false" outlineLevel="0" collapsed="false">
      <c r="B534" s="17"/>
      <c r="C534" s="19" t="b">
        <f aca="false">FALSE()</f>
        <v>0</v>
      </c>
    </row>
    <row r="535" customFormat="false" ht="15.75" hidden="false" customHeight="false" outlineLevel="0" collapsed="false">
      <c r="B535" s="17"/>
      <c r="C535" s="19" t="b">
        <f aca="false">FALSE()</f>
        <v>0</v>
      </c>
    </row>
    <row r="536" customFormat="false" ht="15.75" hidden="false" customHeight="false" outlineLevel="0" collapsed="false">
      <c r="B536" s="17"/>
      <c r="C536" s="19" t="b">
        <f aca="false">FALSE()</f>
        <v>0</v>
      </c>
    </row>
    <row r="537" customFormat="false" ht="15.75" hidden="false" customHeight="false" outlineLevel="0" collapsed="false">
      <c r="B537" s="17"/>
      <c r="C537" s="19" t="b">
        <f aca="false">FALSE()</f>
        <v>0</v>
      </c>
    </row>
    <row r="538" customFormat="false" ht="15.75" hidden="false" customHeight="false" outlineLevel="0" collapsed="false">
      <c r="B538" s="17"/>
      <c r="C538" s="19" t="b">
        <f aca="false">FALSE()</f>
        <v>0</v>
      </c>
    </row>
    <row r="539" customFormat="false" ht="15.75" hidden="false" customHeight="false" outlineLevel="0" collapsed="false">
      <c r="B539" s="17"/>
      <c r="C539" s="19" t="b">
        <f aca="false">FALSE()</f>
        <v>0</v>
      </c>
    </row>
    <row r="540" customFormat="false" ht="15.75" hidden="false" customHeight="false" outlineLevel="0" collapsed="false">
      <c r="B540" s="17"/>
      <c r="C540" s="19" t="b">
        <f aca="false">FALSE()</f>
        <v>0</v>
      </c>
    </row>
    <row r="541" customFormat="false" ht="15.75" hidden="false" customHeight="false" outlineLevel="0" collapsed="false">
      <c r="B541" s="17"/>
      <c r="C541" s="19" t="b">
        <f aca="false">FALSE()</f>
        <v>0</v>
      </c>
    </row>
    <row r="542" customFormat="false" ht="15.75" hidden="false" customHeight="false" outlineLevel="0" collapsed="false">
      <c r="B542" s="17"/>
      <c r="C542" s="19" t="b">
        <f aca="false">FALSE()</f>
        <v>0</v>
      </c>
    </row>
    <row r="543" customFormat="false" ht="15.75" hidden="false" customHeight="false" outlineLevel="0" collapsed="false">
      <c r="B543" s="17"/>
      <c r="C543" s="19" t="b">
        <f aca="false">FALSE()</f>
        <v>0</v>
      </c>
    </row>
    <row r="544" customFormat="false" ht="15.75" hidden="false" customHeight="false" outlineLevel="0" collapsed="false">
      <c r="B544" s="17"/>
      <c r="C544" s="19" t="b">
        <f aca="false">FALSE()</f>
        <v>0</v>
      </c>
    </row>
    <row r="545" customFormat="false" ht="15.75" hidden="false" customHeight="false" outlineLevel="0" collapsed="false">
      <c r="B545" s="17"/>
      <c r="C545" s="19" t="b">
        <f aca="false">FALSE()</f>
        <v>0</v>
      </c>
    </row>
    <row r="546" customFormat="false" ht="15.75" hidden="false" customHeight="false" outlineLevel="0" collapsed="false">
      <c r="B546" s="17"/>
      <c r="C546" s="19" t="b">
        <f aca="false">FALSE()</f>
        <v>0</v>
      </c>
    </row>
    <row r="547" customFormat="false" ht="15.75" hidden="false" customHeight="false" outlineLevel="0" collapsed="false">
      <c r="B547" s="17"/>
      <c r="C547" s="19" t="b">
        <f aca="false">FALSE()</f>
        <v>0</v>
      </c>
    </row>
    <row r="548" customFormat="false" ht="15.75" hidden="false" customHeight="false" outlineLevel="0" collapsed="false">
      <c r="B548" s="17"/>
      <c r="C548" s="19" t="b">
        <f aca="false">FALSE()</f>
        <v>0</v>
      </c>
    </row>
    <row r="549" customFormat="false" ht="15.75" hidden="false" customHeight="false" outlineLevel="0" collapsed="false">
      <c r="B549" s="17"/>
      <c r="C549" s="19" t="b">
        <f aca="false">FALSE()</f>
        <v>0</v>
      </c>
    </row>
    <row r="550" customFormat="false" ht="15.75" hidden="false" customHeight="false" outlineLevel="0" collapsed="false">
      <c r="B550" s="17"/>
      <c r="C550" s="19" t="b">
        <f aca="false">FALSE()</f>
        <v>0</v>
      </c>
    </row>
    <row r="551" customFormat="false" ht="15.75" hidden="false" customHeight="false" outlineLevel="0" collapsed="false">
      <c r="B551" s="17"/>
      <c r="C551" s="19" t="b">
        <f aca="false">FALSE()</f>
        <v>0</v>
      </c>
    </row>
    <row r="552" customFormat="false" ht="15.75" hidden="false" customHeight="false" outlineLevel="0" collapsed="false">
      <c r="B552" s="17"/>
      <c r="C552" s="19" t="b">
        <f aca="false">FALSE()</f>
        <v>0</v>
      </c>
    </row>
    <row r="553" customFormat="false" ht="15.75" hidden="false" customHeight="false" outlineLevel="0" collapsed="false">
      <c r="B553" s="17"/>
      <c r="C553" s="19" t="b">
        <f aca="false">FALSE()</f>
        <v>0</v>
      </c>
    </row>
    <row r="554" customFormat="false" ht="15.75" hidden="false" customHeight="false" outlineLevel="0" collapsed="false">
      <c r="B554" s="17"/>
      <c r="C554" s="19" t="b">
        <f aca="false">FALSE()</f>
        <v>0</v>
      </c>
    </row>
    <row r="555" customFormat="false" ht="15.75" hidden="false" customHeight="false" outlineLevel="0" collapsed="false">
      <c r="B555" s="17"/>
      <c r="C555" s="19" t="b">
        <f aca="false">FALSE()</f>
        <v>0</v>
      </c>
    </row>
    <row r="556" customFormat="false" ht="15.75" hidden="false" customHeight="false" outlineLevel="0" collapsed="false">
      <c r="B556" s="17"/>
      <c r="C556" s="19" t="b">
        <f aca="false">FALSE()</f>
        <v>0</v>
      </c>
    </row>
    <row r="557" customFormat="false" ht="15.75" hidden="false" customHeight="false" outlineLevel="0" collapsed="false">
      <c r="B557" s="17"/>
      <c r="C557" s="19" t="b">
        <f aca="false">FALSE()</f>
        <v>0</v>
      </c>
    </row>
    <row r="558" customFormat="false" ht="15.75" hidden="false" customHeight="false" outlineLevel="0" collapsed="false">
      <c r="B558" s="17"/>
      <c r="C558" s="19" t="b">
        <f aca="false">FALSE()</f>
        <v>0</v>
      </c>
    </row>
    <row r="559" customFormat="false" ht="15.75" hidden="false" customHeight="false" outlineLevel="0" collapsed="false">
      <c r="B559" s="17"/>
      <c r="C559" s="19" t="b">
        <f aca="false">FALSE()</f>
        <v>0</v>
      </c>
    </row>
    <row r="560" customFormat="false" ht="15.75" hidden="false" customHeight="false" outlineLevel="0" collapsed="false">
      <c r="B560" s="17"/>
      <c r="C560" s="19" t="b">
        <f aca="false">FALSE()</f>
        <v>0</v>
      </c>
    </row>
    <row r="561" customFormat="false" ht="15.75" hidden="false" customHeight="false" outlineLevel="0" collapsed="false">
      <c r="B561" s="17"/>
      <c r="C561" s="19" t="b">
        <f aca="false">FALSE()</f>
        <v>0</v>
      </c>
    </row>
    <row r="562" customFormat="false" ht="15.75" hidden="false" customHeight="false" outlineLevel="0" collapsed="false">
      <c r="B562" s="17"/>
      <c r="C562" s="19" t="b">
        <f aca="false">FALSE()</f>
        <v>0</v>
      </c>
    </row>
    <row r="563" customFormat="false" ht="15.75" hidden="false" customHeight="false" outlineLevel="0" collapsed="false">
      <c r="B563" s="17"/>
      <c r="C563" s="19" t="b">
        <f aca="false">FALSE()</f>
        <v>0</v>
      </c>
    </row>
    <row r="564" customFormat="false" ht="15.75" hidden="false" customHeight="false" outlineLevel="0" collapsed="false">
      <c r="B564" s="17"/>
      <c r="C564" s="19" t="b">
        <f aca="false">FALSE()</f>
        <v>0</v>
      </c>
    </row>
    <row r="565" customFormat="false" ht="15.75" hidden="false" customHeight="false" outlineLevel="0" collapsed="false">
      <c r="B565" s="17"/>
      <c r="C565" s="19" t="b">
        <f aca="false">FALSE()</f>
        <v>0</v>
      </c>
    </row>
    <row r="566" customFormat="false" ht="15.75" hidden="false" customHeight="false" outlineLevel="0" collapsed="false">
      <c r="B566" s="17"/>
      <c r="C566" s="19" t="b">
        <f aca="false">FALSE()</f>
        <v>0</v>
      </c>
    </row>
    <row r="567" customFormat="false" ht="15.75" hidden="false" customHeight="false" outlineLevel="0" collapsed="false">
      <c r="B567" s="17"/>
      <c r="C567" s="19" t="b">
        <f aca="false">FALSE()</f>
        <v>0</v>
      </c>
    </row>
    <row r="568" customFormat="false" ht="15.75" hidden="false" customHeight="false" outlineLevel="0" collapsed="false">
      <c r="B568" s="17"/>
      <c r="C568" s="19" t="b">
        <f aca="false">FALSE()</f>
        <v>0</v>
      </c>
    </row>
    <row r="569" customFormat="false" ht="15.75" hidden="false" customHeight="false" outlineLevel="0" collapsed="false">
      <c r="B569" s="17"/>
      <c r="C569" s="19" t="b">
        <f aca="false">FALSE()</f>
        <v>0</v>
      </c>
    </row>
    <row r="570" customFormat="false" ht="15.75" hidden="false" customHeight="false" outlineLevel="0" collapsed="false">
      <c r="B570" s="17"/>
      <c r="C570" s="19" t="b">
        <f aca="false">FALSE()</f>
        <v>0</v>
      </c>
    </row>
    <row r="571" customFormat="false" ht="15.75" hidden="false" customHeight="false" outlineLevel="0" collapsed="false">
      <c r="B571" s="17"/>
      <c r="C571" s="19" t="b">
        <f aca="false">FALSE()</f>
        <v>0</v>
      </c>
    </row>
    <row r="572" customFormat="false" ht="15.75" hidden="false" customHeight="false" outlineLevel="0" collapsed="false">
      <c r="B572" s="17"/>
      <c r="C572" s="19" t="b">
        <f aca="false">FALSE()</f>
        <v>0</v>
      </c>
    </row>
    <row r="573" customFormat="false" ht="15.75" hidden="false" customHeight="false" outlineLevel="0" collapsed="false">
      <c r="B573" s="17"/>
      <c r="C573" s="19" t="b">
        <f aca="false">FALSE()</f>
        <v>0</v>
      </c>
    </row>
    <row r="574" customFormat="false" ht="15.75" hidden="false" customHeight="false" outlineLevel="0" collapsed="false">
      <c r="B574" s="17"/>
      <c r="C574" s="19" t="b">
        <f aca="false">FALSE()</f>
        <v>0</v>
      </c>
    </row>
    <row r="575" customFormat="false" ht="15.75" hidden="false" customHeight="false" outlineLevel="0" collapsed="false">
      <c r="B575" s="17"/>
      <c r="C575" s="19" t="b">
        <f aca="false">FALSE()</f>
        <v>0</v>
      </c>
    </row>
    <row r="576" customFormat="false" ht="15.75" hidden="false" customHeight="false" outlineLevel="0" collapsed="false">
      <c r="B576" s="17"/>
      <c r="C576" s="19" t="b">
        <f aca="false">FALSE()</f>
        <v>0</v>
      </c>
    </row>
    <row r="577" customFormat="false" ht="15.75" hidden="false" customHeight="false" outlineLevel="0" collapsed="false">
      <c r="B577" s="17"/>
      <c r="C577" s="19" t="b">
        <f aca="false">FALSE()</f>
        <v>0</v>
      </c>
    </row>
    <row r="578" customFormat="false" ht="15.75" hidden="false" customHeight="false" outlineLevel="0" collapsed="false">
      <c r="B578" s="17"/>
      <c r="C578" s="19" t="b">
        <f aca="false">FALSE()</f>
        <v>0</v>
      </c>
    </row>
    <row r="579" customFormat="false" ht="15.75" hidden="false" customHeight="false" outlineLevel="0" collapsed="false">
      <c r="B579" s="17"/>
      <c r="C579" s="19" t="b">
        <f aca="false">FALSE()</f>
        <v>0</v>
      </c>
    </row>
    <row r="580" customFormat="false" ht="15.75" hidden="false" customHeight="false" outlineLevel="0" collapsed="false">
      <c r="B580" s="17"/>
      <c r="C580" s="19" t="b">
        <f aca="false">FALSE()</f>
        <v>0</v>
      </c>
    </row>
    <row r="581" customFormat="false" ht="15.75" hidden="false" customHeight="false" outlineLevel="0" collapsed="false">
      <c r="B581" s="17"/>
      <c r="C581" s="19" t="b">
        <f aca="false">FALSE()</f>
        <v>0</v>
      </c>
    </row>
    <row r="582" customFormat="false" ht="15.75" hidden="false" customHeight="false" outlineLevel="0" collapsed="false">
      <c r="B582" s="17"/>
      <c r="C582" s="19" t="b">
        <f aca="false">FALSE()</f>
        <v>0</v>
      </c>
    </row>
    <row r="583" customFormat="false" ht="15.75" hidden="false" customHeight="false" outlineLevel="0" collapsed="false">
      <c r="B583" s="17"/>
      <c r="C583" s="19" t="b">
        <f aca="false">FALSE()</f>
        <v>0</v>
      </c>
    </row>
    <row r="584" customFormat="false" ht="15.75" hidden="false" customHeight="false" outlineLevel="0" collapsed="false">
      <c r="B584" s="17"/>
      <c r="C584" s="19" t="b">
        <f aca="false">FALSE()</f>
        <v>0</v>
      </c>
    </row>
    <row r="585" customFormat="false" ht="15.75" hidden="false" customHeight="false" outlineLevel="0" collapsed="false">
      <c r="B585" s="17"/>
      <c r="C585" s="19" t="b">
        <f aca="false">FALSE()</f>
        <v>0</v>
      </c>
    </row>
    <row r="586" customFormat="false" ht="15.75" hidden="false" customHeight="false" outlineLevel="0" collapsed="false">
      <c r="B586" s="17"/>
      <c r="C586" s="19" t="b">
        <f aca="false">FALSE()</f>
        <v>0</v>
      </c>
    </row>
    <row r="587" customFormat="false" ht="15.75" hidden="false" customHeight="false" outlineLevel="0" collapsed="false">
      <c r="B587" s="17"/>
      <c r="C587" s="19" t="b">
        <f aca="false">FALSE()</f>
        <v>0</v>
      </c>
    </row>
    <row r="588" customFormat="false" ht="15.75" hidden="false" customHeight="false" outlineLevel="0" collapsed="false">
      <c r="B588" s="17"/>
      <c r="C588" s="19" t="b">
        <f aca="false">FALSE()</f>
        <v>0</v>
      </c>
    </row>
    <row r="589" customFormat="false" ht="15.75" hidden="false" customHeight="false" outlineLevel="0" collapsed="false">
      <c r="B589" s="17"/>
      <c r="C589" s="19" t="b">
        <f aca="false">FALSE()</f>
        <v>0</v>
      </c>
    </row>
    <row r="590" customFormat="false" ht="15.75" hidden="false" customHeight="false" outlineLevel="0" collapsed="false">
      <c r="B590" s="17"/>
      <c r="C590" s="19" t="b">
        <f aca="false">FALSE()</f>
        <v>0</v>
      </c>
    </row>
    <row r="591" customFormat="false" ht="15.75" hidden="false" customHeight="false" outlineLevel="0" collapsed="false">
      <c r="B591" s="17"/>
      <c r="C591" s="19" t="b">
        <f aca="false">FALSE()</f>
        <v>0</v>
      </c>
    </row>
    <row r="592" customFormat="false" ht="15.75" hidden="false" customHeight="false" outlineLevel="0" collapsed="false">
      <c r="B592" s="17"/>
      <c r="C592" s="19" t="b">
        <f aca="false">FALSE()</f>
        <v>0</v>
      </c>
    </row>
    <row r="593" customFormat="false" ht="15.75" hidden="false" customHeight="false" outlineLevel="0" collapsed="false">
      <c r="B593" s="17"/>
      <c r="C593" s="19" t="b">
        <f aca="false">FALSE()</f>
        <v>0</v>
      </c>
    </row>
    <row r="594" customFormat="false" ht="15.75" hidden="false" customHeight="false" outlineLevel="0" collapsed="false">
      <c r="B594" s="17"/>
      <c r="C594" s="19" t="b">
        <f aca="false">FALSE()</f>
        <v>0</v>
      </c>
    </row>
    <row r="595" customFormat="false" ht="15.75" hidden="false" customHeight="false" outlineLevel="0" collapsed="false">
      <c r="B595" s="17"/>
      <c r="C595" s="19" t="b">
        <f aca="false">FALSE()</f>
        <v>0</v>
      </c>
    </row>
    <row r="596" customFormat="false" ht="15.75" hidden="false" customHeight="false" outlineLevel="0" collapsed="false">
      <c r="B596" s="17"/>
      <c r="C596" s="19" t="b">
        <f aca="false">FALSE()</f>
        <v>0</v>
      </c>
    </row>
    <row r="597" customFormat="false" ht="15.75" hidden="false" customHeight="false" outlineLevel="0" collapsed="false">
      <c r="B597" s="17"/>
      <c r="C597" s="19" t="b">
        <f aca="false">FALSE()</f>
        <v>0</v>
      </c>
    </row>
    <row r="598" customFormat="false" ht="15.75" hidden="false" customHeight="false" outlineLevel="0" collapsed="false">
      <c r="B598" s="17"/>
      <c r="C598" s="19" t="b">
        <f aca="false">FALSE()</f>
        <v>0</v>
      </c>
    </row>
    <row r="599" customFormat="false" ht="15.75" hidden="false" customHeight="false" outlineLevel="0" collapsed="false">
      <c r="B599" s="17"/>
      <c r="C599" s="19" t="b">
        <f aca="false">FALSE()</f>
        <v>0</v>
      </c>
    </row>
    <row r="600" customFormat="false" ht="15.75" hidden="false" customHeight="false" outlineLevel="0" collapsed="false">
      <c r="B600" s="17"/>
      <c r="C600" s="19" t="b">
        <f aca="false">FALSE()</f>
        <v>0</v>
      </c>
    </row>
    <row r="601" customFormat="false" ht="15.75" hidden="false" customHeight="false" outlineLevel="0" collapsed="false">
      <c r="B601" s="17"/>
      <c r="C601" s="19" t="b">
        <f aca="false">FALSE()</f>
        <v>0</v>
      </c>
    </row>
    <row r="602" customFormat="false" ht="15.75" hidden="false" customHeight="false" outlineLevel="0" collapsed="false">
      <c r="B602" s="17"/>
      <c r="C602" s="19" t="b">
        <f aca="false">FALSE()</f>
        <v>0</v>
      </c>
    </row>
    <row r="603" customFormat="false" ht="15.75" hidden="false" customHeight="false" outlineLevel="0" collapsed="false">
      <c r="B603" s="17"/>
      <c r="C603" s="19" t="b">
        <f aca="false">FALSE()</f>
        <v>0</v>
      </c>
    </row>
    <row r="604" customFormat="false" ht="15.75" hidden="false" customHeight="false" outlineLevel="0" collapsed="false">
      <c r="B604" s="17"/>
      <c r="C604" s="19" t="b">
        <f aca="false">FALSE()</f>
        <v>0</v>
      </c>
    </row>
    <row r="605" customFormat="false" ht="15.75" hidden="false" customHeight="false" outlineLevel="0" collapsed="false">
      <c r="B605" s="17"/>
      <c r="C605" s="19" t="b">
        <f aca="false">FALSE()</f>
        <v>0</v>
      </c>
    </row>
    <row r="606" customFormat="false" ht="15.75" hidden="false" customHeight="false" outlineLevel="0" collapsed="false">
      <c r="B606" s="17"/>
      <c r="C606" s="19" t="b">
        <f aca="false">FALSE()</f>
        <v>0</v>
      </c>
    </row>
    <row r="607" customFormat="false" ht="15.75" hidden="false" customHeight="false" outlineLevel="0" collapsed="false">
      <c r="B607" s="17"/>
      <c r="C607" s="19" t="b">
        <f aca="false">FALSE()</f>
        <v>0</v>
      </c>
    </row>
    <row r="608" customFormat="false" ht="15.75" hidden="false" customHeight="false" outlineLevel="0" collapsed="false">
      <c r="B608" s="17"/>
      <c r="C608" s="19" t="b">
        <f aca="false">FALSE()</f>
        <v>0</v>
      </c>
    </row>
    <row r="609" customFormat="false" ht="15.75" hidden="false" customHeight="false" outlineLevel="0" collapsed="false">
      <c r="B609" s="17"/>
      <c r="C609" s="19" t="b">
        <f aca="false">FALSE()</f>
        <v>0</v>
      </c>
    </row>
    <row r="610" customFormat="false" ht="15.75" hidden="false" customHeight="false" outlineLevel="0" collapsed="false">
      <c r="B610" s="17"/>
      <c r="C610" s="19" t="b">
        <f aca="false">FALSE()</f>
        <v>0</v>
      </c>
    </row>
    <row r="611" customFormat="false" ht="15.75" hidden="false" customHeight="false" outlineLevel="0" collapsed="false">
      <c r="B611" s="17"/>
      <c r="C611" s="19" t="b">
        <f aca="false">FALSE()</f>
        <v>0</v>
      </c>
    </row>
    <row r="612" customFormat="false" ht="15.75" hidden="false" customHeight="false" outlineLevel="0" collapsed="false">
      <c r="B612" s="17"/>
      <c r="C612" s="19" t="b">
        <f aca="false">FALSE()</f>
        <v>0</v>
      </c>
    </row>
    <row r="613" customFormat="false" ht="15.75" hidden="false" customHeight="false" outlineLevel="0" collapsed="false">
      <c r="B613" s="17"/>
      <c r="C613" s="19" t="b">
        <f aca="false">FALSE()</f>
        <v>0</v>
      </c>
    </row>
    <row r="614" customFormat="false" ht="15.75" hidden="false" customHeight="false" outlineLevel="0" collapsed="false">
      <c r="B614" s="17"/>
      <c r="C614" s="19" t="b">
        <f aca="false">FALSE()</f>
        <v>0</v>
      </c>
    </row>
    <row r="615" customFormat="false" ht="15.75" hidden="false" customHeight="false" outlineLevel="0" collapsed="false">
      <c r="B615" s="17"/>
      <c r="C615" s="19" t="b">
        <f aca="false">FALSE()</f>
        <v>0</v>
      </c>
    </row>
    <row r="616" customFormat="false" ht="15.75" hidden="false" customHeight="false" outlineLevel="0" collapsed="false">
      <c r="B616" s="17"/>
      <c r="C616" s="19" t="b">
        <f aca="false">FALSE()</f>
        <v>0</v>
      </c>
    </row>
    <row r="617" customFormat="false" ht="15.75" hidden="false" customHeight="false" outlineLevel="0" collapsed="false">
      <c r="B617" s="17"/>
      <c r="C617" s="19" t="b">
        <f aca="false">FALSE()</f>
        <v>0</v>
      </c>
    </row>
    <row r="618" customFormat="false" ht="15.75" hidden="false" customHeight="false" outlineLevel="0" collapsed="false">
      <c r="B618" s="17"/>
      <c r="C618" s="19" t="b">
        <f aca="false">FALSE()</f>
        <v>0</v>
      </c>
    </row>
    <row r="619" customFormat="false" ht="15.75" hidden="false" customHeight="false" outlineLevel="0" collapsed="false">
      <c r="B619" s="17"/>
      <c r="C619" s="19" t="b">
        <f aca="false">FALSE()</f>
        <v>0</v>
      </c>
    </row>
    <row r="620" customFormat="false" ht="15.75" hidden="false" customHeight="false" outlineLevel="0" collapsed="false">
      <c r="B620" s="17"/>
      <c r="C620" s="19" t="b">
        <f aca="false">FALSE()</f>
        <v>0</v>
      </c>
    </row>
    <row r="621" customFormat="false" ht="15.75" hidden="false" customHeight="false" outlineLevel="0" collapsed="false">
      <c r="B621" s="17"/>
      <c r="C621" s="19" t="b">
        <f aca="false">FALSE()</f>
        <v>0</v>
      </c>
    </row>
    <row r="622" customFormat="false" ht="15.75" hidden="false" customHeight="false" outlineLevel="0" collapsed="false">
      <c r="B622" s="17"/>
      <c r="C622" s="19" t="b">
        <f aca="false">FALSE()</f>
        <v>0</v>
      </c>
    </row>
    <row r="623" customFormat="false" ht="15.75" hidden="false" customHeight="false" outlineLevel="0" collapsed="false">
      <c r="B623" s="17"/>
      <c r="C623" s="19" t="b">
        <f aca="false">FALSE()</f>
        <v>0</v>
      </c>
    </row>
    <row r="624" customFormat="false" ht="15.75" hidden="false" customHeight="false" outlineLevel="0" collapsed="false">
      <c r="B624" s="17"/>
      <c r="C624" s="19" t="b">
        <f aca="false">FALSE()</f>
        <v>0</v>
      </c>
    </row>
    <row r="625" customFormat="false" ht="15.75" hidden="false" customHeight="false" outlineLevel="0" collapsed="false">
      <c r="B625" s="17"/>
      <c r="C625" s="19" t="b">
        <f aca="false">FALSE()</f>
        <v>0</v>
      </c>
    </row>
    <row r="626" customFormat="false" ht="15.75" hidden="false" customHeight="false" outlineLevel="0" collapsed="false">
      <c r="B626" s="17"/>
      <c r="C626" s="19" t="b">
        <f aca="false">FALSE()</f>
        <v>0</v>
      </c>
    </row>
    <row r="627" customFormat="false" ht="15.75" hidden="false" customHeight="false" outlineLevel="0" collapsed="false">
      <c r="B627" s="17"/>
      <c r="C627" s="19" t="b">
        <f aca="false">FALSE()</f>
        <v>0</v>
      </c>
    </row>
    <row r="628" customFormat="false" ht="15.75" hidden="false" customHeight="false" outlineLevel="0" collapsed="false">
      <c r="B628" s="17"/>
      <c r="C628" s="19" t="b">
        <f aca="false">FALSE()</f>
        <v>0</v>
      </c>
    </row>
    <row r="629" customFormat="false" ht="15.75" hidden="false" customHeight="false" outlineLevel="0" collapsed="false">
      <c r="B629" s="17"/>
      <c r="C629" s="19" t="b">
        <f aca="false">FALSE()</f>
        <v>0</v>
      </c>
    </row>
    <row r="630" customFormat="false" ht="15.75" hidden="false" customHeight="false" outlineLevel="0" collapsed="false">
      <c r="B630" s="17"/>
      <c r="C630" s="19" t="b">
        <f aca="false">FALSE()</f>
        <v>0</v>
      </c>
    </row>
    <row r="631" customFormat="false" ht="15.75" hidden="false" customHeight="false" outlineLevel="0" collapsed="false">
      <c r="B631" s="17"/>
      <c r="C631" s="19" t="b">
        <f aca="false">FALSE()</f>
        <v>0</v>
      </c>
    </row>
    <row r="632" customFormat="false" ht="15.75" hidden="false" customHeight="false" outlineLevel="0" collapsed="false">
      <c r="B632" s="17"/>
      <c r="C632" s="19" t="b">
        <f aca="false">FALSE()</f>
        <v>0</v>
      </c>
    </row>
    <row r="633" customFormat="false" ht="15.75" hidden="false" customHeight="false" outlineLevel="0" collapsed="false">
      <c r="B633" s="17"/>
      <c r="C633" s="19" t="b">
        <f aca="false">FALSE()</f>
        <v>0</v>
      </c>
    </row>
    <row r="634" customFormat="false" ht="15.75" hidden="false" customHeight="false" outlineLevel="0" collapsed="false">
      <c r="B634" s="17"/>
      <c r="C634" s="19" t="b">
        <f aca="false">FALSE()</f>
        <v>0</v>
      </c>
    </row>
    <row r="635" customFormat="false" ht="15.75" hidden="false" customHeight="false" outlineLevel="0" collapsed="false">
      <c r="B635" s="17"/>
      <c r="C635" s="19" t="b">
        <f aca="false">FALSE()</f>
        <v>0</v>
      </c>
    </row>
    <row r="636" customFormat="false" ht="15.75" hidden="false" customHeight="false" outlineLevel="0" collapsed="false">
      <c r="B636" s="17"/>
      <c r="C636" s="19" t="b">
        <f aca="false">FALSE()</f>
        <v>0</v>
      </c>
    </row>
    <row r="637" customFormat="false" ht="15.75" hidden="false" customHeight="false" outlineLevel="0" collapsed="false">
      <c r="B637" s="17"/>
      <c r="C637" s="19" t="b">
        <f aca="false">FALSE()</f>
        <v>0</v>
      </c>
    </row>
    <row r="638" customFormat="false" ht="15.75" hidden="false" customHeight="false" outlineLevel="0" collapsed="false">
      <c r="B638" s="17"/>
      <c r="C638" s="19" t="b">
        <f aca="false">FALSE()</f>
        <v>0</v>
      </c>
    </row>
    <row r="639" customFormat="false" ht="15.75" hidden="false" customHeight="false" outlineLevel="0" collapsed="false">
      <c r="B639" s="17"/>
      <c r="C639" s="19" t="b">
        <f aca="false">FALSE()</f>
        <v>0</v>
      </c>
    </row>
    <row r="640" customFormat="false" ht="15.75" hidden="false" customHeight="false" outlineLevel="0" collapsed="false">
      <c r="B640" s="17"/>
      <c r="C640" s="19" t="b">
        <f aca="false">FALSE()</f>
        <v>0</v>
      </c>
    </row>
    <row r="641" customFormat="false" ht="15.75" hidden="false" customHeight="false" outlineLevel="0" collapsed="false">
      <c r="B641" s="17"/>
      <c r="C641" s="19" t="b">
        <f aca="false">FALSE()</f>
        <v>0</v>
      </c>
    </row>
    <row r="642" customFormat="false" ht="15.75" hidden="false" customHeight="false" outlineLevel="0" collapsed="false">
      <c r="B642" s="17"/>
      <c r="C642" s="19" t="b">
        <f aca="false">FALSE()</f>
        <v>0</v>
      </c>
    </row>
    <row r="643" customFormat="false" ht="15.75" hidden="false" customHeight="false" outlineLevel="0" collapsed="false">
      <c r="B643" s="17"/>
      <c r="C643" s="19" t="b">
        <f aca="false">FALSE()</f>
        <v>0</v>
      </c>
    </row>
    <row r="644" customFormat="false" ht="15.75" hidden="false" customHeight="false" outlineLevel="0" collapsed="false">
      <c r="B644" s="17"/>
      <c r="C644" s="19" t="b">
        <f aca="false">FALSE()</f>
        <v>0</v>
      </c>
    </row>
    <row r="645" customFormat="false" ht="15.75" hidden="false" customHeight="false" outlineLevel="0" collapsed="false">
      <c r="B645" s="17"/>
      <c r="C645" s="19" t="b">
        <f aca="false">FALSE()</f>
        <v>0</v>
      </c>
    </row>
    <row r="646" customFormat="false" ht="15.75" hidden="false" customHeight="false" outlineLevel="0" collapsed="false">
      <c r="B646" s="17"/>
      <c r="C646" s="19" t="b">
        <f aca="false">FALSE()</f>
        <v>0</v>
      </c>
    </row>
    <row r="647" customFormat="false" ht="15.75" hidden="false" customHeight="false" outlineLevel="0" collapsed="false">
      <c r="B647" s="17"/>
      <c r="C647" s="19" t="b">
        <f aca="false">FALSE()</f>
        <v>0</v>
      </c>
    </row>
    <row r="648" customFormat="false" ht="15.75" hidden="false" customHeight="false" outlineLevel="0" collapsed="false">
      <c r="B648" s="17"/>
      <c r="C648" s="19" t="b">
        <f aca="false">FALSE()</f>
        <v>0</v>
      </c>
    </row>
    <row r="649" customFormat="false" ht="15.75" hidden="false" customHeight="false" outlineLevel="0" collapsed="false">
      <c r="B649" s="17"/>
      <c r="C649" s="19" t="b">
        <f aca="false">FALSE()</f>
        <v>0</v>
      </c>
    </row>
    <row r="650" customFormat="false" ht="15.75" hidden="false" customHeight="false" outlineLevel="0" collapsed="false">
      <c r="B650" s="17"/>
      <c r="C650" s="19" t="b">
        <f aca="false">FALSE()</f>
        <v>0</v>
      </c>
    </row>
    <row r="651" customFormat="false" ht="15.75" hidden="false" customHeight="false" outlineLevel="0" collapsed="false">
      <c r="B651" s="17"/>
      <c r="C651" s="19" t="b">
        <f aca="false">FALSE()</f>
        <v>0</v>
      </c>
    </row>
    <row r="652" customFormat="false" ht="15.75" hidden="false" customHeight="false" outlineLevel="0" collapsed="false">
      <c r="B652" s="17"/>
      <c r="C652" s="19" t="b">
        <f aca="false">FALSE()</f>
        <v>0</v>
      </c>
    </row>
    <row r="653" customFormat="false" ht="15.75" hidden="false" customHeight="false" outlineLevel="0" collapsed="false">
      <c r="B653" s="17"/>
      <c r="C653" s="19" t="b">
        <f aca="false">FALSE()</f>
        <v>0</v>
      </c>
    </row>
    <row r="654" customFormat="false" ht="15.75" hidden="false" customHeight="false" outlineLevel="0" collapsed="false">
      <c r="B654" s="17"/>
      <c r="C654" s="19" t="b">
        <f aca="false">FALSE()</f>
        <v>0</v>
      </c>
    </row>
    <row r="655" customFormat="false" ht="15.75" hidden="false" customHeight="false" outlineLevel="0" collapsed="false">
      <c r="B655" s="17"/>
      <c r="C655" s="19" t="b">
        <f aca="false">FALSE()</f>
        <v>0</v>
      </c>
    </row>
    <row r="656" customFormat="false" ht="15.75" hidden="false" customHeight="false" outlineLevel="0" collapsed="false">
      <c r="B656" s="17"/>
      <c r="C656" s="19" t="b">
        <f aca="false">FALSE()</f>
        <v>0</v>
      </c>
    </row>
    <row r="657" customFormat="false" ht="15.75" hidden="false" customHeight="false" outlineLevel="0" collapsed="false">
      <c r="B657" s="17"/>
      <c r="C657" s="19" t="b">
        <f aca="false">FALSE()</f>
        <v>0</v>
      </c>
    </row>
    <row r="658" customFormat="false" ht="15.75" hidden="false" customHeight="false" outlineLevel="0" collapsed="false">
      <c r="B658" s="17"/>
      <c r="C658" s="19" t="b">
        <f aca="false">FALSE()</f>
        <v>0</v>
      </c>
    </row>
    <row r="659" customFormat="false" ht="15.75" hidden="false" customHeight="false" outlineLevel="0" collapsed="false">
      <c r="B659" s="17"/>
      <c r="C659" s="19" t="b">
        <f aca="false">FALSE()</f>
        <v>0</v>
      </c>
    </row>
    <row r="660" customFormat="false" ht="15.75" hidden="false" customHeight="false" outlineLevel="0" collapsed="false">
      <c r="B660" s="17"/>
      <c r="C660" s="19" t="b">
        <f aca="false">FALSE()</f>
        <v>0</v>
      </c>
    </row>
    <row r="661" customFormat="false" ht="15.75" hidden="false" customHeight="false" outlineLevel="0" collapsed="false">
      <c r="B661" s="17"/>
      <c r="C661" s="19" t="b">
        <f aca="false">FALSE()</f>
        <v>0</v>
      </c>
    </row>
    <row r="662" customFormat="false" ht="15.75" hidden="false" customHeight="false" outlineLevel="0" collapsed="false">
      <c r="B662" s="17"/>
      <c r="C662" s="19" t="b">
        <f aca="false">FALSE()</f>
        <v>0</v>
      </c>
    </row>
    <row r="663" customFormat="false" ht="15.75" hidden="false" customHeight="false" outlineLevel="0" collapsed="false">
      <c r="B663" s="17"/>
      <c r="C663" s="19" t="b">
        <f aca="false">FALSE()</f>
        <v>0</v>
      </c>
    </row>
    <row r="664" customFormat="false" ht="15.75" hidden="false" customHeight="false" outlineLevel="0" collapsed="false">
      <c r="B664" s="17"/>
      <c r="C664" s="19" t="b">
        <f aca="false">FALSE()</f>
        <v>0</v>
      </c>
    </row>
    <row r="665" customFormat="false" ht="15.75" hidden="false" customHeight="false" outlineLevel="0" collapsed="false">
      <c r="B665" s="17"/>
      <c r="C665" s="19" t="b">
        <f aca="false">FALSE()</f>
        <v>0</v>
      </c>
    </row>
    <row r="666" customFormat="false" ht="15.75" hidden="false" customHeight="false" outlineLevel="0" collapsed="false">
      <c r="B666" s="17"/>
      <c r="C666" s="19" t="b">
        <f aca="false">FALSE()</f>
        <v>0</v>
      </c>
    </row>
    <row r="667" customFormat="false" ht="15.75" hidden="false" customHeight="false" outlineLevel="0" collapsed="false">
      <c r="B667" s="17"/>
      <c r="C667" s="19" t="b">
        <f aca="false">FALSE()</f>
        <v>0</v>
      </c>
    </row>
    <row r="668" customFormat="false" ht="15.75" hidden="false" customHeight="false" outlineLevel="0" collapsed="false">
      <c r="B668" s="17"/>
      <c r="C668" s="19" t="b">
        <f aca="false">FALSE()</f>
        <v>0</v>
      </c>
    </row>
    <row r="669" customFormat="false" ht="15.75" hidden="false" customHeight="false" outlineLevel="0" collapsed="false">
      <c r="B669" s="17"/>
      <c r="C669" s="19" t="b">
        <f aca="false">FALSE()</f>
        <v>0</v>
      </c>
    </row>
    <row r="670" customFormat="false" ht="15.75" hidden="false" customHeight="false" outlineLevel="0" collapsed="false">
      <c r="B670" s="17"/>
      <c r="C670" s="19" t="b">
        <f aca="false">FALSE()</f>
        <v>0</v>
      </c>
    </row>
    <row r="671" customFormat="false" ht="15.75" hidden="false" customHeight="false" outlineLevel="0" collapsed="false">
      <c r="B671" s="17"/>
      <c r="C671" s="19" t="b">
        <f aca="false">FALSE()</f>
        <v>0</v>
      </c>
    </row>
    <row r="672" customFormat="false" ht="15.75" hidden="false" customHeight="false" outlineLevel="0" collapsed="false">
      <c r="B672" s="17"/>
      <c r="C672" s="19" t="b">
        <f aca="false">FALSE()</f>
        <v>0</v>
      </c>
    </row>
    <row r="673" customFormat="false" ht="15.75" hidden="false" customHeight="false" outlineLevel="0" collapsed="false">
      <c r="B673" s="17"/>
      <c r="C673" s="19" t="b">
        <f aca="false">FALSE()</f>
        <v>0</v>
      </c>
    </row>
    <row r="674" customFormat="false" ht="15.75" hidden="false" customHeight="false" outlineLevel="0" collapsed="false">
      <c r="B674" s="17"/>
      <c r="C674" s="19" t="b">
        <f aca="false">FALSE()</f>
        <v>0</v>
      </c>
    </row>
    <row r="675" customFormat="false" ht="15.75" hidden="false" customHeight="false" outlineLevel="0" collapsed="false">
      <c r="B675" s="17"/>
      <c r="C675" s="19" t="b">
        <f aca="false">FALSE()</f>
        <v>0</v>
      </c>
    </row>
    <row r="676" customFormat="false" ht="15.75" hidden="false" customHeight="false" outlineLevel="0" collapsed="false">
      <c r="B676" s="17"/>
      <c r="C676" s="19" t="b">
        <f aca="false">FALSE()</f>
        <v>0</v>
      </c>
    </row>
    <row r="677" customFormat="false" ht="15.75" hidden="false" customHeight="false" outlineLevel="0" collapsed="false">
      <c r="B677" s="17"/>
      <c r="C677" s="19" t="b">
        <f aca="false">FALSE()</f>
        <v>0</v>
      </c>
    </row>
    <row r="678" customFormat="false" ht="15.75" hidden="false" customHeight="false" outlineLevel="0" collapsed="false">
      <c r="B678" s="17"/>
      <c r="C678" s="19" t="b">
        <f aca="false">FALSE()</f>
        <v>0</v>
      </c>
    </row>
    <row r="679" customFormat="false" ht="15.75" hidden="false" customHeight="false" outlineLevel="0" collapsed="false">
      <c r="B679" s="17"/>
      <c r="C679" s="19" t="b">
        <f aca="false">FALSE()</f>
        <v>0</v>
      </c>
    </row>
    <row r="680" customFormat="false" ht="15.75" hidden="false" customHeight="false" outlineLevel="0" collapsed="false">
      <c r="B680" s="17"/>
      <c r="C680" s="19" t="b">
        <f aca="false">FALSE()</f>
        <v>0</v>
      </c>
    </row>
    <row r="681" customFormat="false" ht="15.75" hidden="false" customHeight="false" outlineLevel="0" collapsed="false">
      <c r="B681" s="17"/>
      <c r="C681" s="19" t="b">
        <f aca="false">FALSE()</f>
        <v>0</v>
      </c>
    </row>
    <row r="682" customFormat="false" ht="15.75" hidden="false" customHeight="false" outlineLevel="0" collapsed="false">
      <c r="B682" s="17"/>
      <c r="C682" s="19" t="b">
        <f aca="false">FALSE()</f>
        <v>0</v>
      </c>
    </row>
    <row r="683" customFormat="false" ht="15.75" hidden="false" customHeight="false" outlineLevel="0" collapsed="false">
      <c r="B683" s="17"/>
      <c r="C683" s="19" t="b">
        <f aca="false">FALSE()</f>
        <v>0</v>
      </c>
    </row>
    <row r="684" customFormat="false" ht="15.75" hidden="false" customHeight="false" outlineLevel="0" collapsed="false">
      <c r="B684" s="17"/>
      <c r="C684" s="19" t="b">
        <f aca="false">FALSE()</f>
        <v>0</v>
      </c>
    </row>
    <row r="685" customFormat="false" ht="15.75" hidden="false" customHeight="false" outlineLevel="0" collapsed="false">
      <c r="B685" s="17"/>
      <c r="C685" s="19" t="b">
        <f aca="false">FALSE()</f>
        <v>0</v>
      </c>
    </row>
    <row r="686" customFormat="false" ht="15.75" hidden="false" customHeight="false" outlineLevel="0" collapsed="false">
      <c r="B686" s="17"/>
      <c r="C686" s="19" t="b">
        <f aca="false">FALSE()</f>
        <v>0</v>
      </c>
    </row>
    <row r="687" customFormat="false" ht="15.75" hidden="false" customHeight="false" outlineLevel="0" collapsed="false">
      <c r="B687" s="17"/>
      <c r="C687" s="19" t="b">
        <f aca="false">FALSE()</f>
        <v>0</v>
      </c>
    </row>
    <row r="688" customFormat="false" ht="15.75" hidden="false" customHeight="false" outlineLevel="0" collapsed="false">
      <c r="B688" s="17"/>
      <c r="C688" s="19" t="b">
        <f aca="false">FALSE()</f>
        <v>0</v>
      </c>
    </row>
    <row r="689" customFormat="false" ht="15.75" hidden="false" customHeight="false" outlineLevel="0" collapsed="false">
      <c r="B689" s="17"/>
      <c r="C689" s="19" t="b">
        <f aca="false">FALSE()</f>
        <v>0</v>
      </c>
    </row>
    <row r="690" customFormat="false" ht="15.75" hidden="false" customHeight="false" outlineLevel="0" collapsed="false">
      <c r="B690" s="17"/>
      <c r="C690" s="19" t="b">
        <f aca="false">FALSE()</f>
        <v>0</v>
      </c>
    </row>
    <row r="691" customFormat="false" ht="15.75" hidden="false" customHeight="false" outlineLevel="0" collapsed="false">
      <c r="B691" s="17"/>
      <c r="C691" s="19" t="b">
        <f aca="false">FALSE()</f>
        <v>0</v>
      </c>
    </row>
    <row r="692" customFormat="false" ht="15.75" hidden="false" customHeight="false" outlineLevel="0" collapsed="false">
      <c r="B692" s="17"/>
      <c r="C692" s="19" t="b">
        <f aca="false">FALSE()</f>
        <v>0</v>
      </c>
    </row>
    <row r="693" customFormat="false" ht="15.75" hidden="false" customHeight="false" outlineLevel="0" collapsed="false">
      <c r="B693" s="17"/>
      <c r="C693" s="19" t="b">
        <f aca="false">FALSE()</f>
        <v>0</v>
      </c>
    </row>
    <row r="694" customFormat="false" ht="15.75" hidden="false" customHeight="false" outlineLevel="0" collapsed="false">
      <c r="B694" s="17"/>
      <c r="C694" s="19" t="b">
        <f aca="false">FALSE()</f>
        <v>0</v>
      </c>
    </row>
    <row r="695" customFormat="false" ht="15.75" hidden="false" customHeight="false" outlineLevel="0" collapsed="false">
      <c r="B695" s="17"/>
      <c r="C695" s="19" t="b">
        <f aca="false">FALSE()</f>
        <v>0</v>
      </c>
    </row>
    <row r="696" customFormat="false" ht="15.75" hidden="false" customHeight="false" outlineLevel="0" collapsed="false">
      <c r="B696" s="17"/>
      <c r="C696" s="19" t="b">
        <f aca="false">FALSE()</f>
        <v>0</v>
      </c>
    </row>
    <row r="697" customFormat="false" ht="15.75" hidden="false" customHeight="false" outlineLevel="0" collapsed="false">
      <c r="B697" s="17"/>
      <c r="C697" s="19" t="b">
        <f aca="false">FALSE()</f>
        <v>0</v>
      </c>
    </row>
    <row r="698" customFormat="false" ht="15.75" hidden="false" customHeight="false" outlineLevel="0" collapsed="false">
      <c r="B698" s="17"/>
      <c r="C698" s="19" t="b">
        <f aca="false">FALSE()</f>
        <v>0</v>
      </c>
    </row>
    <row r="699" customFormat="false" ht="15.75" hidden="false" customHeight="false" outlineLevel="0" collapsed="false">
      <c r="B699" s="17"/>
      <c r="C699" s="19" t="b">
        <f aca="false">FALSE()</f>
        <v>0</v>
      </c>
    </row>
    <row r="700" customFormat="false" ht="15.75" hidden="false" customHeight="false" outlineLevel="0" collapsed="false">
      <c r="B700" s="17"/>
      <c r="C700" s="19" t="b">
        <f aca="false">FALSE()</f>
        <v>0</v>
      </c>
    </row>
    <row r="701" customFormat="false" ht="15.75" hidden="false" customHeight="false" outlineLevel="0" collapsed="false">
      <c r="B701" s="17"/>
      <c r="C701" s="19" t="b">
        <f aca="false">FALSE()</f>
        <v>0</v>
      </c>
    </row>
    <row r="702" customFormat="false" ht="15.75" hidden="false" customHeight="false" outlineLevel="0" collapsed="false">
      <c r="B702" s="17"/>
      <c r="C702" s="19" t="b">
        <f aca="false">FALSE()</f>
        <v>0</v>
      </c>
    </row>
    <row r="703" customFormat="false" ht="15.75" hidden="false" customHeight="false" outlineLevel="0" collapsed="false">
      <c r="B703" s="17"/>
      <c r="C703" s="19" t="b">
        <f aca="false">FALSE()</f>
        <v>0</v>
      </c>
    </row>
    <row r="704" customFormat="false" ht="15.75" hidden="false" customHeight="false" outlineLevel="0" collapsed="false">
      <c r="B704" s="17"/>
      <c r="C704" s="19" t="b">
        <f aca="false">FALSE()</f>
        <v>0</v>
      </c>
    </row>
    <row r="705" customFormat="false" ht="15.75" hidden="false" customHeight="false" outlineLevel="0" collapsed="false">
      <c r="B705" s="17"/>
      <c r="C705" s="19" t="b">
        <f aca="false">FALSE()</f>
        <v>0</v>
      </c>
    </row>
    <row r="706" customFormat="false" ht="15.75" hidden="false" customHeight="false" outlineLevel="0" collapsed="false">
      <c r="B706" s="17"/>
      <c r="C706" s="19" t="b">
        <f aca="false">FALSE()</f>
        <v>0</v>
      </c>
    </row>
    <row r="707" customFormat="false" ht="15.75" hidden="false" customHeight="false" outlineLevel="0" collapsed="false">
      <c r="B707" s="17"/>
      <c r="C707" s="19" t="b">
        <f aca="false">FALSE()</f>
        <v>0</v>
      </c>
    </row>
    <row r="708" customFormat="false" ht="15.75" hidden="false" customHeight="false" outlineLevel="0" collapsed="false">
      <c r="B708" s="17"/>
      <c r="C708" s="19" t="b">
        <f aca="false">FALSE()</f>
        <v>0</v>
      </c>
    </row>
    <row r="709" customFormat="false" ht="15.75" hidden="false" customHeight="false" outlineLevel="0" collapsed="false">
      <c r="B709" s="17"/>
      <c r="C709" s="19" t="b">
        <f aca="false">FALSE()</f>
        <v>0</v>
      </c>
    </row>
    <row r="710" customFormat="false" ht="15.75" hidden="false" customHeight="false" outlineLevel="0" collapsed="false">
      <c r="B710" s="17"/>
      <c r="C710" s="19" t="b">
        <f aca="false">FALSE()</f>
        <v>0</v>
      </c>
    </row>
    <row r="711" customFormat="false" ht="15.75" hidden="false" customHeight="false" outlineLevel="0" collapsed="false">
      <c r="B711" s="17"/>
      <c r="C711" s="19" t="b">
        <f aca="false">FALSE()</f>
        <v>0</v>
      </c>
    </row>
    <row r="712" customFormat="false" ht="15.75" hidden="false" customHeight="false" outlineLevel="0" collapsed="false">
      <c r="B712" s="17"/>
      <c r="C712" s="19" t="b">
        <f aca="false">FALSE()</f>
        <v>0</v>
      </c>
    </row>
    <row r="713" customFormat="false" ht="15.75" hidden="false" customHeight="false" outlineLevel="0" collapsed="false">
      <c r="B713" s="17"/>
      <c r="C713" s="19" t="b">
        <f aca="false">FALSE()</f>
        <v>0</v>
      </c>
    </row>
    <row r="714" customFormat="false" ht="15.75" hidden="false" customHeight="false" outlineLevel="0" collapsed="false">
      <c r="B714" s="17"/>
      <c r="C714" s="19" t="b">
        <f aca="false">FALSE()</f>
        <v>0</v>
      </c>
    </row>
    <row r="715" customFormat="false" ht="15.75" hidden="false" customHeight="false" outlineLevel="0" collapsed="false">
      <c r="B715" s="17"/>
      <c r="C715" s="19" t="b">
        <f aca="false">FALSE()</f>
        <v>0</v>
      </c>
    </row>
    <row r="716" customFormat="false" ht="15.75" hidden="false" customHeight="false" outlineLevel="0" collapsed="false">
      <c r="B716" s="17"/>
      <c r="C716" s="19" t="b">
        <f aca="false">FALSE()</f>
        <v>0</v>
      </c>
    </row>
    <row r="717" customFormat="false" ht="15.75" hidden="false" customHeight="false" outlineLevel="0" collapsed="false">
      <c r="B717" s="17"/>
      <c r="C717" s="19" t="b">
        <f aca="false">FALSE()</f>
        <v>0</v>
      </c>
    </row>
    <row r="718" customFormat="false" ht="15.75" hidden="false" customHeight="false" outlineLevel="0" collapsed="false">
      <c r="B718" s="17"/>
      <c r="C718" s="19" t="b">
        <f aca="false">FALSE()</f>
        <v>0</v>
      </c>
    </row>
    <row r="719" customFormat="false" ht="15.75" hidden="false" customHeight="false" outlineLevel="0" collapsed="false">
      <c r="B719" s="17"/>
      <c r="C719" s="19" t="b">
        <f aca="false">FALSE()</f>
        <v>0</v>
      </c>
    </row>
    <row r="720" customFormat="false" ht="15.75" hidden="false" customHeight="false" outlineLevel="0" collapsed="false">
      <c r="B720" s="17"/>
      <c r="C720" s="19" t="b">
        <f aca="false">FALSE()</f>
        <v>0</v>
      </c>
    </row>
    <row r="721" customFormat="false" ht="15.75" hidden="false" customHeight="false" outlineLevel="0" collapsed="false">
      <c r="B721" s="17"/>
      <c r="C721" s="19" t="b">
        <f aca="false">FALSE()</f>
        <v>0</v>
      </c>
    </row>
    <row r="722" customFormat="false" ht="15.75" hidden="false" customHeight="false" outlineLevel="0" collapsed="false">
      <c r="B722" s="17"/>
      <c r="C722" s="19" t="b">
        <f aca="false">FALSE()</f>
        <v>0</v>
      </c>
    </row>
    <row r="723" customFormat="false" ht="15.75" hidden="false" customHeight="false" outlineLevel="0" collapsed="false">
      <c r="B723" s="17"/>
      <c r="C723" s="19" t="b">
        <f aca="false">FALSE()</f>
        <v>0</v>
      </c>
    </row>
    <row r="724" customFormat="false" ht="15.75" hidden="false" customHeight="false" outlineLevel="0" collapsed="false">
      <c r="B724" s="17"/>
      <c r="C724" s="19" t="b">
        <f aca="false">FALSE()</f>
        <v>0</v>
      </c>
    </row>
    <row r="725" customFormat="false" ht="15.75" hidden="false" customHeight="false" outlineLevel="0" collapsed="false">
      <c r="B725" s="17"/>
      <c r="C725" s="19" t="b">
        <f aca="false">FALSE()</f>
        <v>0</v>
      </c>
    </row>
    <row r="726" customFormat="false" ht="15.75" hidden="false" customHeight="false" outlineLevel="0" collapsed="false">
      <c r="B726" s="17"/>
      <c r="C726" s="19" t="b">
        <f aca="false">FALSE()</f>
        <v>0</v>
      </c>
    </row>
    <row r="727" customFormat="false" ht="15.75" hidden="false" customHeight="false" outlineLevel="0" collapsed="false">
      <c r="B727" s="17"/>
      <c r="C727" s="19" t="b">
        <f aca="false">FALSE()</f>
        <v>0</v>
      </c>
    </row>
    <row r="728" customFormat="false" ht="15.75" hidden="false" customHeight="false" outlineLevel="0" collapsed="false">
      <c r="B728" s="17"/>
      <c r="C728" s="19" t="b">
        <f aca="false">FALSE()</f>
        <v>0</v>
      </c>
    </row>
    <row r="729" customFormat="false" ht="15.75" hidden="false" customHeight="false" outlineLevel="0" collapsed="false">
      <c r="B729" s="17"/>
      <c r="C729" s="19" t="b">
        <f aca="false">FALSE()</f>
        <v>0</v>
      </c>
    </row>
    <row r="730" customFormat="false" ht="15.75" hidden="false" customHeight="false" outlineLevel="0" collapsed="false">
      <c r="B730" s="17"/>
      <c r="C730" s="19" t="b">
        <f aca="false">FALSE()</f>
        <v>0</v>
      </c>
    </row>
    <row r="731" customFormat="false" ht="15.75" hidden="false" customHeight="false" outlineLevel="0" collapsed="false">
      <c r="B731" s="17"/>
      <c r="C731" s="19" t="b">
        <f aca="false">FALSE()</f>
        <v>0</v>
      </c>
    </row>
    <row r="732" customFormat="false" ht="15.75" hidden="false" customHeight="false" outlineLevel="0" collapsed="false">
      <c r="B732" s="17"/>
      <c r="C732" s="19" t="b">
        <f aca="false">FALSE()</f>
        <v>0</v>
      </c>
    </row>
    <row r="733" customFormat="false" ht="15.75" hidden="false" customHeight="false" outlineLevel="0" collapsed="false">
      <c r="B733" s="17"/>
      <c r="C733" s="19" t="b">
        <f aca="false">FALSE()</f>
        <v>0</v>
      </c>
    </row>
    <row r="734" customFormat="false" ht="15.75" hidden="false" customHeight="false" outlineLevel="0" collapsed="false">
      <c r="B734" s="17"/>
      <c r="C734" s="19" t="b">
        <f aca="false">FALSE()</f>
        <v>0</v>
      </c>
    </row>
    <row r="735" customFormat="false" ht="15.75" hidden="false" customHeight="false" outlineLevel="0" collapsed="false">
      <c r="B735" s="17"/>
      <c r="C735" s="19" t="b">
        <f aca="false">FALSE()</f>
        <v>0</v>
      </c>
    </row>
    <row r="736" customFormat="false" ht="15.75" hidden="false" customHeight="false" outlineLevel="0" collapsed="false">
      <c r="B736" s="17"/>
      <c r="C736" s="19" t="b">
        <f aca="false">FALSE()</f>
        <v>0</v>
      </c>
    </row>
    <row r="737" customFormat="false" ht="15.75" hidden="false" customHeight="false" outlineLevel="0" collapsed="false">
      <c r="B737" s="17"/>
      <c r="C737" s="19" t="b">
        <f aca="false">FALSE()</f>
        <v>0</v>
      </c>
    </row>
    <row r="738" customFormat="false" ht="15.75" hidden="false" customHeight="false" outlineLevel="0" collapsed="false">
      <c r="B738" s="17"/>
      <c r="C738" s="19" t="b">
        <f aca="false">FALSE()</f>
        <v>0</v>
      </c>
    </row>
    <row r="739" customFormat="false" ht="15.75" hidden="false" customHeight="false" outlineLevel="0" collapsed="false">
      <c r="B739" s="17"/>
      <c r="C739" s="19" t="b">
        <f aca="false">FALSE()</f>
        <v>0</v>
      </c>
    </row>
    <row r="740" customFormat="false" ht="15.75" hidden="false" customHeight="false" outlineLevel="0" collapsed="false">
      <c r="B740" s="17"/>
      <c r="C740" s="19" t="b">
        <f aca="false">FALSE()</f>
        <v>0</v>
      </c>
    </row>
    <row r="741" customFormat="false" ht="15.75" hidden="false" customHeight="false" outlineLevel="0" collapsed="false">
      <c r="B741" s="17"/>
      <c r="C741" s="19" t="b">
        <f aca="false">FALSE()</f>
        <v>0</v>
      </c>
    </row>
    <row r="742" customFormat="false" ht="15.75" hidden="false" customHeight="false" outlineLevel="0" collapsed="false">
      <c r="B742" s="17"/>
      <c r="C742" s="19" t="b">
        <f aca="false">FALSE()</f>
        <v>0</v>
      </c>
    </row>
    <row r="743" customFormat="false" ht="15.75" hidden="false" customHeight="false" outlineLevel="0" collapsed="false">
      <c r="B743" s="17"/>
      <c r="C743" s="19" t="b">
        <f aca="false">FALSE()</f>
        <v>0</v>
      </c>
    </row>
    <row r="744" customFormat="false" ht="15.75" hidden="false" customHeight="false" outlineLevel="0" collapsed="false">
      <c r="B744" s="17"/>
      <c r="C744" s="19" t="b">
        <f aca="false">FALSE()</f>
        <v>0</v>
      </c>
    </row>
    <row r="745" customFormat="false" ht="15.75" hidden="false" customHeight="false" outlineLevel="0" collapsed="false">
      <c r="B745" s="17"/>
      <c r="C745" s="19" t="b">
        <f aca="false">FALSE()</f>
        <v>0</v>
      </c>
    </row>
    <row r="746" customFormat="false" ht="15.75" hidden="false" customHeight="false" outlineLevel="0" collapsed="false">
      <c r="B746" s="17"/>
      <c r="C746" s="19" t="b">
        <f aca="false">FALSE()</f>
        <v>0</v>
      </c>
    </row>
    <row r="747" customFormat="false" ht="15.75" hidden="false" customHeight="false" outlineLevel="0" collapsed="false">
      <c r="B747" s="17"/>
      <c r="C747" s="19" t="b">
        <f aca="false">FALSE()</f>
        <v>0</v>
      </c>
    </row>
    <row r="748" customFormat="false" ht="15.75" hidden="false" customHeight="false" outlineLevel="0" collapsed="false">
      <c r="B748" s="17"/>
      <c r="C748" s="19" t="b">
        <f aca="false">FALSE()</f>
        <v>0</v>
      </c>
    </row>
    <row r="749" customFormat="false" ht="15.75" hidden="false" customHeight="false" outlineLevel="0" collapsed="false">
      <c r="B749" s="17"/>
      <c r="C749" s="19" t="b">
        <f aca="false">FALSE()</f>
        <v>0</v>
      </c>
    </row>
    <row r="750" customFormat="false" ht="15.75" hidden="false" customHeight="false" outlineLevel="0" collapsed="false">
      <c r="B750" s="17"/>
      <c r="C750" s="19" t="b">
        <f aca="false">FALSE()</f>
        <v>0</v>
      </c>
    </row>
    <row r="751" customFormat="false" ht="15.75" hidden="false" customHeight="false" outlineLevel="0" collapsed="false">
      <c r="B751" s="17"/>
      <c r="C751" s="19" t="b">
        <f aca="false">FALSE()</f>
        <v>0</v>
      </c>
    </row>
    <row r="752" customFormat="false" ht="15.75" hidden="false" customHeight="false" outlineLevel="0" collapsed="false">
      <c r="B752" s="17"/>
      <c r="C752" s="19" t="b">
        <f aca="false">FALSE()</f>
        <v>0</v>
      </c>
    </row>
    <row r="753" customFormat="false" ht="15.75" hidden="false" customHeight="false" outlineLevel="0" collapsed="false">
      <c r="B753" s="17"/>
      <c r="C753" s="19" t="b">
        <f aca="false">FALSE()</f>
        <v>0</v>
      </c>
    </row>
    <row r="754" customFormat="false" ht="15.75" hidden="false" customHeight="false" outlineLevel="0" collapsed="false">
      <c r="B754" s="17"/>
      <c r="C754" s="19" t="b">
        <f aca="false">FALSE()</f>
        <v>0</v>
      </c>
    </row>
    <row r="755" customFormat="false" ht="15.75" hidden="false" customHeight="false" outlineLevel="0" collapsed="false">
      <c r="B755" s="17"/>
      <c r="C755" s="19" t="b">
        <f aca="false">FALSE()</f>
        <v>0</v>
      </c>
    </row>
    <row r="756" customFormat="false" ht="15.75" hidden="false" customHeight="false" outlineLevel="0" collapsed="false">
      <c r="B756" s="17"/>
      <c r="C756" s="19" t="b">
        <f aca="false">FALSE()</f>
        <v>0</v>
      </c>
    </row>
    <row r="757" customFormat="false" ht="15.75" hidden="false" customHeight="false" outlineLevel="0" collapsed="false">
      <c r="B757" s="17"/>
      <c r="C757" s="19" t="b">
        <f aca="false">FALSE()</f>
        <v>0</v>
      </c>
    </row>
    <row r="758" customFormat="false" ht="15.75" hidden="false" customHeight="false" outlineLevel="0" collapsed="false">
      <c r="B758" s="17"/>
      <c r="C758" s="19" t="b">
        <f aca="false">FALSE()</f>
        <v>0</v>
      </c>
    </row>
    <row r="759" customFormat="false" ht="15.75" hidden="false" customHeight="false" outlineLevel="0" collapsed="false">
      <c r="B759" s="17"/>
      <c r="C759" s="19" t="b">
        <f aca="false">FALSE()</f>
        <v>0</v>
      </c>
    </row>
    <row r="760" customFormat="false" ht="15.75" hidden="false" customHeight="false" outlineLevel="0" collapsed="false">
      <c r="B760" s="17"/>
      <c r="C760" s="19" t="b">
        <f aca="false">FALSE()</f>
        <v>0</v>
      </c>
    </row>
    <row r="761" customFormat="false" ht="15.75" hidden="false" customHeight="false" outlineLevel="0" collapsed="false">
      <c r="B761" s="17"/>
      <c r="C761" s="19" t="b">
        <f aca="false">FALSE()</f>
        <v>0</v>
      </c>
    </row>
    <row r="762" customFormat="false" ht="15.75" hidden="false" customHeight="false" outlineLevel="0" collapsed="false">
      <c r="B762" s="17"/>
      <c r="C762" s="19" t="b">
        <f aca="false">FALSE()</f>
        <v>0</v>
      </c>
    </row>
    <row r="763" customFormat="false" ht="15.75" hidden="false" customHeight="false" outlineLevel="0" collapsed="false">
      <c r="B763" s="17"/>
      <c r="C763" s="19" t="b">
        <f aca="false">FALSE()</f>
        <v>0</v>
      </c>
    </row>
    <row r="764" customFormat="false" ht="15.75" hidden="false" customHeight="false" outlineLevel="0" collapsed="false">
      <c r="B764" s="17"/>
      <c r="C764" s="19" t="b">
        <f aca="false">FALSE()</f>
        <v>0</v>
      </c>
    </row>
    <row r="765" customFormat="false" ht="15.75" hidden="false" customHeight="false" outlineLevel="0" collapsed="false">
      <c r="B765" s="17"/>
      <c r="C765" s="19" t="b">
        <f aca="false">FALSE()</f>
        <v>0</v>
      </c>
    </row>
    <row r="766" customFormat="false" ht="15.75" hidden="false" customHeight="false" outlineLevel="0" collapsed="false">
      <c r="B766" s="17"/>
      <c r="C766" s="19" t="b">
        <f aca="false">FALSE()</f>
        <v>0</v>
      </c>
    </row>
    <row r="767" customFormat="false" ht="15.75" hidden="false" customHeight="false" outlineLevel="0" collapsed="false">
      <c r="B767" s="17"/>
      <c r="C767" s="19" t="b">
        <f aca="false">FALSE()</f>
        <v>0</v>
      </c>
    </row>
    <row r="768" customFormat="false" ht="15.75" hidden="false" customHeight="false" outlineLevel="0" collapsed="false">
      <c r="B768" s="17"/>
      <c r="C768" s="19" t="b">
        <f aca="false">FALSE()</f>
        <v>0</v>
      </c>
    </row>
    <row r="769" customFormat="false" ht="15.75" hidden="false" customHeight="false" outlineLevel="0" collapsed="false">
      <c r="B769" s="17"/>
      <c r="C769" s="19" t="b">
        <f aca="false">FALSE()</f>
        <v>0</v>
      </c>
    </row>
    <row r="770" customFormat="false" ht="15.75" hidden="false" customHeight="false" outlineLevel="0" collapsed="false">
      <c r="B770" s="17"/>
      <c r="C770" s="19" t="b">
        <f aca="false">FALSE()</f>
        <v>0</v>
      </c>
    </row>
    <row r="771" customFormat="false" ht="15.75" hidden="false" customHeight="false" outlineLevel="0" collapsed="false">
      <c r="B771" s="17"/>
      <c r="C771" s="19" t="b">
        <f aca="false">FALSE()</f>
        <v>0</v>
      </c>
    </row>
    <row r="772" customFormat="false" ht="15.75" hidden="false" customHeight="false" outlineLevel="0" collapsed="false">
      <c r="B772" s="17"/>
      <c r="C772" s="19" t="b">
        <f aca="false">FALSE()</f>
        <v>0</v>
      </c>
    </row>
    <row r="773" customFormat="false" ht="15.75" hidden="false" customHeight="false" outlineLevel="0" collapsed="false">
      <c r="B773" s="17"/>
      <c r="C773" s="19" t="b">
        <f aca="false">FALSE()</f>
        <v>0</v>
      </c>
    </row>
    <row r="774" customFormat="false" ht="15.75" hidden="false" customHeight="false" outlineLevel="0" collapsed="false">
      <c r="B774" s="17"/>
      <c r="C774" s="19" t="b">
        <f aca="false">FALSE()</f>
        <v>0</v>
      </c>
    </row>
    <row r="775" customFormat="false" ht="15.75" hidden="false" customHeight="false" outlineLevel="0" collapsed="false">
      <c r="B775" s="17"/>
      <c r="C775" s="19" t="b">
        <f aca="false">FALSE()</f>
        <v>0</v>
      </c>
    </row>
    <row r="776" customFormat="false" ht="15.75" hidden="false" customHeight="false" outlineLevel="0" collapsed="false">
      <c r="B776" s="17"/>
      <c r="C776" s="19" t="b">
        <f aca="false">FALSE()</f>
        <v>0</v>
      </c>
    </row>
    <row r="777" customFormat="false" ht="15.75" hidden="false" customHeight="false" outlineLevel="0" collapsed="false">
      <c r="B777" s="17"/>
      <c r="C777" s="19" t="b">
        <f aca="false">FALSE()</f>
        <v>0</v>
      </c>
    </row>
    <row r="778" customFormat="false" ht="15.75" hidden="false" customHeight="false" outlineLevel="0" collapsed="false">
      <c r="B778" s="17"/>
      <c r="C778" s="19" t="b">
        <f aca="false">FALSE()</f>
        <v>0</v>
      </c>
    </row>
    <row r="779" customFormat="false" ht="15.75" hidden="false" customHeight="false" outlineLevel="0" collapsed="false">
      <c r="B779" s="17"/>
      <c r="C779" s="19" t="b">
        <f aca="false">FALSE()</f>
        <v>0</v>
      </c>
    </row>
    <row r="780" customFormat="false" ht="15.75" hidden="false" customHeight="false" outlineLevel="0" collapsed="false">
      <c r="B780" s="17"/>
      <c r="C780" s="19" t="b">
        <f aca="false">FALSE()</f>
        <v>0</v>
      </c>
    </row>
    <row r="781" customFormat="false" ht="15.75" hidden="false" customHeight="false" outlineLevel="0" collapsed="false">
      <c r="B781" s="17"/>
      <c r="C781" s="19" t="b">
        <f aca="false">FALSE()</f>
        <v>0</v>
      </c>
    </row>
    <row r="782" customFormat="false" ht="15.75" hidden="false" customHeight="false" outlineLevel="0" collapsed="false">
      <c r="B782" s="17"/>
      <c r="C782" s="19" t="b">
        <f aca="false">FALSE()</f>
        <v>0</v>
      </c>
    </row>
    <row r="783" customFormat="false" ht="15.75" hidden="false" customHeight="false" outlineLevel="0" collapsed="false">
      <c r="B783" s="17"/>
      <c r="C783" s="19" t="b">
        <f aca="false">FALSE()</f>
        <v>0</v>
      </c>
    </row>
    <row r="784" customFormat="false" ht="15.75" hidden="false" customHeight="false" outlineLevel="0" collapsed="false">
      <c r="B784" s="17"/>
      <c r="C784" s="19" t="b">
        <f aca="false">FALSE()</f>
        <v>0</v>
      </c>
    </row>
    <row r="785" customFormat="false" ht="15.75" hidden="false" customHeight="false" outlineLevel="0" collapsed="false">
      <c r="B785" s="17"/>
      <c r="C785" s="19" t="b">
        <f aca="false">FALSE()</f>
        <v>0</v>
      </c>
    </row>
    <row r="786" customFormat="false" ht="15.75" hidden="false" customHeight="false" outlineLevel="0" collapsed="false">
      <c r="B786" s="17"/>
      <c r="C786" s="19" t="b">
        <f aca="false">FALSE()</f>
        <v>0</v>
      </c>
    </row>
    <row r="787" customFormat="false" ht="15.75" hidden="false" customHeight="false" outlineLevel="0" collapsed="false">
      <c r="B787" s="17"/>
      <c r="C787" s="19" t="b">
        <f aca="false">FALSE()</f>
        <v>0</v>
      </c>
    </row>
    <row r="788" customFormat="false" ht="15.75" hidden="false" customHeight="false" outlineLevel="0" collapsed="false">
      <c r="B788" s="17"/>
      <c r="C788" s="19" t="b">
        <f aca="false">FALSE()</f>
        <v>0</v>
      </c>
    </row>
    <row r="789" customFormat="false" ht="15.75" hidden="false" customHeight="false" outlineLevel="0" collapsed="false">
      <c r="B789" s="17"/>
      <c r="C789" s="19" t="b">
        <f aca="false">FALSE()</f>
        <v>0</v>
      </c>
    </row>
    <row r="790" customFormat="false" ht="15.75" hidden="false" customHeight="false" outlineLevel="0" collapsed="false">
      <c r="B790" s="17"/>
      <c r="C790" s="19" t="b">
        <f aca="false">FALSE()</f>
        <v>0</v>
      </c>
    </row>
    <row r="791" customFormat="false" ht="15.75" hidden="false" customHeight="false" outlineLevel="0" collapsed="false">
      <c r="B791" s="17"/>
      <c r="C791" s="19" t="b">
        <f aca="false">FALSE()</f>
        <v>0</v>
      </c>
    </row>
    <row r="792" customFormat="false" ht="15.75" hidden="false" customHeight="false" outlineLevel="0" collapsed="false">
      <c r="B792" s="17"/>
      <c r="C792" s="19" t="b">
        <f aca="false">FALSE()</f>
        <v>0</v>
      </c>
    </row>
    <row r="793" customFormat="false" ht="15.75" hidden="false" customHeight="false" outlineLevel="0" collapsed="false">
      <c r="B793" s="17"/>
      <c r="C793" s="19" t="b">
        <f aca="false">FALSE()</f>
        <v>0</v>
      </c>
    </row>
    <row r="794" customFormat="false" ht="15.75" hidden="false" customHeight="false" outlineLevel="0" collapsed="false">
      <c r="B794" s="17"/>
      <c r="C794" s="19" t="b">
        <f aca="false">FALSE()</f>
        <v>0</v>
      </c>
    </row>
    <row r="795" customFormat="false" ht="15.75" hidden="false" customHeight="false" outlineLevel="0" collapsed="false">
      <c r="B795" s="17"/>
      <c r="C795" s="19" t="b">
        <f aca="false">FALSE()</f>
        <v>0</v>
      </c>
    </row>
    <row r="796" customFormat="false" ht="15.75" hidden="false" customHeight="false" outlineLevel="0" collapsed="false">
      <c r="B796" s="17"/>
      <c r="C796" s="19" t="b">
        <f aca="false">FALSE()</f>
        <v>0</v>
      </c>
    </row>
    <row r="797" customFormat="false" ht="15.75" hidden="false" customHeight="false" outlineLevel="0" collapsed="false">
      <c r="B797" s="17"/>
      <c r="C797" s="19" t="b">
        <f aca="false">FALSE()</f>
        <v>0</v>
      </c>
    </row>
    <row r="798" customFormat="false" ht="15.75" hidden="false" customHeight="false" outlineLevel="0" collapsed="false">
      <c r="B798" s="17"/>
      <c r="C798" s="19" t="b">
        <f aca="false">FALSE()</f>
        <v>0</v>
      </c>
    </row>
    <row r="799" customFormat="false" ht="15.75" hidden="false" customHeight="false" outlineLevel="0" collapsed="false">
      <c r="B799" s="17"/>
      <c r="C799" s="19" t="b">
        <f aca="false">FALSE()</f>
        <v>0</v>
      </c>
    </row>
    <row r="800" customFormat="false" ht="15.75" hidden="false" customHeight="false" outlineLevel="0" collapsed="false">
      <c r="B800" s="17"/>
      <c r="C800" s="19" t="b">
        <f aca="false">FALSE()</f>
        <v>0</v>
      </c>
    </row>
    <row r="801" customFormat="false" ht="15.75" hidden="false" customHeight="false" outlineLevel="0" collapsed="false">
      <c r="B801" s="17"/>
      <c r="C801" s="19" t="b">
        <f aca="false">FALSE()</f>
        <v>0</v>
      </c>
    </row>
    <row r="802" customFormat="false" ht="15.75" hidden="false" customHeight="false" outlineLevel="0" collapsed="false">
      <c r="B802" s="17"/>
      <c r="C802" s="19" t="b">
        <f aca="false">FALSE()</f>
        <v>0</v>
      </c>
    </row>
    <row r="803" customFormat="false" ht="15.75" hidden="false" customHeight="false" outlineLevel="0" collapsed="false">
      <c r="B803" s="17"/>
      <c r="C803" s="19" t="b">
        <f aca="false">FALSE()</f>
        <v>0</v>
      </c>
    </row>
    <row r="804" customFormat="false" ht="15.75" hidden="false" customHeight="false" outlineLevel="0" collapsed="false">
      <c r="B804" s="17"/>
      <c r="C804" s="19" t="b">
        <f aca="false">FALSE()</f>
        <v>0</v>
      </c>
    </row>
    <row r="805" customFormat="false" ht="15.75" hidden="false" customHeight="false" outlineLevel="0" collapsed="false">
      <c r="B805" s="17"/>
      <c r="C805" s="19" t="b">
        <f aca="false">FALSE()</f>
        <v>0</v>
      </c>
    </row>
    <row r="806" customFormat="false" ht="15.75" hidden="false" customHeight="false" outlineLevel="0" collapsed="false">
      <c r="B806" s="17"/>
      <c r="C806" s="19" t="b">
        <f aca="false">FALSE()</f>
        <v>0</v>
      </c>
    </row>
    <row r="807" customFormat="false" ht="15.75" hidden="false" customHeight="false" outlineLevel="0" collapsed="false">
      <c r="B807" s="17"/>
      <c r="C807" s="19" t="b">
        <f aca="false">FALSE()</f>
        <v>0</v>
      </c>
    </row>
    <row r="808" customFormat="false" ht="15.75" hidden="false" customHeight="false" outlineLevel="0" collapsed="false">
      <c r="B808" s="17"/>
      <c r="C808" s="19" t="b">
        <f aca="false">FALSE()</f>
        <v>0</v>
      </c>
    </row>
    <row r="809" customFormat="false" ht="15.75" hidden="false" customHeight="false" outlineLevel="0" collapsed="false">
      <c r="B809" s="17"/>
      <c r="C809" s="19" t="b">
        <f aca="false">FALSE()</f>
        <v>0</v>
      </c>
    </row>
    <row r="810" customFormat="false" ht="15.75" hidden="false" customHeight="false" outlineLevel="0" collapsed="false">
      <c r="B810" s="17"/>
      <c r="C810" s="19" t="b">
        <f aca="false">FALSE()</f>
        <v>0</v>
      </c>
    </row>
    <row r="811" customFormat="false" ht="15.75" hidden="false" customHeight="false" outlineLevel="0" collapsed="false">
      <c r="B811" s="17"/>
      <c r="C811" s="19" t="b">
        <f aca="false">FALSE()</f>
        <v>0</v>
      </c>
    </row>
    <row r="812" customFormat="false" ht="15.75" hidden="false" customHeight="false" outlineLevel="0" collapsed="false">
      <c r="B812" s="17"/>
      <c r="C812" s="19" t="b">
        <f aca="false">FALSE()</f>
        <v>0</v>
      </c>
    </row>
    <row r="813" customFormat="false" ht="15.75" hidden="false" customHeight="false" outlineLevel="0" collapsed="false">
      <c r="B813" s="17"/>
      <c r="C813" s="19" t="b">
        <f aca="false">FALSE()</f>
        <v>0</v>
      </c>
    </row>
    <row r="814" customFormat="false" ht="15.75" hidden="false" customHeight="false" outlineLevel="0" collapsed="false">
      <c r="B814" s="17"/>
      <c r="C814" s="19" t="b">
        <f aca="false">FALSE()</f>
        <v>0</v>
      </c>
    </row>
    <row r="815" customFormat="false" ht="15.75" hidden="false" customHeight="false" outlineLevel="0" collapsed="false">
      <c r="B815" s="17"/>
      <c r="C815" s="19" t="b">
        <f aca="false">FALSE()</f>
        <v>0</v>
      </c>
    </row>
    <row r="816" customFormat="false" ht="15.75" hidden="false" customHeight="false" outlineLevel="0" collapsed="false">
      <c r="B816" s="17"/>
      <c r="C816" s="19" t="b">
        <f aca="false">FALSE()</f>
        <v>0</v>
      </c>
    </row>
    <row r="817" customFormat="false" ht="15.75" hidden="false" customHeight="false" outlineLevel="0" collapsed="false">
      <c r="B817" s="17"/>
      <c r="C817" s="19" t="b">
        <f aca="false">FALSE()</f>
        <v>0</v>
      </c>
    </row>
    <row r="818" customFormat="false" ht="15.75" hidden="false" customHeight="false" outlineLevel="0" collapsed="false">
      <c r="B818" s="17"/>
      <c r="C818" s="19" t="b">
        <f aca="false">FALSE()</f>
        <v>0</v>
      </c>
    </row>
    <row r="819" customFormat="false" ht="15.75" hidden="false" customHeight="false" outlineLevel="0" collapsed="false">
      <c r="B819" s="17"/>
      <c r="C819" s="19" t="b">
        <f aca="false">FALSE()</f>
        <v>0</v>
      </c>
    </row>
    <row r="820" customFormat="false" ht="15.75" hidden="false" customHeight="false" outlineLevel="0" collapsed="false">
      <c r="B820" s="17"/>
      <c r="C820" s="19" t="b">
        <f aca="false">FALSE()</f>
        <v>0</v>
      </c>
    </row>
    <row r="821" customFormat="false" ht="15.75" hidden="false" customHeight="false" outlineLevel="0" collapsed="false">
      <c r="B821" s="17"/>
      <c r="C821" s="19" t="b">
        <f aca="false">FALSE()</f>
        <v>0</v>
      </c>
    </row>
    <row r="822" customFormat="false" ht="15.75" hidden="false" customHeight="false" outlineLevel="0" collapsed="false">
      <c r="B822" s="17"/>
      <c r="C822" s="19" t="b">
        <f aca="false">FALSE()</f>
        <v>0</v>
      </c>
    </row>
    <row r="823" customFormat="false" ht="15.75" hidden="false" customHeight="false" outlineLevel="0" collapsed="false">
      <c r="B823" s="17"/>
      <c r="C823" s="19" t="b">
        <f aca="false">FALSE()</f>
        <v>0</v>
      </c>
    </row>
    <row r="824" customFormat="false" ht="15.75" hidden="false" customHeight="false" outlineLevel="0" collapsed="false">
      <c r="B824" s="17"/>
      <c r="C824" s="19" t="b">
        <f aca="false">FALSE()</f>
        <v>0</v>
      </c>
    </row>
    <row r="825" customFormat="false" ht="15.75" hidden="false" customHeight="false" outlineLevel="0" collapsed="false">
      <c r="B825" s="17"/>
      <c r="C825" s="19" t="b">
        <f aca="false">FALSE()</f>
        <v>0</v>
      </c>
    </row>
    <row r="826" customFormat="false" ht="15.75" hidden="false" customHeight="false" outlineLevel="0" collapsed="false">
      <c r="B826" s="17"/>
      <c r="C826" s="19" t="b">
        <f aca="false">FALSE()</f>
        <v>0</v>
      </c>
    </row>
    <row r="827" customFormat="false" ht="15.75" hidden="false" customHeight="false" outlineLevel="0" collapsed="false">
      <c r="B827" s="17"/>
      <c r="C827" s="19" t="b">
        <f aca="false">FALSE()</f>
        <v>0</v>
      </c>
    </row>
    <row r="828" customFormat="false" ht="15.75" hidden="false" customHeight="false" outlineLevel="0" collapsed="false">
      <c r="B828" s="17"/>
      <c r="C828" s="19" t="b">
        <f aca="false">FALSE()</f>
        <v>0</v>
      </c>
    </row>
    <row r="829" customFormat="false" ht="15.75" hidden="false" customHeight="false" outlineLevel="0" collapsed="false">
      <c r="B829" s="17"/>
      <c r="C829" s="19" t="b">
        <f aca="false">FALSE()</f>
        <v>0</v>
      </c>
    </row>
    <row r="830" customFormat="false" ht="15.75" hidden="false" customHeight="false" outlineLevel="0" collapsed="false">
      <c r="B830" s="17"/>
      <c r="C830" s="19" t="b">
        <f aca="false">FALSE()</f>
        <v>0</v>
      </c>
    </row>
    <row r="831" customFormat="false" ht="15.75" hidden="false" customHeight="false" outlineLevel="0" collapsed="false">
      <c r="B831" s="17"/>
      <c r="C831" s="19" t="b">
        <f aca="false">FALSE()</f>
        <v>0</v>
      </c>
    </row>
    <row r="832" customFormat="false" ht="15.75" hidden="false" customHeight="false" outlineLevel="0" collapsed="false">
      <c r="B832" s="17"/>
      <c r="C832" s="19" t="b">
        <f aca="false">FALSE()</f>
        <v>0</v>
      </c>
    </row>
    <row r="833" customFormat="false" ht="15.75" hidden="false" customHeight="false" outlineLevel="0" collapsed="false">
      <c r="B833" s="17"/>
      <c r="C833" s="19" t="b">
        <f aca="false">FALSE()</f>
        <v>0</v>
      </c>
    </row>
    <row r="834" customFormat="false" ht="15.75" hidden="false" customHeight="false" outlineLevel="0" collapsed="false">
      <c r="B834" s="17"/>
      <c r="C834" s="19" t="b">
        <f aca="false">FALSE()</f>
        <v>0</v>
      </c>
    </row>
    <row r="835" customFormat="false" ht="15.75" hidden="false" customHeight="false" outlineLevel="0" collapsed="false">
      <c r="B835" s="17"/>
      <c r="C835" s="19" t="b">
        <f aca="false">FALSE()</f>
        <v>0</v>
      </c>
    </row>
    <row r="836" customFormat="false" ht="15.75" hidden="false" customHeight="false" outlineLevel="0" collapsed="false">
      <c r="B836" s="17"/>
      <c r="C836" s="19" t="b">
        <f aca="false">FALSE()</f>
        <v>0</v>
      </c>
    </row>
    <row r="837" customFormat="false" ht="15.75" hidden="false" customHeight="false" outlineLevel="0" collapsed="false">
      <c r="B837" s="17"/>
      <c r="C837" s="19" t="b">
        <f aca="false">FALSE()</f>
        <v>0</v>
      </c>
    </row>
    <row r="838" customFormat="false" ht="15.75" hidden="false" customHeight="false" outlineLevel="0" collapsed="false">
      <c r="B838" s="17"/>
      <c r="C838" s="19" t="b">
        <f aca="false">FALSE()</f>
        <v>0</v>
      </c>
    </row>
    <row r="839" customFormat="false" ht="15.75" hidden="false" customHeight="false" outlineLevel="0" collapsed="false">
      <c r="B839" s="17"/>
      <c r="C839" s="19" t="b">
        <f aca="false">FALSE()</f>
        <v>0</v>
      </c>
    </row>
    <row r="840" customFormat="false" ht="15.75" hidden="false" customHeight="false" outlineLevel="0" collapsed="false">
      <c r="B840" s="17"/>
      <c r="C840" s="19" t="b">
        <f aca="false">FALSE()</f>
        <v>0</v>
      </c>
    </row>
    <row r="841" customFormat="false" ht="15.75" hidden="false" customHeight="false" outlineLevel="0" collapsed="false">
      <c r="B841" s="17"/>
      <c r="C841" s="19" t="b">
        <f aca="false">FALSE()</f>
        <v>0</v>
      </c>
    </row>
    <row r="842" customFormat="false" ht="15.75" hidden="false" customHeight="false" outlineLevel="0" collapsed="false">
      <c r="B842" s="17"/>
      <c r="C842" s="19" t="b">
        <f aca="false">FALSE()</f>
        <v>0</v>
      </c>
    </row>
    <row r="843" customFormat="false" ht="15.75" hidden="false" customHeight="false" outlineLevel="0" collapsed="false">
      <c r="B843" s="17"/>
      <c r="C843" s="19" t="b">
        <f aca="false">FALSE()</f>
        <v>0</v>
      </c>
    </row>
    <row r="844" customFormat="false" ht="15.75" hidden="false" customHeight="false" outlineLevel="0" collapsed="false">
      <c r="B844" s="17"/>
      <c r="C844" s="19" t="b">
        <f aca="false">FALSE()</f>
        <v>0</v>
      </c>
    </row>
    <row r="845" customFormat="false" ht="15.75" hidden="false" customHeight="false" outlineLevel="0" collapsed="false">
      <c r="B845" s="17"/>
      <c r="C845" s="19" t="b">
        <f aca="false">FALSE()</f>
        <v>0</v>
      </c>
    </row>
    <row r="846" customFormat="false" ht="15.75" hidden="false" customHeight="false" outlineLevel="0" collapsed="false">
      <c r="B846" s="17"/>
      <c r="C846" s="19" t="b">
        <f aca="false">FALSE()</f>
        <v>0</v>
      </c>
    </row>
    <row r="847" customFormat="false" ht="15.75" hidden="false" customHeight="false" outlineLevel="0" collapsed="false">
      <c r="B847" s="17"/>
      <c r="C847" s="19" t="b">
        <f aca="false">FALSE()</f>
        <v>0</v>
      </c>
    </row>
    <row r="848" customFormat="false" ht="15.75" hidden="false" customHeight="false" outlineLevel="0" collapsed="false">
      <c r="B848" s="17"/>
      <c r="C848" s="19" t="b">
        <f aca="false">FALSE()</f>
        <v>0</v>
      </c>
    </row>
    <row r="849" customFormat="false" ht="15.75" hidden="false" customHeight="false" outlineLevel="0" collapsed="false">
      <c r="B849" s="17"/>
      <c r="C849" s="19" t="b">
        <f aca="false">FALSE()</f>
        <v>0</v>
      </c>
    </row>
    <row r="850" customFormat="false" ht="15.75" hidden="false" customHeight="false" outlineLevel="0" collapsed="false">
      <c r="B850" s="17"/>
      <c r="C850" s="19" t="b">
        <f aca="false">FALSE()</f>
        <v>0</v>
      </c>
    </row>
    <row r="851" customFormat="false" ht="15.75" hidden="false" customHeight="false" outlineLevel="0" collapsed="false">
      <c r="B851" s="17"/>
      <c r="C851" s="19" t="b">
        <f aca="false">FALSE()</f>
        <v>0</v>
      </c>
    </row>
    <row r="852" customFormat="false" ht="15.75" hidden="false" customHeight="false" outlineLevel="0" collapsed="false">
      <c r="B852" s="17"/>
      <c r="C852" s="19" t="b">
        <f aca="false">FALSE()</f>
        <v>0</v>
      </c>
    </row>
    <row r="853" customFormat="false" ht="15.75" hidden="false" customHeight="false" outlineLevel="0" collapsed="false">
      <c r="B853" s="17"/>
      <c r="C853" s="19" t="b">
        <f aca="false">FALSE()</f>
        <v>0</v>
      </c>
    </row>
    <row r="854" customFormat="false" ht="15.75" hidden="false" customHeight="false" outlineLevel="0" collapsed="false">
      <c r="B854" s="17"/>
      <c r="C854" s="19" t="b">
        <f aca="false">FALSE()</f>
        <v>0</v>
      </c>
    </row>
    <row r="855" customFormat="false" ht="15.75" hidden="false" customHeight="false" outlineLevel="0" collapsed="false">
      <c r="B855" s="17"/>
      <c r="C855" s="19" t="b">
        <f aca="false">FALSE()</f>
        <v>0</v>
      </c>
    </row>
    <row r="856" customFormat="false" ht="15.75" hidden="false" customHeight="false" outlineLevel="0" collapsed="false">
      <c r="B856" s="17"/>
      <c r="C856" s="19" t="b">
        <f aca="false">FALSE()</f>
        <v>0</v>
      </c>
    </row>
    <row r="857" customFormat="false" ht="15.75" hidden="false" customHeight="false" outlineLevel="0" collapsed="false">
      <c r="B857" s="17"/>
      <c r="C857" s="19" t="b">
        <f aca="false">FALSE()</f>
        <v>0</v>
      </c>
    </row>
    <row r="858" customFormat="false" ht="15.75" hidden="false" customHeight="false" outlineLevel="0" collapsed="false">
      <c r="B858" s="17"/>
      <c r="C858" s="19" t="b">
        <f aca="false">FALSE()</f>
        <v>0</v>
      </c>
    </row>
    <row r="859" customFormat="false" ht="15.75" hidden="false" customHeight="false" outlineLevel="0" collapsed="false">
      <c r="B859" s="17"/>
      <c r="C859" s="19" t="b">
        <f aca="false">FALSE()</f>
        <v>0</v>
      </c>
    </row>
    <row r="860" customFormat="false" ht="15.75" hidden="false" customHeight="false" outlineLevel="0" collapsed="false">
      <c r="B860" s="17"/>
      <c r="C860" s="19" t="b">
        <f aca="false">FALSE()</f>
        <v>0</v>
      </c>
    </row>
    <row r="861" customFormat="false" ht="15.75" hidden="false" customHeight="false" outlineLevel="0" collapsed="false">
      <c r="B861" s="17"/>
      <c r="C861" s="19" t="b">
        <f aca="false">FALSE()</f>
        <v>0</v>
      </c>
    </row>
    <row r="862" customFormat="false" ht="15.75" hidden="false" customHeight="false" outlineLevel="0" collapsed="false">
      <c r="B862" s="17"/>
      <c r="C862" s="19" t="b">
        <f aca="false">FALSE()</f>
        <v>0</v>
      </c>
    </row>
    <row r="863" customFormat="false" ht="15.75" hidden="false" customHeight="false" outlineLevel="0" collapsed="false">
      <c r="B863" s="17"/>
      <c r="C863" s="19" t="b">
        <f aca="false">FALSE()</f>
        <v>0</v>
      </c>
    </row>
    <row r="864" customFormat="false" ht="15.75" hidden="false" customHeight="false" outlineLevel="0" collapsed="false">
      <c r="B864" s="17"/>
      <c r="C864" s="19" t="b">
        <f aca="false">FALSE()</f>
        <v>0</v>
      </c>
    </row>
    <row r="865" customFormat="false" ht="15.75" hidden="false" customHeight="false" outlineLevel="0" collapsed="false">
      <c r="B865" s="17"/>
      <c r="C865" s="19" t="b">
        <f aca="false">FALSE()</f>
        <v>0</v>
      </c>
    </row>
    <row r="866" customFormat="false" ht="15.75" hidden="false" customHeight="false" outlineLevel="0" collapsed="false">
      <c r="B866" s="17"/>
      <c r="C866" s="19" t="b">
        <f aca="false">FALSE()</f>
        <v>0</v>
      </c>
    </row>
    <row r="867" customFormat="false" ht="15.75" hidden="false" customHeight="false" outlineLevel="0" collapsed="false">
      <c r="B867" s="17"/>
      <c r="C867" s="19" t="b">
        <f aca="false">FALSE()</f>
        <v>0</v>
      </c>
    </row>
    <row r="868" customFormat="false" ht="15.75" hidden="false" customHeight="false" outlineLevel="0" collapsed="false">
      <c r="B868" s="17"/>
      <c r="C868" s="19" t="b">
        <f aca="false">FALSE()</f>
        <v>0</v>
      </c>
    </row>
    <row r="869" customFormat="false" ht="15.75" hidden="false" customHeight="false" outlineLevel="0" collapsed="false">
      <c r="B869" s="17"/>
      <c r="C869" s="19" t="b">
        <f aca="false">FALSE()</f>
        <v>0</v>
      </c>
    </row>
    <row r="870" customFormat="false" ht="15.75" hidden="false" customHeight="false" outlineLevel="0" collapsed="false">
      <c r="B870" s="17"/>
      <c r="C870" s="19" t="b">
        <f aca="false">FALSE()</f>
        <v>0</v>
      </c>
    </row>
    <row r="871" customFormat="false" ht="15.75" hidden="false" customHeight="false" outlineLevel="0" collapsed="false">
      <c r="B871" s="17"/>
      <c r="C871" s="19" t="b">
        <f aca="false">FALSE()</f>
        <v>0</v>
      </c>
    </row>
    <row r="872" customFormat="false" ht="15.75" hidden="false" customHeight="false" outlineLevel="0" collapsed="false">
      <c r="B872" s="17"/>
      <c r="C872" s="19" t="b">
        <f aca="false">FALSE()</f>
        <v>0</v>
      </c>
    </row>
    <row r="873" customFormat="false" ht="15.75" hidden="false" customHeight="false" outlineLevel="0" collapsed="false">
      <c r="B873" s="17"/>
      <c r="C873" s="19" t="b">
        <f aca="false">FALSE()</f>
        <v>0</v>
      </c>
    </row>
    <row r="874" customFormat="false" ht="15.75" hidden="false" customHeight="false" outlineLevel="0" collapsed="false">
      <c r="B874" s="17"/>
      <c r="C874" s="19" t="b">
        <f aca="false">FALSE()</f>
        <v>0</v>
      </c>
    </row>
    <row r="875" customFormat="false" ht="15.75" hidden="false" customHeight="false" outlineLevel="0" collapsed="false">
      <c r="B875" s="17"/>
      <c r="C875" s="19" t="b">
        <f aca="false">FALSE()</f>
        <v>0</v>
      </c>
    </row>
    <row r="876" customFormat="false" ht="15.75" hidden="false" customHeight="false" outlineLevel="0" collapsed="false">
      <c r="B876" s="17"/>
      <c r="C876" s="19" t="b">
        <f aca="false">FALSE()</f>
        <v>0</v>
      </c>
    </row>
    <row r="877" customFormat="false" ht="15.75" hidden="false" customHeight="false" outlineLevel="0" collapsed="false">
      <c r="B877" s="17"/>
      <c r="C877" s="19" t="b">
        <f aca="false">FALSE()</f>
        <v>0</v>
      </c>
    </row>
    <row r="878" customFormat="false" ht="15.75" hidden="false" customHeight="false" outlineLevel="0" collapsed="false">
      <c r="B878" s="17"/>
      <c r="C878" s="19" t="b">
        <f aca="false">FALSE()</f>
        <v>0</v>
      </c>
    </row>
    <row r="879" customFormat="false" ht="15.75" hidden="false" customHeight="false" outlineLevel="0" collapsed="false">
      <c r="B879" s="17"/>
      <c r="C879" s="19" t="b">
        <f aca="false">FALSE()</f>
        <v>0</v>
      </c>
    </row>
    <row r="880" customFormat="false" ht="15.75" hidden="false" customHeight="false" outlineLevel="0" collapsed="false">
      <c r="B880" s="17"/>
      <c r="C880" s="19" t="b">
        <f aca="false">FALSE()</f>
        <v>0</v>
      </c>
    </row>
    <row r="881" customFormat="false" ht="15.75" hidden="false" customHeight="false" outlineLevel="0" collapsed="false">
      <c r="B881" s="17"/>
      <c r="C881" s="19" t="b">
        <f aca="false">FALSE()</f>
        <v>0</v>
      </c>
    </row>
    <row r="882" customFormat="false" ht="15.75" hidden="false" customHeight="false" outlineLevel="0" collapsed="false">
      <c r="B882" s="17"/>
      <c r="C882" s="19" t="b">
        <f aca="false">FALSE()</f>
        <v>0</v>
      </c>
    </row>
    <row r="883" customFormat="false" ht="15.75" hidden="false" customHeight="false" outlineLevel="0" collapsed="false">
      <c r="B883" s="17"/>
      <c r="C883" s="19" t="b">
        <f aca="false">FALSE()</f>
        <v>0</v>
      </c>
    </row>
    <row r="884" customFormat="false" ht="15.75" hidden="false" customHeight="false" outlineLevel="0" collapsed="false">
      <c r="B884" s="17"/>
      <c r="C884" s="19" t="b">
        <f aca="false">FALSE()</f>
        <v>0</v>
      </c>
    </row>
    <row r="885" customFormat="false" ht="15.75" hidden="false" customHeight="false" outlineLevel="0" collapsed="false">
      <c r="B885" s="17"/>
      <c r="C885" s="19" t="b">
        <f aca="false">FALSE()</f>
        <v>0</v>
      </c>
    </row>
    <row r="886" customFormat="false" ht="15.75" hidden="false" customHeight="false" outlineLevel="0" collapsed="false">
      <c r="B886" s="17"/>
      <c r="C886" s="19" t="b">
        <f aca="false">FALSE()</f>
        <v>0</v>
      </c>
    </row>
    <row r="887" customFormat="false" ht="15.75" hidden="false" customHeight="false" outlineLevel="0" collapsed="false">
      <c r="B887" s="17"/>
      <c r="C887" s="19" t="b">
        <f aca="false">FALSE()</f>
        <v>0</v>
      </c>
    </row>
    <row r="888" customFormat="false" ht="15.75" hidden="false" customHeight="false" outlineLevel="0" collapsed="false">
      <c r="B888" s="17"/>
      <c r="C888" s="19" t="b">
        <f aca="false">FALSE()</f>
        <v>0</v>
      </c>
    </row>
    <row r="889" customFormat="false" ht="15.75" hidden="false" customHeight="false" outlineLevel="0" collapsed="false">
      <c r="B889" s="17"/>
      <c r="C889" s="19" t="b">
        <f aca="false">FALSE()</f>
        <v>0</v>
      </c>
    </row>
    <row r="890" customFormat="false" ht="15.75" hidden="false" customHeight="false" outlineLevel="0" collapsed="false">
      <c r="B890" s="17"/>
      <c r="C890" s="19" t="b">
        <f aca="false">FALSE()</f>
        <v>0</v>
      </c>
    </row>
    <row r="891" customFormat="false" ht="15.75" hidden="false" customHeight="false" outlineLevel="0" collapsed="false">
      <c r="B891" s="17"/>
      <c r="C891" s="19" t="b">
        <f aca="false">FALSE()</f>
        <v>0</v>
      </c>
    </row>
    <row r="892" customFormat="false" ht="15.75" hidden="false" customHeight="false" outlineLevel="0" collapsed="false">
      <c r="B892" s="17"/>
      <c r="C892" s="19" t="b">
        <f aca="false">FALSE()</f>
        <v>0</v>
      </c>
    </row>
    <row r="893" customFormat="false" ht="15.75" hidden="false" customHeight="false" outlineLevel="0" collapsed="false">
      <c r="B893" s="17"/>
      <c r="C893" s="19" t="b">
        <f aca="false">FALSE()</f>
        <v>0</v>
      </c>
    </row>
    <row r="894" customFormat="false" ht="15.75" hidden="false" customHeight="false" outlineLevel="0" collapsed="false">
      <c r="B894" s="17"/>
      <c r="C894" s="19" t="b">
        <f aca="false">FALSE()</f>
        <v>0</v>
      </c>
    </row>
    <row r="895" customFormat="false" ht="15.75" hidden="false" customHeight="false" outlineLevel="0" collapsed="false">
      <c r="B895" s="17"/>
      <c r="C895" s="19" t="b">
        <f aca="false">FALSE()</f>
        <v>0</v>
      </c>
    </row>
    <row r="896" customFormat="false" ht="15.75" hidden="false" customHeight="false" outlineLevel="0" collapsed="false">
      <c r="B896" s="17"/>
      <c r="C896" s="19" t="b">
        <f aca="false">FALSE()</f>
        <v>0</v>
      </c>
    </row>
    <row r="897" customFormat="false" ht="15.75" hidden="false" customHeight="false" outlineLevel="0" collapsed="false">
      <c r="B897" s="17"/>
      <c r="C897" s="19" t="b">
        <f aca="false">FALSE()</f>
        <v>0</v>
      </c>
    </row>
    <row r="898" customFormat="false" ht="15.75" hidden="false" customHeight="false" outlineLevel="0" collapsed="false">
      <c r="B898" s="17"/>
      <c r="C898" s="19" t="b">
        <f aca="false">FALSE()</f>
        <v>0</v>
      </c>
    </row>
    <row r="899" customFormat="false" ht="15.75" hidden="false" customHeight="false" outlineLevel="0" collapsed="false">
      <c r="B899" s="17"/>
      <c r="C899" s="19" t="b">
        <f aca="false">FALSE()</f>
        <v>0</v>
      </c>
    </row>
    <row r="900" customFormat="false" ht="15.75" hidden="false" customHeight="false" outlineLevel="0" collapsed="false">
      <c r="B900" s="17"/>
      <c r="C900" s="19" t="b">
        <f aca="false">FALSE()</f>
        <v>0</v>
      </c>
    </row>
    <row r="901" customFormat="false" ht="15.75" hidden="false" customHeight="false" outlineLevel="0" collapsed="false">
      <c r="B901" s="17"/>
      <c r="C901" s="19" t="b">
        <f aca="false">FALSE()</f>
        <v>0</v>
      </c>
    </row>
    <row r="902" customFormat="false" ht="15.75" hidden="false" customHeight="false" outlineLevel="0" collapsed="false">
      <c r="B902" s="17"/>
      <c r="C902" s="19" t="b">
        <f aca="false">FALSE()</f>
        <v>0</v>
      </c>
    </row>
    <row r="903" customFormat="false" ht="15.75" hidden="false" customHeight="false" outlineLevel="0" collapsed="false">
      <c r="B903" s="17"/>
      <c r="C903" s="19" t="b">
        <f aca="false">FALSE()</f>
        <v>0</v>
      </c>
    </row>
    <row r="904" customFormat="false" ht="15.75" hidden="false" customHeight="false" outlineLevel="0" collapsed="false">
      <c r="B904" s="17"/>
      <c r="C904" s="19" t="b">
        <f aca="false">FALSE()</f>
        <v>0</v>
      </c>
    </row>
    <row r="905" customFormat="false" ht="15.75" hidden="false" customHeight="false" outlineLevel="0" collapsed="false">
      <c r="B905" s="17"/>
      <c r="C905" s="19" t="b">
        <f aca="false">FALSE()</f>
        <v>0</v>
      </c>
    </row>
    <row r="906" customFormat="false" ht="15.75" hidden="false" customHeight="false" outlineLevel="0" collapsed="false">
      <c r="B906" s="17"/>
      <c r="C906" s="19" t="b">
        <f aca="false">FALSE()</f>
        <v>0</v>
      </c>
    </row>
    <row r="907" customFormat="false" ht="15.75" hidden="false" customHeight="false" outlineLevel="0" collapsed="false">
      <c r="B907" s="17"/>
      <c r="C907" s="19" t="b">
        <f aca="false">FALSE()</f>
        <v>0</v>
      </c>
    </row>
    <row r="908" customFormat="false" ht="15.75" hidden="false" customHeight="false" outlineLevel="0" collapsed="false">
      <c r="B908" s="17"/>
      <c r="C908" s="19" t="b">
        <f aca="false">FALSE()</f>
        <v>0</v>
      </c>
    </row>
    <row r="909" customFormat="false" ht="15.75" hidden="false" customHeight="false" outlineLevel="0" collapsed="false">
      <c r="B909" s="17"/>
      <c r="C909" s="19" t="b">
        <f aca="false">FALSE()</f>
        <v>0</v>
      </c>
    </row>
    <row r="910" customFormat="false" ht="15.75" hidden="false" customHeight="false" outlineLevel="0" collapsed="false">
      <c r="B910" s="17"/>
      <c r="C910" s="19" t="b">
        <f aca="false">FALSE()</f>
        <v>0</v>
      </c>
    </row>
    <row r="911" customFormat="false" ht="15.75" hidden="false" customHeight="false" outlineLevel="0" collapsed="false">
      <c r="B911" s="17"/>
      <c r="C911" s="19" t="b">
        <f aca="false">FALSE()</f>
        <v>0</v>
      </c>
    </row>
    <row r="912" customFormat="false" ht="15.75" hidden="false" customHeight="false" outlineLevel="0" collapsed="false">
      <c r="B912" s="17"/>
      <c r="C912" s="19" t="b">
        <f aca="false">FALSE()</f>
        <v>0</v>
      </c>
    </row>
    <row r="913" customFormat="false" ht="15.75" hidden="false" customHeight="false" outlineLevel="0" collapsed="false">
      <c r="B913" s="17"/>
      <c r="C913" s="19" t="b">
        <f aca="false">FALSE()</f>
        <v>0</v>
      </c>
    </row>
    <row r="914" customFormat="false" ht="15.75" hidden="false" customHeight="false" outlineLevel="0" collapsed="false">
      <c r="B914" s="17"/>
      <c r="C914" s="19" t="b">
        <f aca="false">FALSE()</f>
        <v>0</v>
      </c>
    </row>
    <row r="915" customFormat="false" ht="15.75" hidden="false" customHeight="false" outlineLevel="0" collapsed="false">
      <c r="B915" s="17"/>
      <c r="C915" s="19" t="b">
        <f aca="false">FALSE()</f>
        <v>0</v>
      </c>
    </row>
    <row r="916" customFormat="false" ht="15.75" hidden="false" customHeight="false" outlineLevel="0" collapsed="false">
      <c r="B916" s="17"/>
      <c r="C916" s="19" t="b">
        <f aca="false">FALSE()</f>
        <v>0</v>
      </c>
    </row>
    <row r="917" customFormat="false" ht="15.75" hidden="false" customHeight="false" outlineLevel="0" collapsed="false">
      <c r="B917" s="17"/>
      <c r="C917" s="19" t="b">
        <f aca="false">FALSE()</f>
        <v>0</v>
      </c>
    </row>
    <row r="918" customFormat="false" ht="15.75" hidden="false" customHeight="false" outlineLevel="0" collapsed="false">
      <c r="B918" s="17"/>
      <c r="C918" s="19" t="b">
        <f aca="false">FALSE()</f>
        <v>0</v>
      </c>
    </row>
    <row r="919" customFormat="false" ht="15.75" hidden="false" customHeight="false" outlineLevel="0" collapsed="false">
      <c r="B919" s="17"/>
      <c r="C919" s="19" t="b">
        <f aca="false">FALSE()</f>
        <v>0</v>
      </c>
    </row>
    <row r="920" customFormat="false" ht="15.75" hidden="false" customHeight="false" outlineLevel="0" collapsed="false">
      <c r="B920" s="17"/>
      <c r="C920" s="19" t="b">
        <f aca="false">FALSE()</f>
        <v>0</v>
      </c>
    </row>
    <row r="921" customFormat="false" ht="15.75" hidden="false" customHeight="false" outlineLevel="0" collapsed="false">
      <c r="B921" s="17"/>
      <c r="C921" s="19" t="b">
        <f aca="false">FALSE()</f>
        <v>0</v>
      </c>
    </row>
    <row r="922" customFormat="false" ht="15.75" hidden="false" customHeight="false" outlineLevel="0" collapsed="false">
      <c r="B922" s="17"/>
      <c r="C922" s="19" t="b">
        <f aca="false">FALSE()</f>
        <v>0</v>
      </c>
    </row>
    <row r="923" customFormat="false" ht="15.75" hidden="false" customHeight="false" outlineLevel="0" collapsed="false">
      <c r="B923" s="17"/>
      <c r="C923" s="19" t="b">
        <f aca="false">FALSE()</f>
        <v>0</v>
      </c>
    </row>
    <row r="924" customFormat="false" ht="15.75" hidden="false" customHeight="false" outlineLevel="0" collapsed="false">
      <c r="B924" s="17"/>
      <c r="C924" s="19" t="b">
        <f aca="false">FALSE()</f>
        <v>0</v>
      </c>
    </row>
    <row r="925" customFormat="false" ht="15.75" hidden="false" customHeight="false" outlineLevel="0" collapsed="false">
      <c r="B925" s="17"/>
      <c r="C925" s="19" t="b">
        <f aca="false">FALSE()</f>
        <v>0</v>
      </c>
    </row>
    <row r="926" customFormat="false" ht="15.75" hidden="false" customHeight="false" outlineLevel="0" collapsed="false">
      <c r="B926" s="17"/>
      <c r="C926" s="19" t="b">
        <f aca="false">FALSE()</f>
        <v>0</v>
      </c>
    </row>
    <row r="927" customFormat="false" ht="15.75" hidden="false" customHeight="false" outlineLevel="0" collapsed="false">
      <c r="B927" s="17"/>
      <c r="C927" s="19" t="b">
        <f aca="false">FALSE()</f>
        <v>0</v>
      </c>
    </row>
    <row r="928" customFormat="false" ht="15.75" hidden="false" customHeight="false" outlineLevel="0" collapsed="false">
      <c r="B928" s="17"/>
      <c r="C928" s="19" t="b">
        <f aca="false">FALSE()</f>
        <v>0</v>
      </c>
    </row>
    <row r="929" customFormat="false" ht="15.75" hidden="false" customHeight="false" outlineLevel="0" collapsed="false">
      <c r="B929" s="17"/>
      <c r="C929" s="19" t="b">
        <f aca="false">FALSE()</f>
        <v>0</v>
      </c>
    </row>
    <row r="930" customFormat="false" ht="15.75" hidden="false" customHeight="false" outlineLevel="0" collapsed="false">
      <c r="B930" s="17"/>
      <c r="C930" s="19" t="b">
        <f aca="false">FALSE()</f>
        <v>0</v>
      </c>
    </row>
    <row r="931" customFormat="false" ht="15.75" hidden="false" customHeight="false" outlineLevel="0" collapsed="false">
      <c r="B931" s="17"/>
      <c r="C931" s="19" t="b">
        <f aca="false">FALSE()</f>
        <v>0</v>
      </c>
    </row>
    <row r="932" customFormat="false" ht="15.75" hidden="false" customHeight="false" outlineLevel="0" collapsed="false">
      <c r="B932" s="17"/>
      <c r="C932" s="19" t="b">
        <f aca="false">FALSE()</f>
        <v>0</v>
      </c>
    </row>
    <row r="933" customFormat="false" ht="15.75" hidden="false" customHeight="false" outlineLevel="0" collapsed="false">
      <c r="B933" s="17"/>
      <c r="C933" s="19" t="b">
        <f aca="false">FALSE()</f>
        <v>0</v>
      </c>
    </row>
    <row r="934" customFormat="false" ht="15.75" hidden="false" customHeight="false" outlineLevel="0" collapsed="false">
      <c r="B934" s="17"/>
      <c r="C934" s="19" t="b">
        <f aca="false">FALSE()</f>
        <v>0</v>
      </c>
    </row>
    <row r="935" customFormat="false" ht="15.75" hidden="false" customHeight="false" outlineLevel="0" collapsed="false">
      <c r="B935" s="17"/>
      <c r="C935" s="19" t="b">
        <f aca="false">FALSE()</f>
        <v>0</v>
      </c>
    </row>
    <row r="936" customFormat="false" ht="15.75" hidden="false" customHeight="false" outlineLevel="0" collapsed="false">
      <c r="B936" s="17"/>
      <c r="C936" s="19" t="b">
        <f aca="false">FALSE()</f>
        <v>0</v>
      </c>
    </row>
    <row r="937" customFormat="false" ht="15.75" hidden="false" customHeight="false" outlineLevel="0" collapsed="false">
      <c r="B937" s="17"/>
      <c r="C937" s="19" t="b">
        <f aca="false">FALSE()</f>
        <v>0</v>
      </c>
    </row>
    <row r="938" customFormat="false" ht="15.75" hidden="false" customHeight="false" outlineLevel="0" collapsed="false">
      <c r="B938" s="17"/>
      <c r="C938" s="19" t="b">
        <f aca="false">FALSE()</f>
        <v>0</v>
      </c>
    </row>
    <row r="939" customFormat="false" ht="15.75" hidden="false" customHeight="false" outlineLevel="0" collapsed="false">
      <c r="B939" s="17"/>
      <c r="C939" s="19" t="b">
        <f aca="false">FALSE()</f>
        <v>0</v>
      </c>
    </row>
    <row r="940" customFormat="false" ht="15.75" hidden="false" customHeight="false" outlineLevel="0" collapsed="false">
      <c r="B940" s="17"/>
      <c r="C940" s="19" t="b">
        <f aca="false">FALSE()</f>
        <v>0</v>
      </c>
    </row>
    <row r="941" customFormat="false" ht="15.75" hidden="false" customHeight="false" outlineLevel="0" collapsed="false">
      <c r="B941" s="17"/>
      <c r="C941" s="19" t="b">
        <f aca="false">FALSE()</f>
        <v>0</v>
      </c>
    </row>
    <row r="942" customFormat="false" ht="15.75" hidden="false" customHeight="false" outlineLevel="0" collapsed="false">
      <c r="B942" s="17"/>
      <c r="C942" s="19" t="b">
        <f aca="false">FALSE()</f>
        <v>0</v>
      </c>
    </row>
    <row r="943" customFormat="false" ht="15.75" hidden="false" customHeight="false" outlineLevel="0" collapsed="false">
      <c r="B943" s="17"/>
      <c r="C943" s="19" t="b">
        <f aca="false">FALSE()</f>
        <v>0</v>
      </c>
    </row>
    <row r="944" customFormat="false" ht="15.75" hidden="false" customHeight="false" outlineLevel="0" collapsed="false">
      <c r="B944" s="17"/>
      <c r="C944" s="19" t="b">
        <f aca="false">FALSE()</f>
        <v>0</v>
      </c>
    </row>
    <row r="945" customFormat="false" ht="15.75" hidden="false" customHeight="false" outlineLevel="0" collapsed="false">
      <c r="B945" s="17"/>
      <c r="C945" s="19" t="b">
        <f aca="false">FALSE()</f>
        <v>0</v>
      </c>
    </row>
    <row r="946" customFormat="false" ht="15.75" hidden="false" customHeight="false" outlineLevel="0" collapsed="false">
      <c r="B946" s="17"/>
      <c r="C946" s="19" t="b">
        <f aca="false">FALSE()</f>
        <v>0</v>
      </c>
    </row>
    <row r="947" customFormat="false" ht="15.75" hidden="false" customHeight="false" outlineLevel="0" collapsed="false">
      <c r="B947" s="17"/>
      <c r="C947" s="19" t="b">
        <f aca="false">FALSE()</f>
        <v>0</v>
      </c>
    </row>
    <row r="948" customFormat="false" ht="15.75" hidden="false" customHeight="false" outlineLevel="0" collapsed="false">
      <c r="B948" s="17"/>
      <c r="C948" s="19" t="b">
        <f aca="false">FALSE()</f>
        <v>0</v>
      </c>
    </row>
    <row r="949" customFormat="false" ht="15.75" hidden="false" customHeight="false" outlineLevel="0" collapsed="false">
      <c r="B949" s="17"/>
      <c r="C949" s="19" t="b">
        <f aca="false">FALSE()</f>
        <v>0</v>
      </c>
    </row>
    <row r="950" customFormat="false" ht="15.75" hidden="false" customHeight="false" outlineLevel="0" collapsed="false">
      <c r="B950" s="17"/>
      <c r="C950" s="19" t="b">
        <f aca="false">FALSE()</f>
        <v>0</v>
      </c>
    </row>
    <row r="951" customFormat="false" ht="15.75" hidden="false" customHeight="false" outlineLevel="0" collapsed="false">
      <c r="B951" s="17"/>
      <c r="C951" s="19" t="b">
        <f aca="false">FALSE()</f>
        <v>0</v>
      </c>
    </row>
    <row r="952" customFormat="false" ht="15.75" hidden="false" customHeight="false" outlineLevel="0" collapsed="false">
      <c r="B952" s="17"/>
      <c r="C952" s="19" t="b">
        <f aca="false">FALSE()</f>
        <v>0</v>
      </c>
    </row>
    <row r="953" customFormat="false" ht="15.75" hidden="false" customHeight="false" outlineLevel="0" collapsed="false">
      <c r="B953" s="17"/>
      <c r="C953" s="19" t="b">
        <f aca="false">FALSE()</f>
        <v>0</v>
      </c>
    </row>
    <row r="954" customFormat="false" ht="15.75" hidden="false" customHeight="false" outlineLevel="0" collapsed="false">
      <c r="B954" s="17"/>
      <c r="C954" s="19" t="b">
        <f aca="false">FALSE()</f>
        <v>0</v>
      </c>
    </row>
    <row r="955" customFormat="false" ht="15.75" hidden="false" customHeight="false" outlineLevel="0" collapsed="false">
      <c r="B955" s="17"/>
      <c r="C955" s="19" t="b">
        <f aca="false">FALSE()</f>
        <v>0</v>
      </c>
    </row>
    <row r="956" customFormat="false" ht="15.75" hidden="false" customHeight="false" outlineLevel="0" collapsed="false">
      <c r="B956" s="17"/>
      <c r="C956" s="19" t="b">
        <f aca="false">FALSE()</f>
        <v>0</v>
      </c>
    </row>
    <row r="957" customFormat="false" ht="15.75" hidden="false" customHeight="false" outlineLevel="0" collapsed="false">
      <c r="B957" s="17"/>
      <c r="C957" s="19" t="b">
        <f aca="false">FALSE()</f>
        <v>0</v>
      </c>
    </row>
    <row r="958" customFormat="false" ht="15.75" hidden="false" customHeight="false" outlineLevel="0" collapsed="false">
      <c r="B958" s="17"/>
      <c r="C958" s="19" t="b">
        <f aca="false">FALSE()</f>
        <v>0</v>
      </c>
    </row>
    <row r="959" customFormat="false" ht="15.75" hidden="false" customHeight="false" outlineLevel="0" collapsed="false">
      <c r="B959" s="17"/>
      <c r="C959" s="19" t="b">
        <f aca="false">FALSE()</f>
        <v>0</v>
      </c>
    </row>
    <row r="960" customFormat="false" ht="15.75" hidden="false" customHeight="false" outlineLevel="0" collapsed="false">
      <c r="B960" s="17"/>
      <c r="C960" s="19" t="b">
        <f aca="false">FALSE()</f>
        <v>0</v>
      </c>
    </row>
    <row r="961" customFormat="false" ht="15.75" hidden="false" customHeight="false" outlineLevel="0" collapsed="false">
      <c r="B961" s="17"/>
      <c r="C961" s="19" t="b">
        <f aca="false">FALSE()</f>
        <v>0</v>
      </c>
    </row>
    <row r="962" customFormat="false" ht="15.75" hidden="false" customHeight="false" outlineLevel="0" collapsed="false">
      <c r="B962" s="17"/>
      <c r="C962" s="19" t="b">
        <f aca="false">FALSE()</f>
        <v>0</v>
      </c>
    </row>
    <row r="963" customFormat="false" ht="15.75" hidden="false" customHeight="false" outlineLevel="0" collapsed="false">
      <c r="B963" s="17"/>
      <c r="C963" s="19" t="b">
        <f aca="false">FALSE()</f>
        <v>0</v>
      </c>
    </row>
    <row r="964" customFormat="false" ht="15.75" hidden="false" customHeight="false" outlineLevel="0" collapsed="false">
      <c r="B964" s="17"/>
      <c r="C964" s="19" t="b">
        <f aca="false">FALSE()</f>
        <v>0</v>
      </c>
    </row>
    <row r="965" customFormat="false" ht="15.75" hidden="false" customHeight="false" outlineLevel="0" collapsed="false">
      <c r="B965" s="17"/>
      <c r="C965" s="19" t="b">
        <f aca="false">FALSE()</f>
        <v>0</v>
      </c>
    </row>
    <row r="966" customFormat="false" ht="15.75" hidden="false" customHeight="false" outlineLevel="0" collapsed="false">
      <c r="B966" s="17"/>
      <c r="C966" s="19" t="b">
        <f aca="false">FALSE()</f>
        <v>0</v>
      </c>
    </row>
    <row r="967" customFormat="false" ht="15.75" hidden="false" customHeight="false" outlineLevel="0" collapsed="false">
      <c r="B967" s="17"/>
      <c r="C967" s="19" t="b">
        <f aca="false">FALSE()</f>
        <v>0</v>
      </c>
    </row>
    <row r="968" customFormat="false" ht="15.75" hidden="false" customHeight="false" outlineLevel="0" collapsed="false">
      <c r="B968" s="17"/>
      <c r="C968" s="19" t="b">
        <f aca="false">FALSE()</f>
        <v>0</v>
      </c>
    </row>
    <row r="969" customFormat="false" ht="15.75" hidden="false" customHeight="false" outlineLevel="0" collapsed="false">
      <c r="B969" s="17"/>
      <c r="C969" s="19" t="b">
        <f aca="false">FALSE()</f>
        <v>0</v>
      </c>
    </row>
    <row r="970" customFormat="false" ht="15.75" hidden="false" customHeight="false" outlineLevel="0" collapsed="false">
      <c r="B970" s="17"/>
      <c r="C970" s="19" t="b">
        <f aca="false">FALSE()</f>
        <v>0</v>
      </c>
    </row>
    <row r="971" customFormat="false" ht="15.75" hidden="false" customHeight="false" outlineLevel="0" collapsed="false">
      <c r="B971" s="17"/>
      <c r="C971" s="19" t="b">
        <f aca="false">FALSE()</f>
        <v>0</v>
      </c>
    </row>
    <row r="972" customFormat="false" ht="15.75" hidden="false" customHeight="false" outlineLevel="0" collapsed="false">
      <c r="B972" s="17"/>
      <c r="C972" s="19" t="b">
        <f aca="false">FALSE()</f>
        <v>0</v>
      </c>
    </row>
    <row r="973" customFormat="false" ht="15.75" hidden="false" customHeight="false" outlineLevel="0" collapsed="false">
      <c r="B973" s="17"/>
      <c r="C973" s="19" t="b">
        <f aca="false">FALSE()</f>
        <v>0</v>
      </c>
    </row>
    <row r="974" customFormat="false" ht="15.75" hidden="false" customHeight="false" outlineLevel="0" collapsed="false">
      <c r="B974" s="17"/>
      <c r="C974" s="19" t="b">
        <f aca="false">FALSE()</f>
        <v>0</v>
      </c>
    </row>
    <row r="975" customFormat="false" ht="15.75" hidden="false" customHeight="false" outlineLevel="0" collapsed="false">
      <c r="B975" s="17"/>
      <c r="C975" s="19" t="b">
        <f aca="false">FALSE()</f>
        <v>0</v>
      </c>
    </row>
    <row r="976" customFormat="false" ht="15.75" hidden="false" customHeight="false" outlineLevel="0" collapsed="false">
      <c r="B976" s="17"/>
      <c r="C976" s="19" t="b">
        <f aca="false">FALSE()</f>
        <v>0</v>
      </c>
    </row>
    <row r="977" customFormat="false" ht="15.75" hidden="false" customHeight="false" outlineLevel="0" collapsed="false">
      <c r="B977" s="17"/>
      <c r="C977" s="19" t="b">
        <f aca="false">FALSE()</f>
        <v>0</v>
      </c>
    </row>
    <row r="978" customFormat="false" ht="15.75" hidden="false" customHeight="false" outlineLevel="0" collapsed="false">
      <c r="B978" s="17"/>
      <c r="C978" s="19" t="b">
        <f aca="false">FALSE()</f>
        <v>0</v>
      </c>
    </row>
    <row r="979" customFormat="false" ht="15.75" hidden="false" customHeight="false" outlineLevel="0" collapsed="false">
      <c r="B979" s="17"/>
      <c r="C979" s="19" t="b">
        <f aca="false">FALSE()</f>
        <v>0</v>
      </c>
    </row>
    <row r="980" customFormat="false" ht="15.75" hidden="false" customHeight="false" outlineLevel="0" collapsed="false">
      <c r="B980" s="17"/>
      <c r="C980" s="19" t="b">
        <f aca="false">FALSE()</f>
        <v>0</v>
      </c>
    </row>
    <row r="981" customFormat="false" ht="15.75" hidden="false" customHeight="false" outlineLevel="0" collapsed="false">
      <c r="B981" s="17"/>
      <c r="C981" s="19" t="b">
        <f aca="false">FALSE()</f>
        <v>0</v>
      </c>
    </row>
    <row r="982" customFormat="false" ht="15.75" hidden="false" customHeight="false" outlineLevel="0" collapsed="false">
      <c r="B982" s="17"/>
      <c r="C982" s="19" t="b">
        <f aca="false">FALSE()</f>
        <v>0</v>
      </c>
    </row>
    <row r="983" customFormat="false" ht="15.75" hidden="false" customHeight="false" outlineLevel="0" collapsed="false">
      <c r="B983" s="17"/>
      <c r="C983" s="19" t="b">
        <f aca="false">FALSE()</f>
        <v>0</v>
      </c>
    </row>
    <row r="984" customFormat="false" ht="15.75" hidden="false" customHeight="false" outlineLevel="0" collapsed="false">
      <c r="B984" s="17"/>
      <c r="C984" s="19" t="b">
        <f aca="false">FALSE()</f>
        <v>0</v>
      </c>
    </row>
    <row r="985" customFormat="false" ht="15.75" hidden="false" customHeight="false" outlineLevel="0" collapsed="false">
      <c r="B985" s="17"/>
      <c r="C985" s="19" t="b">
        <f aca="false">FALSE()</f>
        <v>0</v>
      </c>
    </row>
    <row r="986" customFormat="false" ht="15.75" hidden="false" customHeight="false" outlineLevel="0" collapsed="false">
      <c r="B986" s="17"/>
      <c r="C986" s="19" t="b">
        <f aca="false">FALSE()</f>
        <v>0</v>
      </c>
    </row>
    <row r="987" customFormat="false" ht="15.75" hidden="false" customHeight="false" outlineLevel="0" collapsed="false">
      <c r="B987" s="17"/>
      <c r="C987" s="19" t="b">
        <f aca="false">FALSE()</f>
        <v>0</v>
      </c>
    </row>
    <row r="988" customFormat="false" ht="15.75" hidden="false" customHeight="false" outlineLevel="0" collapsed="false">
      <c r="B988" s="17"/>
      <c r="C988" s="19" t="b">
        <f aca="false">FALSE()</f>
        <v>0</v>
      </c>
    </row>
    <row r="989" customFormat="false" ht="15.75" hidden="false" customHeight="false" outlineLevel="0" collapsed="false">
      <c r="B989" s="17"/>
      <c r="C989" s="19" t="b">
        <f aca="false">FALSE()</f>
        <v>0</v>
      </c>
    </row>
    <row r="990" customFormat="false" ht="15.75" hidden="false" customHeight="false" outlineLevel="0" collapsed="false">
      <c r="B990" s="17"/>
      <c r="C990" s="19" t="b">
        <f aca="false">FALSE()</f>
        <v>0</v>
      </c>
    </row>
    <row r="991" customFormat="false" ht="15.75" hidden="false" customHeight="false" outlineLevel="0" collapsed="false">
      <c r="B991" s="17"/>
      <c r="C991" s="19" t="b">
        <f aca="false">FALSE()</f>
        <v>0</v>
      </c>
    </row>
    <row r="992" customFormat="false" ht="15.75" hidden="false" customHeight="false" outlineLevel="0" collapsed="false">
      <c r="B992" s="17"/>
      <c r="C992" s="19" t="b">
        <f aca="false">FALSE()</f>
        <v>0</v>
      </c>
    </row>
    <row r="993" customFormat="false" ht="15.75" hidden="false" customHeight="false" outlineLevel="0" collapsed="false">
      <c r="B993" s="17"/>
      <c r="C993" s="19" t="b">
        <f aca="false">FALSE()</f>
        <v>0</v>
      </c>
    </row>
    <row r="994" customFormat="false" ht="15.75" hidden="false" customHeight="false" outlineLevel="0" collapsed="false">
      <c r="B994" s="17"/>
      <c r="C994" s="19" t="b">
        <f aca="false">FALSE()</f>
        <v>0</v>
      </c>
    </row>
    <row r="995" customFormat="false" ht="15.75" hidden="false" customHeight="false" outlineLevel="0" collapsed="false">
      <c r="B995" s="17"/>
      <c r="C995" s="19" t="b">
        <f aca="false">FALSE()</f>
        <v>0</v>
      </c>
    </row>
    <row r="996" customFormat="false" ht="15.75" hidden="false" customHeight="false" outlineLevel="0" collapsed="false">
      <c r="B996" s="17"/>
      <c r="C996" s="19" t="b">
        <f aca="false">FALSE()</f>
        <v>0</v>
      </c>
    </row>
    <row r="997" customFormat="false" ht="15.75" hidden="false" customHeight="false" outlineLevel="0" collapsed="false">
      <c r="B997" s="17"/>
      <c r="C997" s="19" t="b">
        <f aca="false">FALSE()</f>
        <v>0</v>
      </c>
    </row>
    <row r="998" customFormat="false" ht="15.75" hidden="false" customHeight="false" outlineLevel="0" collapsed="false">
      <c r="B998" s="17"/>
      <c r="C998" s="19" t="b">
        <f aca="false">FALSE()</f>
        <v>0</v>
      </c>
    </row>
    <row r="999" customFormat="false" ht="15.75" hidden="false" customHeight="false" outlineLevel="0" collapsed="false">
      <c r="B999" s="17"/>
      <c r="C999" s="19" t="b">
        <f aca="false">FALSE()</f>
        <v>0</v>
      </c>
    </row>
    <row r="1000" customFormat="false" ht="15.75" hidden="false" customHeight="false" outlineLevel="0" collapsed="false">
      <c r="B1000" s="17"/>
      <c r="C1000" s="19" t="b">
        <f aca="false">FALSE()</f>
        <v>0</v>
      </c>
    </row>
    <row r="1001" customFormat="false" ht="15.75" hidden="false" customHeight="false" outlineLevel="0" collapsed="false">
      <c r="B1001" s="17"/>
      <c r="C1001" s="19" t="b">
        <f aca="false">FALSE()</f>
        <v>0</v>
      </c>
    </row>
  </sheetData>
  <dataValidations count="1">
    <dataValidation allowBlank="true" errorStyle="stop" operator="greaterThan" showDropDown="true" showErrorMessage="false" showInputMessage="false" sqref="B3:B6" type="date">
      <formula1>44504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cols>
    <col collapsed="false" customWidth="true" hidden="false" outlineLevel="0" max="3" min="3" style="0" width="14.75"/>
  </cols>
  <sheetData>
    <row r="1" customFormat="false" ht="15.75" hidden="false" customHeight="false" outlineLevel="0" collapsed="false">
      <c r="A1" s="8" t="s">
        <v>1846</v>
      </c>
      <c r="B1" s="8" t="s">
        <v>1847</v>
      </c>
      <c r="C1" s="8" t="s">
        <v>0</v>
      </c>
      <c r="D1" s="8" t="s">
        <v>1796</v>
      </c>
      <c r="E1" s="8" t="s">
        <v>1848</v>
      </c>
    </row>
    <row r="2" customFormat="false" ht="15.75" hidden="false" customHeight="false" outlineLevel="0" collapsed="false">
      <c r="A2" s="20" t="n">
        <f aca="false">FLOOR((ROW()+1)/(COUNTA(Seasons!$A$1:$A1003)+1),1)</f>
        <v>0</v>
      </c>
      <c r="B2" s="8" t="n">
        <v>0</v>
      </c>
      <c r="C2" s="20" t="str">
        <f aca="true">"Series "&amp;A2&amp;IF(B2=0,"","/"&amp;INDIRECT(ADDRESS(B2,1,1,TRUE(),"Seasons")))</f>
        <v>Series 0</v>
      </c>
      <c r="D2" s="17" t="n">
        <f aca="false">IF(B2=0,VLOOKUP(A2,Series!$A$2:B1003,2,FALSE()),D1+IF(B1=0,0,7))</f>
        <v>44505</v>
      </c>
      <c r="E2" s="8" t="n">
        <v>4</v>
      </c>
    </row>
    <row r="3" customFormat="false" ht="15.75" hidden="false" customHeight="false" outlineLevel="0" collapsed="false">
      <c r="A3" s="20" t="n">
        <f aca="false">FLOOR((ROW()+1)/(COUNTA(Seasons!$A$1:$A1003)+1),1)</f>
        <v>0</v>
      </c>
      <c r="B3" s="20" t="n">
        <f aca="false">MOD(ROW()+1,COUNTA(Seasons!$A$1:$A1003)+1)</f>
        <v>4</v>
      </c>
      <c r="C3" s="20" t="str">
        <f aca="true">"Series "&amp;A3&amp;IF(B3=0,"","/"&amp;INDIRECT(ADDRESS(B3,1,1,TRUE(),"Seasons")))</f>
        <v>Series 0/Spring</v>
      </c>
      <c r="D3" s="17" t="n">
        <f aca="false">IF(B3=0,VLOOKUP(A3,Series!$A$2:B1003,2,FALSE()),D2+IF(B2=0,0,7))</f>
        <v>44505</v>
      </c>
      <c r="E3" s="8" t="n">
        <v>38</v>
      </c>
    </row>
    <row r="4" customFormat="false" ht="15.75" hidden="false" customHeight="false" outlineLevel="0" collapsed="false">
      <c r="A4" s="20" t="n">
        <f aca="false">FLOOR((ROW()+1)/(COUNTA(Seasons!$A$1:$A1003)+1),1)</f>
        <v>1</v>
      </c>
      <c r="B4" s="20" t="n">
        <f aca="false">MOD(ROW()+1,COUNTA(Seasons!$A$1:$A1003)+1)</f>
        <v>0</v>
      </c>
      <c r="C4" s="20" t="str">
        <f aca="true">"Series "&amp;A4&amp;IF(B4=0,"","/"&amp;INDIRECT(ADDRESS(B4,1,1,TRUE(),"Seasons")))</f>
        <v>Series 1</v>
      </c>
      <c r="D4" s="17" t="n">
        <f aca="false">IF(B4=0,VLOOKUP(A4,Series!$A$2:B1003,2,FALSE()),D3+IF(B3=0,0,7))</f>
        <v>44511</v>
      </c>
      <c r="E4" s="8" t="n">
        <v>16</v>
      </c>
    </row>
    <row r="5" customFormat="false" ht="15.75" hidden="false" customHeight="false" outlineLevel="0" collapsed="false">
      <c r="A5" s="20" t="n">
        <f aca="false">FLOOR((ROW()+1)/(COUNTA(Seasons!$A$1:$A1003)+1),1)</f>
        <v>1</v>
      </c>
      <c r="B5" s="20" t="n">
        <f aca="false">MOD(ROW()+1,COUNTA(Seasons!$A$1:$A1003)+1)</f>
        <v>1</v>
      </c>
      <c r="C5" s="20" t="str">
        <f aca="true">"Series "&amp;A5&amp;IF(B5=0,"","/"&amp;INDIRECT(ADDRESS(B5,1,1,TRUE(),"Seasons")))</f>
        <v>Series 1/Summer</v>
      </c>
      <c r="D5" s="17" t="n">
        <f aca="false">IF(B5=0,VLOOKUP(A5,Series!$A$2:B1003,2,FALSE()),D4+IF(B4=0,0,7))</f>
        <v>44511</v>
      </c>
      <c r="E5" s="8" t="n">
        <v>64</v>
      </c>
    </row>
    <row r="6" customFormat="false" ht="15.75" hidden="false" customHeight="false" outlineLevel="0" collapsed="false">
      <c r="A6" s="20" t="n">
        <f aca="false">FLOOR((ROW()+1)/(COUNTA(Seasons!$A$1:$A1003)+1),1)</f>
        <v>1</v>
      </c>
      <c r="B6" s="20" t="n">
        <f aca="false">MOD(ROW()+1,COUNTA(Seasons!$A$1:$A1003)+1)</f>
        <v>2</v>
      </c>
      <c r="C6" s="20" t="str">
        <f aca="true">"Series "&amp;A6&amp;IF(B6=0,"","/"&amp;INDIRECT(ADDRESS(B6,1,1,TRUE(),"Seasons")))</f>
        <v>Series 1/Autumn</v>
      </c>
      <c r="D6" s="17" t="n">
        <f aca="false">IF(B6=0,VLOOKUP(A6,Series!$A$2:B1003,2,FALSE()),D5+IF(B5=0,0,7))</f>
        <v>44518</v>
      </c>
      <c r="E6" s="8" t="n">
        <v>61</v>
      </c>
    </row>
    <row r="7" customFormat="false" ht="15.75" hidden="false" customHeight="false" outlineLevel="0" collapsed="false">
      <c r="A7" s="20" t="n">
        <f aca="false">FLOOR((ROW()+1)/(COUNTA(Seasons!$A$1:$A1003)+1),1)</f>
        <v>1</v>
      </c>
      <c r="B7" s="20" t="n">
        <f aca="false">MOD(ROW()+1,COUNTA(Seasons!$A$1:$A1003)+1)</f>
        <v>3</v>
      </c>
      <c r="C7" s="20" t="str">
        <f aca="true">"Series "&amp;A7&amp;IF(B7=0,"","/"&amp;INDIRECT(ADDRESS(B7,1,1,TRUE(),"Seasons")))</f>
        <v>Series 1/Winter</v>
      </c>
      <c r="D7" s="17" t="n">
        <f aca="false">IF(B7=0,VLOOKUP(A7,Series!$A$2:B1003,2,FALSE()),D6+IF(B6=0,0,7))</f>
        <v>44525</v>
      </c>
      <c r="E7" s="8" t="n">
        <v>61</v>
      </c>
    </row>
    <row r="8" customFormat="false" ht="15.75" hidden="false" customHeight="false" outlineLevel="0" collapsed="false">
      <c r="A8" s="20" t="n">
        <f aca="false">FLOOR((ROW()+1)/(COUNTA(Seasons!$A$1:$A1003)+1),1)</f>
        <v>1</v>
      </c>
      <c r="B8" s="20" t="n">
        <f aca="false">MOD(ROW()+1,COUNTA(Seasons!$A$1:$A1003)+1)</f>
        <v>4</v>
      </c>
      <c r="C8" s="20" t="str">
        <f aca="true">"Series "&amp;A8&amp;IF(B8=0,"","/"&amp;INDIRECT(ADDRESS(B8,1,1,TRUE(),"Seasons")))</f>
        <v>Series 1/Spring</v>
      </c>
      <c r="D8" s="17" t="n">
        <f aca="false">IF(B8=0,VLOOKUP(A8,Series!$A$2:B1003,2,FALSE()),D7+IF(B7=0,0,7))</f>
        <v>44532</v>
      </c>
      <c r="E8" s="8" t="n">
        <v>61</v>
      </c>
    </row>
    <row r="9" customFormat="false" ht="15.75" hidden="false" customHeight="false" outlineLevel="0" collapsed="false">
      <c r="A9" s="20" t="n">
        <f aca="false">FLOOR((ROW()+1)/(COUNTA(Seasons!$A$1:$A1003)+1),1)</f>
        <v>2</v>
      </c>
      <c r="B9" s="20" t="n">
        <f aca="false">MOD(ROW()+1,COUNTA(Seasons!$A$1:$A1003)+1)</f>
        <v>0</v>
      </c>
      <c r="C9" s="20" t="str">
        <f aca="true">"Series "&amp;A9&amp;IF(B9=0,"","/"&amp;INDIRECT(ADDRESS(B9,1,1,TRUE(),"Seasons")))</f>
        <v>Series 2</v>
      </c>
      <c r="D9" s="17" t="n">
        <f aca="false">IF(B9=0,VLOOKUP(A9,Series!$A$2:B1003,2,FALSE()),D8+IF(B8=0,0,7))</f>
        <v>44539</v>
      </c>
      <c r="E9" s="8" t="n">
        <v>16</v>
      </c>
    </row>
    <row r="10" customFormat="false" ht="15.75" hidden="false" customHeight="false" outlineLevel="0" collapsed="false">
      <c r="A10" s="20" t="n">
        <f aca="false">FLOOR((ROW()+1)/(COUNTA(Seasons!$A$1:$A1003)+1),1)</f>
        <v>2</v>
      </c>
      <c r="B10" s="20" t="n">
        <f aca="false">MOD(ROW()+1,COUNTA(Seasons!$A$1:$A1003)+1)</f>
        <v>1</v>
      </c>
      <c r="C10" s="20" t="str">
        <f aca="true">"Series "&amp;A10&amp;IF(B10=0,"","/"&amp;INDIRECT(ADDRESS(B10,1,1,TRUE(),"Seasons")))</f>
        <v>Series 2/Summer</v>
      </c>
      <c r="D10" s="17" t="n">
        <f aca="false">IF(B10=0,VLOOKUP(A10,Series!$A$2:B1003,2,FALSE()),D9+IF(B9=0,0,7))</f>
        <v>44539</v>
      </c>
      <c r="E10" s="8" t="n">
        <v>64</v>
      </c>
    </row>
    <row r="11" customFormat="false" ht="15.75" hidden="false" customHeight="false" outlineLevel="0" collapsed="false">
      <c r="A11" s="20" t="n">
        <f aca="false">FLOOR((ROW()+1)/(COUNTA(Seasons!$A$1:$A1003)+1),1)</f>
        <v>2</v>
      </c>
      <c r="B11" s="20" t="n">
        <f aca="false">MOD(ROW()+1,COUNTA(Seasons!$A$1:$A1003)+1)</f>
        <v>2</v>
      </c>
      <c r="C11" s="20" t="str">
        <f aca="true">"Series "&amp;A11&amp;IF(B11=0,"","/"&amp;INDIRECT(ADDRESS(B11,1,1,TRUE(),"Seasons")))</f>
        <v>Series 2/Autumn</v>
      </c>
      <c r="D11" s="17" t="n">
        <f aca="false">IF(B11=0,VLOOKUP(A11,Series!$A$2:B1003,2,FALSE()),D10+IF(B10=0,0,7))</f>
        <v>44546</v>
      </c>
      <c r="E11" s="8" t="n">
        <v>61</v>
      </c>
    </row>
    <row r="12" customFormat="false" ht="15.75" hidden="false" customHeight="false" outlineLevel="0" collapsed="false">
      <c r="A12" s="20" t="n">
        <f aca="false">FLOOR((ROW()+1)/(COUNTA(Seasons!$A$1:$A1003)+1),1)</f>
        <v>2</v>
      </c>
      <c r="B12" s="20" t="n">
        <f aca="false">MOD(ROW()+1,COUNTA(Seasons!$A$1:$A1003)+1)</f>
        <v>3</v>
      </c>
      <c r="C12" s="20" t="str">
        <f aca="true">"Series "&amp;A12&amp;IF(B12=0,"","/"&amp;INDIRECT(ADDRESS(B12,1,1,TRUE(),"Seasons")))</f>
        <v>Series 2/Winter</v>
      </c>
      <c r="D12" s="17" t="n">
        <f aca="false">IF(B12=0,VLOOKUP(A12,Series!$A$2:B1003,2,FALSE()),D11+IF(B11=0,0,7))</f>
        <v>44553</v>
      </c>
      <c r="E12" s="8" t="n">
        <v>61</v>
      </c>
    </row>
    <row r="13" customFormat="false" ht="15.75" hidden="false" customHeight="false" outlineLevel="0" collapsed="false">
      <c r="A13" s="20" t="n">
        <f aca="false">FLOOR((ROW()+1)/(COUNTA(Seasons!$A$1:$A1003)+1),1)</f>
        <v>2</v>
      </c>
      <c r="B13" s="20" t="n">
        <f aca="false">MOD(ROW()+1,COUNTA(Seasons!$A$1:$A1003)+1)</f>
        <v>4</v>
      </c>
      <c r="C13" s="20" t="str">
        <f aca="true">"Series "&amp;A13&amp;IF(B13=0,"","/"&amp;INDIRECT(ADDRESS(B13,1,1,TRUE(),"Seasons")))</f>
        <v>Series 2/Spring</v>
      </c>
      <c r="D13" s="17" t="n">
        <f aca="false">IF(B13=0,VLOOKUP(A13,Series!$A$2:B1003,2,FALSE()),D12+IF(B12=0,0,7))</f>
        <v>44560</v>
      </c>
      <c r="E13" s="8" t="n">
        <v>64</v>
      </c>
    </row>
    <row r="14" customFormat="false" ht="15.75" hidden="false" customHeight="false" outlineLevel="0" collapsed="false">
      <c r="A14" s="20" t="n">
        <f aca="false">FLOOR((ROW()+1)/(COUNTA(Seasons!$A$1:$A1003)+1),1)</f>
        <v>3</v>
      </c>
      <c r="B14" s="20" t="n">
        <f aca="false">MOD(ROW()+1,COUNTA(Seasons!$A$1:$A1003)+1)</f>
        <v>0</v>
      </c>
      <c r="C14" s="20" t="str">
        <f aca="true">"Series "&amp;A14&amp;IF(B14=0,"","/"&amp;INDIRECT(ADDRESS(B14,1,1,TRUE(),"Seasons")))</f>
        <v>Series 3</v>
      </c>
      <c r="D14" s="17" t="n">
        <f aca="false">IF(B14=0,VLOOKUP(A14,Series!$A$2:B1003,2,FALSE()),D13+IF(B13=0,0,7))</f>
        <v>44567</v>
      </c>
      <c r="E14" s="8" t="n">
        <v>16</v>
      </c>
    </row>
    <row r="15" customFormat="false" ht="15.75" hidden="false" customHeight="false" outlineLevel="0" collapsed="false">
      <c r="A15" s="20" t="n">
        <f aca="false">FLOOR((ROW()+1)/(COUNTA(Seasons!$A$1:$A1003)+1),1)</f>
        <v>3</v>
      </c>
      <c r="B15" s="20" t="n">
        <f aca="false">MOD(ROW()+1,COUNTA(Seasons!$A$1:$A1003)+1)</f>
        <v>1</v>
      </c>
      <c r="C15" s="20" t="str">
        <f aca="true">"Series "&amp;A15&amp;IF(B15=0,"","/"&amp;INDIRECT(ADDRESS(B15,1,1,TRUE(),"Seasons")))</f>
        <v>Series 3/Summer</v>
      </c>
      <c r="D15" s="17" t="n">
        <f aca="false">IF(B15=0,VLOOKUP(A15,Series!$A$2:B1003,2,FALSE()),D14+IF(B14=0,0,7))</f>
        <v>44567</v>
      </c>
      <c r="E15" s="8" t="n">
        <v>64</v>
      </c>
    </row>
    <row r="16" customFormat="false" ht="15.75" hidden="false" customHeight="false" outlineLevel="0" collapsed="false">
      <c r="A16" s="20" t="n">
        <f aca="false">FLOOR((ROW()+1)/(COUNTA(Seasons!$A$1:$A1003)+1),1)</f>
        <v>3</v>
      </c>
      <c r="B16" s="20" t="n">
        <f aca="false">MOD(ROW()+1,COUNTA(Seasons!$A$1:$A1003)+1)</f>
        <v>2</v>
      </c>
      <c r="C16" s="20" t="str">
        <f aca="true">"Series "&amp;A16&amp;IF(B16=0,"","/"&amp;INDIRECT(ADDRESS(B16,1,1,TRUE(),"Seasons")))</f>
        <v>Series 3/Autumn</v>
      </c>
      <c r="D16" s="17" t="n">
        <f aca="false">IF(B16=0,VLOOKUP(A16,Series!$A$2:B1003,2,FALSE()),D15+IF(B15=0,0,7))</f>
        <v>44574</v>
      </c>
      <c r="E16" s="8" t="n">
        <v>61</v>
      </c>
    </row>
    <row r="17" customFormat="false" ht="15.75" hidden="false" customHeight="false" outlineLevel="0" collapsed="false">
      <c r="A17" s="20" t="n">
        <f aca="false">FLOOR((ROW()+1)/(COUNTA(Seasons!$A$1:$A1003)+1),1)</f>
        <v>3</v>
      </c>
      <c r="B17" s="20" t="n">
        <f aca="false">MOD(ROW()+1,COUNTA(Seasons!$A$1:$A1003)+1)</f>
        <v>3</v>
      </c>
      <c r="C17" s="20" t="str">
        <f aca="true">"Series "&amp;A17&amp;IF(B17=0,"","/"&amp;INDIRECT(ADDRESS(B17,1,1,TRUE(),"Seasons")))</f>
        <v>Series 3/Winter</v>
      </c>
      <c r="D17" s="17" t="n">
        <f aca="false">IF(B17=0,VLOOKUP(A17,Series!$A$2:B1003,2,FALSE()),D16+IF(B16=0,0,7))</f>
        <v>44581</v>
      </c>
      <c r="E17" s="8" t="n">
        <v>61</v>
      </c>
    </row>
    <row r="18" customFormat="false" ht="15.75" hidden="false" customHeight="false" outlineLevel="0" collapsed="false">
      <c r="A18" s="20" t="n">
        <f aca="false">FLOOR((ROW()+1)/(COUNTA(Seasons!$A$1:$A1003)+1),1)</f>
        <v>3</v>
      </c>
      <c r="B18" s="20" t="n">
        <f aca="false">MOD(ROW()+1,COUNTA(Seasons!$A$1:$A1003)+1)</f>
        <v>4</v>
      </c>
      <c r="C18" s="20" t="str">
        <f aca="true">"Series "&amp;A18&amp;IF(B18=0,"","/"&amp;INDIRECT(ADDRESS(B18,1,1,TRUE(),"Seasons")))</f>
        <v>Series 3/Spring</v>
      </c>
      <c r="D18" s="17" t="n">
        <f aca="false">IF(B18=0,VLOOKUP(A18,Series!$A$2:B1003,2,FALSE()),D17+IF(B17=0,0,7))</f>
        <v>44588</v>
      </c>
      <c r="E18" s="8" t="n">
        <v>64</v>
      </c>
    </row>
    <row r="19" customFormat="false" ht="15.75" hidden="false" customHeight="false" outlineLevel="0" collapsed="false">
      <c r="A19" s="20" t="n">
        <f aca="false">FLOOR((ROW()+1)/(COUNTA(Seasons!$A$1:$A1003)+1),1)</f>
        <v>4</v>
      </c>
      <c r="B19" s="20" t="n">
        <f aca="false">MOD(ROW()+1,COUNTA(Seasons!$A$1:$A1003)+1)</f>
        <v>0</v>
      </c>
      <c r="C19" s="20" t="str">
        <f aca="true">"Series "&amp;A19&amp;IF(B19=0,"","/"&amp;INDIRECT(ADDRESS(B19,1,1,TRUE(),"Seasons")))</f>
        <v>Series 4</v>
      </c>
      <c r="D19" s="17" t="n">
        <f aca="false">IF(B19=0,VLOOKUP(A19,Series!$A$2:B1003,2,FALSE()),D18+IF(B18=0,0,7))</f>
        <v>44595</v>
      </c>
      <c r="E19" s="8" t="n">
        <v>16</v>
      </c>
    </row>
    <row r="20" customFormat="false" ht="15.75" hidden="false" customHeight="false" outlineLevel="0" collapsed="false">
      <c r="A20" s="20" t="n">
        <f aca="false">FLOOR((ROW()+1)/(COUNTA(Seasons!$A$1:$A1003)+1),1)</f>
        <v>4</v>
      </c>
      <c r="B20" s="20" t="n">
        <f aca="false">MOD(ROW()+1,COUNTA(Seasons!$A$1:$A1003)+1)</f>
        <v>1</v>
      </c>
      <c r="C20" s="20" t="str">
        <f aca="true">"Series "&amp;A20&amp;IF(B20=0,"","/"&amp;INDIRECT(ADDRESS(B20,1,1,TRUE(),"Seasons")))</f>
        <v>Series 4/Summer</v>
      </c>
      <c r="D20" s="17" t="n">
        <f aca="false">IF(B20=0,VLOOKUP(A20,Series!$A$2:B1003,2,FALSE()),D19+IF(B19=0,0,7))</f>
        <v>44595</v>
      </c>
      <c r="E20" s="8" t="n">
        <v>50</v>
      </c>
    </row>
    <row r="21" customFormat="false" ht="15.75" hidden="false" customHeight="false" outlineLevel="0" collapsed="false">
      <c r="A21" s="20" t="n">
        <f aca="false">FLOOR((ROW()+1)/(COUNTA(Seasons!$A$1:$A1003)+1),1)</f>
        <v>4</v>
      </c>
      <c r="B21" s="20" t="n">
        <f aca="false">MOD(ROW()+1,COUNTA(Seasons!$A$1:$A1003)+1)</f>
        <v>2</v>
      </c>
      <c r="C21" s="20" t="str">
        <f aca="true">"Series "&amp;A21&amp;IF(B21=0,"","/"&amp;INDIRECT(ADDRESS(B21,1,1,TRUE(),"Seasons")))</f>
        <v>Series 4/Autumn</v>
      </c>
      <c r="D21" s="17" t="n">
        <f aca="false">IF(B21=0,VLOOKUP(A21,Series!$A$2:B1003,2,FALSE()),D20+IF(B20=0,0,7))</f>
        <v>44602</v>
      </c>
      <c r="E21" s="8" t="n">
        <v>50</v>
      </c>
    </row>
    <row r="22" customFormat="false" ht="15.75" hidden="false" customHeight="false" outlineLevel="0" collapsed="false">
      <c r="A22" s="20" t="n">
        <f aca="false">FLOOR((ROW()+1)/(COUNTA(Seasons!$A$1:$A1003)+1),1)</f>
        <v>4</v>
      </c>
      <c r="B22" s="20" t="n">
        <f aca="false">MOD(ROW()+1,COUNTA(Seasons!$A$1:$A1003)+1)</f>
        <v>3</v>
      </c>
      <c r="C22" s="20" t="str">
        <f aca="true">"Series "&amp;A22&amp;IF(B22=0,"","/"&amp;INDIRECT(ADDRESS(B22,1,1,TRUE(),"Seasons")))</f>
        <v>Series 4/Winter</v>
      </c>
      <c r="D22" s="17" t="n">
        <f aca="false">IF(B22=0,VLOOKUP(A22,Series!$A$2:B1003,2,FALSE()),D21+IF(B21=0,0,7))</f>
        <v>44609</v>
      </c>
      <c r="E22" s="8" t="n">
        <v>50</v>
      </c>
    </row>
    <row r="23" customFormat="false" ht="15.75" hidden="false" customHeight="false" outlineLevel="0" collapsed="false">
      <c r="A23" s="20" t="n">
        <f aca="false">FLOOR((ROW()+1)/(COUNTA(Seasons!$A$1:$A1003)+1),1)</f>
        <v>4</v>
      </c>
      <c r="B23" s="20" t="n">
        <f aca="false">MOD(ROW()+1,COUNTA(Seasons!$A$1:$A1003)+1)</f>
        <v>4</v>
      </c>
      <c r="C23" s="20" t="str">
        <f aca="true">"Series "&amp;A23&amp;IF(B23=0,"","/"&amp;INDIRECT(ADDRESS(B23,1,1,TRUE(),"Seasons")))</f>
        <v>Series 4/Spring</v>
      </c>
      <c r="D23" s="17" t="n">
        <f aca="false">IF(B23=0,VLOOKUP(A23,Series!$A$2:B1003,2,FALSE()),D22+IF(B22=0,0,7))</f>
        <v>44616</v>
      </c>
      <c r="E23" s="8" t="n">
        <v>53</v>
      </c>
    </row>
    <row r="24" customFormat="false" ht="15.75" hidden="false" customHeight="false" outlineLevel="0" collapsed="false">
      <c r="A24" s="20" t="n">
        <f aca="false">FLOOR((ROW()+1)/(COUNTA(Seasons!$A$1:$A1003)+1),1)</f>
        <v>5</v>
      </c>
      <c r="B24" s="20" t="n">
        <f aca="false">MOD(ROW()+1,COUNTA(Seasons!$A$1:$A1003)+1)</f>
        <v>0</v>
      </c>
      <c r="C24" s="20" t="str">
        <f aca="true">"Series "&amp;A24&amp;IF(B24=0,"","/"&amp;INDIRECT(ADDRESS(B24,1,1,TRUE(),"Seasons")))</f>
        <v>Series 5</v>
      </c>
      <c r="D24" s="17" t="n">
        <f aca="false">IF(B24=0,VLOOKUP(A24,Series!$A$2:B1003,2,FALSE()),D23+IF(B23=0,0,7))</f>
        <v>44623</v>
      </c>
      <c r="E24" s="8" t="n">
        <v>16</v>
      </c>
    </row>
    <row r="25" customFormat="false" ht="15.75" hidden="false" customHeight="false" outlineLevel="0" collapsed="false">
      <c r="A25" s="20" t="n">
        <f aca="false">FLOOR((ROW()+1)/(COUNTA(Seasons!$A$1:$A1003)+1),1)</f>
        <v>5</v>
      </c>
      <c r="B25" s="20" t="n">
        <f aca="false">MOD(ROW()+1,COUNTA(Seasons!$A$1:$A1003)+1)</f>
        <v>1</v>
      </c>
      <c r="C25" s="20" t="str">
        <f aca="true">"Series "&amp;A25&amp;IF(B25=0,"","/"&amp;INDIRECT(ADDRESS(B25,1,1,TRUE(),"Seasons")))</f>
        <v>Series 5/Summer</v>
      </c>
      <c r="D25" s="17" t="n">
        <f aca="false">IF(B25=0,VLOOKUP(A25,Series!$A$2:B1003,2,FALSE()),D24+IF(B24=0,0,7))</f>
        <v>44623</v>
      </c>
      <c r="E25" s="8" t="n">
        <v>49</v>
      </c>
    </row>
    <row r="26" customFormat="false" ht="15.75" hidden="false" customHeight="false" outlineLevel="0" collapsed="false">
      <c r="A26" s="20" t="n">
        <f aca="false">FLOOR((ROW()+1)/(COUNTA(Seasons!$A$1:$A1003)+1),1)</f>
        <v>5</v>
      </c>
      <c r="B26" s="20" t="n">
        <f aca="false">MOD(ROW()+1,COUNTA(Seasons!$A$1:$A1003)+1)</f>
        <v>2</v>
      </c>
      <c r="C26" s="20" t="str">
        <f aca="true">"Series "&amp;A26&amp;IF(B26=0,"","/"&amp;INDIRECT(ADDRESS(B26,1,1,TRUE(),"Seasons")))</f>
        <v>Series 5/Autumn</v>
      </c>
      <c r="D26" s="17" t="n">
        <f aca="false">IF(B26=0,VLOOKUP(A26,Series!$A$2:B1003,2,FALSE()),D25+IF(B25=0,0,7))</f>
        <v>44630</v>
      </c>
      <c r="E26" s="8" t="n">
        <v>48</v>
      </c>
    </row>
    <row r="27" customFormat="false" ht="15.75" hidden="false" customHeight="false" outlineLevel="0" collapsed="false">
      <c r="A27" s="20" t="n">
        <f aca="false">FLOOR((ROW()+1)/(COUNTA(Seasons!$A$1:$A1003)+1),1)</f>
        <v>5</v>
      </c>
      <c r="B27" s="20" t="n">
        <f aca="false">MOD(ROW()+1,COUNTA(Seasons!$A$1:$A1003)+1)</f>
        <v>3</v>
      </c>
      <c r="C27" s="20" t="str">
        <f aca="true">"Series "&amp;A27&amp;IF(B27=0,"","/"&amp;INDIRECT(ADDRESS(B27,1,1,TRUE(),"Seasons")))</f>
        <v>Series 5/Winter</v>
      </c>
      <c r="D27" s="17" t="n">
        <f aca="false">IF(B27=0,VLOOKUP(A27,Series!$A$2:B1003,2,FALSE()),D26+IF(B26=0,0,7))</f>
        <v>44637</v>
      </c>
      <c r="E27" s="8" t="n">
        <v>47</v>
      </c>
    </row>
    <row r="28" customFormat="false" ht="15.75" hidden="false" customHeight="false" outlineLevel="0" collapsed="false">
      <c r="A28" s="20" t="n">
        <f aca="false">FLOOR((ROW()+1)/(COUNTA(Seasons!$A$1:$A1003)+1),1)</f>
        <v>5</v>
      </c>
      <c r="B28" s="20" t="n">
        <f aca="false">MOD(ROW()+1,COUNTA(Seasons!$A$1:$A1003)+1)</f>
        <v>4</v>
      </c>
      <c r="C28" s="20" t="str">
        <f aca="true">"Series "&amp;A28&amp;IF(B28=0,"","/"&amp;INDIRECT(ADDRESS(B28,1,1,TRUE(),"Seasons")))</f>
        <v>Series 5/Spring</v>
      </c>
      <c r="D28" s="17" t="n">
        <f aca="false">IF(B28=0,VLOOKUP(A28,Series!$A$2:B1003,2,FALSE()),D27+IF(B27=0,0,7))</f>
        <v>44644</v>
      </c>
      <c r="E28" s="8" t="n">
        <v>48</v>
      </c>
    </row>
    <row r="29" customFormat="false" ht="15.75" hidden="false" customHeight="false" outlineLevel="0" collapsed="false">
      <c r="A29" s="20" t="n">
        <f aca="false">FLOOR((ROW()+1)/(COUNTA(Seasons!$A$1:$A1003)+1),1)</f>
        <v>6</v>
      </c>
      <c r="B29" s="20" t="n">
        <f aca="false">MOD(ROW()+1,COUNTA(Seasons!$A$1:$A1003)+1)</f>
        <v>0</v>
      </c>
      <c r="C29" s="20" t="str">
        <f aca="true">"Series "&amp;A29&amp;IF(B29=0,"","/"&amp;INDIRECT(ADDRESS(B29,1,1,TRUE(),"Seasons")))</f>
        <v>Series 6</v>
      </c>
      <c r="D29" s="17" t="n">
        <f aca="false">IF(B29=0,VLOOKUP(A29,Series!$A$2:B1003,2,FALSE()),D28+IF(B28=0,0,7))</f>
        <v>44651</v>
      </c>
      <c r="E29" s="8" t="n">
        <v>28</v>
      </c>
    </row>
    <row r="30" customFormat="false" ht="15.75" hidden="false" customHeight="false" outlineLevel="0" collapsed="false">
      <c r="A30" s="20" t="n">
        <f aca="false">FLOOR((ROW()+1)/(COUNTA(Seasons!$A$1:$A1003)+1),1)</f>
        <v>6</v>
      </c>
      <c r="B30" s="20" t="n">
        <f aca="false">MOD(ROW()+1,COUNTA(Seasons!$A$1:$A1003)+1)</f>
        <v>1</v>
      </c>
      <c r="C30" s="20" t="str">
        <f aca="true">"Series "&amp;A30&amp;IF(B30=0,"","/"&amp;INDIRECT(ADDRESS(B30,1,1,TRUE(),"Seasons")))</f>
        <v>Series 6/Summer</v>
      </c>
      <c r="D30" s="17" t="n">
        <f aca="false">IF(B30=0,VLOOKUP(A30,Series!$A$2:B1003,2,FALSE()),D29+IF(B29=0,0,7))</f>
        <v>44651</v>
      </c>
      <c r="E30" s="8" t="n">
        <v>51</v>
      </c>
    </row>
    <row r="31" customFormat="false" ht="15.75" hidden="false" customHeight="false" outlineLevel="0" collapsed="false">
      <c r="A31" s="20" t="n">
        <f aca="false">FLOOR((ROW()+1)/(COUNTA(Seasons!$A$1:$A1003)+1),1)</f>
        <v>6</v>
      </c>
      <c r="B31" s="20" t="n">
        <f aca="false">MOD(ROW()+1,COUNTA(Seasons!$A$1:$A1003)+1)</f>
        <v>2</v>
      </c>
      <c r="C31" s="20" t="str">
        <f aca="true">"Series "&amp;A31&amp;IF(B31=0,"","/"&amp;INDIRECT(ADDRESS(B31,1,1,TRUE(),"Seasons")))</f>
        <v>Series 6/Autumn</v>
      </c>
      <c r="D31" s="17" t="n">
        <f aca="false">IF(B31=0,VLOOKUP(A31,Series!$A$2:B1003,2,FALSE()),D30+IF(B30=0,0,7))</f>
        <v>44658</v>
      </c>
      <c r="E31" s="8" t="n">
        <v>50</v>
      </c>
    </row>
    <row r="32" customFormat="false" ht="15.75" hidden="false" customHeight="false" outlineLevel="0" collapsed="false">
      <c r="A32" s="20" t="n">
        <f aca="false">FLOOR((ROW()+1)/(COUNTA(Seasons!$A$1:$A1003)+1),1)</f>
        <v>6</v>
      </c>
      <c r="B32" s="20" t="n">
        <f aca="false">MOD(ROW()+1,COUNTA(Seasons!$A$1:$A1003)+1)</f>
        <v>3</v>
      </c>
      <c r="C32" s="20" t="str">
        <f aca="true">"Series "&amp;A32&amp;IF(B32=0,"","/"&amp;INDIRECT(ADDRESS(B32,1,1,TRUE(),"Seasons")))</f>
        <v>Series 6/Winter</v>
      </c>
      <c r="D32" s="17" t="n">
        <f aca="false">IF(B32=0,VLOOKUP(A32,Series!$A$2:B1003,2,FALSE()),D31+IF(B31=0,0,7))</f>
        <v>44665</v>
      </c>
      <c r="E32" s="8" t="n">
        <v>50</v>
      </c>
    </row>
    <row r="33" customFormat="false" ht="15.75" hidden="false" customHeight="false" outlineLevel="0" collapsed="false">
      <c r="A33" s="20" t="n">
        <f aca="false">FLOOR((ROW()+1)/(COUNTA(Seasons!$A$1:$A1003)+1),1)</f>
        <v>6</v>
      </c>
      <c r="B33" s="20" t="n">
        <f aca="false">MOD(ROW()+1,COUNTA(Seasons!$A$1:$A1003)+1)</f>
        <v>4</v>
      </c>
      <c r="C33" s="20" t="str">
        <f aca="true">"Series "&amp;A33&amp;IF(B33=0,"","/"&amp;INDIRECT(ADDRESS(B33,1,1,TRUE(),"Seasons")))</f>
        <v>Series 6/Spring</v>
      </c>
      <c r="D33" s="17" t="n">
        <f aca="false">IF(B33=0,VLOOKUP(A33,Series!$A$2:B1003,2,FALSE()),D32+IF(B32=0,0,7))</f>
        <v>44672</v>
      </c>
      <c r="E33" s="8" t="n">
        <v>51</v>
      </c>
    </row>
    <row r="34" customFormat="false" ht="15.75" hidden="false" customHeight="false" outlineLevel="0" collapsed="false">
      <c r="A34" s="20" t="n">
        <f aca="false">FLOOR((ROW()+1)/(COUNTA(Seasons!$A$1:$A1003)+1),1)</f>
        <v>7</v>
      </c>
      <c r="B34" s="20" t="n">
        <f aca="false">MOD(ROW()+1,COUNTA(Seasons!$A$1:$A1003)+1)</f>
        <v>0</v>
      </c>
      <c r="C34" s="20" t="str">
        <f aca="true">"Series "&amp;A34&amp;IF(B34=0,"","/"&amp;INDIRECT(ADDRESS(B34,1,1,TRUE(),"Seasons")))</f>
        <v>Series 7</v>
      </c>
      <c r="D34" s="17" t="n">
        <f aca="false">IF(B34=0,VLOOKUP(A34,Series!$A$2:B1003,2,FALSE()),D33+IF(B33=0,0,7))</f>
        <v>44679</v>
      </c>
      <c r="E34" s="8" t="n">
        <v>4</v>
      </c>
    </row>
    <row r="35" customFormat="false" ht="15.75" hidden="false" customHeight="false" outlineLevel="0" collapsed="false">
      <c r="A35" s="20" t="n">
        <f aca="false">FLOOR((ROW()+1)/(COUNTA(Seasons!$A$1:$A1003)+1),1)</f>
        <v>7</v>
      </c>
      <c r="B35" s="20" t="n">
        <f aca="false">MOD(ROW()+1,COUNTA(Seasons!$A$1:$A1003)+1)</f>
        <v>1</v>
      </c>
      <c r="C35" s="20" t="str">
        <f aca="true">"Series "&amp;A35&amp;IF(B35=0,"","/"&amp;INDIRECT(ADDRESS(B35,1,1,TRUE(),"Seasons")))</f>
        <v>Series 7/Summer</v>
      </c>
      <c r="D35" s="17" t="n">
        <f aca="false">IF(B35=0,VLOOKUP(A35,Series!$A$2:B1003,2,FALSE()),D34+IF(B34=0,0,7))</f>
        <v>44679</v>
      </c>
      <c r="E35" s="8" t="n">
        <v>53</v>
      </c>
    </row>
    <row r="36" customFormat="false" ht="15.75" hidden="false" customHeight="false" outlineLevel="0" collapsed="false">
      <c r="A36" s="20" t="n">
        <f aca="false">FLOOR((ROW()+1)/(COUNTA(Seasons!$A$1:$A1003)+1),1)</f>
        <v>7</v>
      </c>
      <c r="B36" s="20" t="n">
        <f aca="false">MOD(ROW()+1,COUNTA(Seasons!$A$1:$A1003)+1)</f>
        <v>2</v>
      </c>
      <c r="C36" s="20" t="str">
        <f aca="true">"Series "&amp;A36&amp;IF(B36=0,"","/"&amp;INDIRECT(ADDRESS(B36,1,1,TRUE(),"Seasons")))</f>
        <v>Series 7/Autumn</v>
      </c>
      <c r="D36" s="17" t="n">
        <f aca="false">IF(B36=0,VLOOKUP(A36,Series!$A$2:B1003,2,FALSE()),D35+IF(B35=0,0,7))</f>
        <v>44686</v>
      </c>
      <c r="E36" s="8" t="n">
        <v>51</v>
      </c>
    </row>
    <row r="37" customFormat="false" ht="15.75" hidden="false" customHeight="false" outlineLevel="0" collapsed="false">
      <c r="A37" s="20" t="n">
        <f aca="false">FLOOR((ROW()+1)/(COUNTA(Seasons!$A$1:$A1003)+1),1)</f>
        <v>7</v>
      </c>
      <c r="B37" s="20" t="n">
        <f aca="false">MOD(ROW()+1,COUNTA(Seasons!$A$1:$A1003)+1)</f>
        <v>3</v>
      </c>
      <c r="C37" s="20" t="str">
        <f aca="true">"Series "&amp;A37&amp;IF(B37=0,"","/"&amp;INDIRECT(ADDRESS(B37,1,1,TRUE(),"Seasons")))</f>
        <v>Series 7/Winter</v>
      </c>
      <c r="D37" s="17" t="n">
        <f aca="false">IF(B37=0,VLOOKUP(A37,Series!$A$2:B1003,2,FALSE()),D36+IF(B36=0,0,7))</f>
        <v>44693</v>
      </c>
      <c r="E37" s="8" t="n">
        <v>52</v>
      </c>
    </row>
    <row r="38" customFormat="false" ht="15.75" hidden="false" customHeight="false" outlineLevel="0" collapsed="false">
      <c r="A38" s="20" t="n">
        <f aca="false">FLOOR((ROW()+1)/(COUNTA(Seasons!$A$1:$A1003)+1),1)</f>
        <v>7</v>
      </c>
      <c r="B38" s="20" t="n">
        <f aca="false">MOD(ROW()+1,COUNTA(Seasons!$A$1:$A1003)+1)</f>
        <v>4</v>
      </c>
      <c r="C38" s="20" t="str">
        <f aca="true">"Series "&amp;A38&amp;IF(B38=0,"","/"&amp;INDIRECT(ADDRESS(B38,1,1,TRUE(),"Seasons")))</f>
        <v>Series 7/Spring</v>
      </c>
      <c r="D38" s="17" t="n">
        <f aca="false">IF(B38=0,VLOOKUP(A38,Series!$A$2:B1003,2,FALSE()),D37+IF(B37=0,0,7))</f>
        <v>44700</v>
      </c>
      <c r="E38" s="8" t="n">
        <v>53</v>
      </c>
    </row>
    <row r="39" customFormat="false" ht="15.75" hidden="false" customHeight="false" outlineLevel="0" collapsed="false">
      <c r="A39" s="20" t="n">
        <f aca="false">FLOOR((ROW()+1)/(COUNTA(Seasons!$A$1:$A1003)+1),1)</f>
        <v>8</v>
      </c>
      <c r="B39" s="20" t="n">
        <f aca="false">MOD(ROW()+1,COUNTA(Seasons!$A$1:$A1003)+1)</f>
        <v>0</v>
      </c>
      <c r="C39" s="20" t="str">
        <f aca="true">"Series "&amp;A39&amp;IF(B39=0,"","/"&amp;INDIRECT(ADDRESS(B39,1,1,TRUE(),"Seasons")))</f>
        <v>Series 8</v>
      </c>
      <c r="D39" s="17" t="n">
        <f aca="false">IF(B39=0,VLOOKUP(A39,Series!$A$2:B1003,2,FALSE()),D38+IF(B38=0,0,7))</f>
        <v>44707</v>
      </c>
      <c r="E39" s="8" t="n">
        <v>4</v>
      </c>
    </row>
    <row r="40" customFormat="false" ht="15.75" hidden="false" customHeight="false" outlineLevel="0" collapsed="false">
      <c r="A40" s="20" t="n">
        <f aca="false">FLOOR((ROW()+1)/(COUNTA(Seasons!$A$1:$A1003)+1),1)</f>
        <v>8</v>
      </c>
      <c r="B40" s="20" t="n">
        <f aca="false">MOD(ROW()+1,COUNTA(Seasons!$A$1:$A1003)+1)</f>
        <v>1</v>
      </c>
      <c r="C40" s="20" t="str">
        <f aca="true">"Series "&amp;A40&amp;IF(B40=0,"","/"&amp;INDIRECT(ADDRESS(B40,1,1,TRUE(),"Seasons")))</f>
        <v>Series 8/Summer</v>
      </c>
      <c r="D40" s="17" t="n">
        <f aca="false">IF(B40=0,VLOOKUP(A40,Series!$A$2:B1003,2,FALSE()),D39+IF(B39=0,0,7))</f>
        <v>44707</v>
      </c>
      <c r="E40" s="8" t="n">
        <v>51</v>
      </c>
    </row>
    <row r="41" customFormat="false" ht="15.75" hidden="false" customHeight="false" outlineLevel="0" collapsed="false">
      <c r="A41" s="20" t="n">
        <f aca="false">FLOOR((ROW()+1)/(COUNTA(Seasons!$A$1:$A1003)+1),1)</f>
        <v>8</v>
      </c>
      <c r="B41" s="20" t="n">
        <f aca="false">MOD(ROW()+1,COUNTA(Seasons!$A$1:$A1003)+1)</f>
        <v>2</v>
      </c>
      <c r="C41" s="20" t="str">
        <f aca="true">"Series "&amp;A41&amp;IF(B41=0,"","/"&amp;INDIRECT(ADDRESS(B41,1,1,TRUE(),"Seasons")))</f>
        <v>Series 8/Autumn</v>
      </c>
      <c r="D41" s="17" t="n">
        <f aca="false">IF(B41=0,VLOOKUP(A41,Series!$A$2:B1003,2,FALSE()),D40+IF(B40=0,0,7))</f>
        <v>44714</v>
      </c>
      <c r="E41" s="8" t="n">
        <v>51</v>
      </c>
    </row>
    <row r="42" customFormat="false" ht="15.75" hidden="false" customHeight="false" outlineLevel="0" collapsed="false">
      <c r="A42" s="20" t="n">
        <f aca="false">FLOOR((ROW()+1)/(COUNTA(Seasons!$A$1:$A1003)+1),1)</f>
        <v>8</v>
      </c>
      <c r="B42" s="20" t="n">
        <f aca="false">MOD(ROW()+1,COUNTA(Seasons!$A$1:$A1003)+1)</f>
        <v>3</v>
      </c>
      <c r="C42" s="20" t="str">
        <f aca="true">"Series "&amp;A42&amp;IF(B42=0,"","/"&amp;INDIRECT(ADDRESS(B42,1,1,TRUE(),"Seasons")))</f>
        <v>Series 8/Winter</v>
      </c>
      <c r="D42" s="17" t="n">
        <f aca="false">IF(B42=0,VLOOKUP(A42,Series!$A$2:B1003,2,FALSE()),D41+IF(B41=0,0,7))</f>
        <v>44721</v>
      </c>
      <c r="E42" s="8" t="n">
        <v>51</v>
      </c>
    </row>
    <row r="43" customFormat="false" ht="15.75" hidden="false" customHeight="false" outlineLevel="0" collapsed="false">
      <c r="A43" s="20" t="n">
        <f aca="false">FLOOR((ROW()+1)/(COUNTA(Seasons!$A$1:$A1003)+1),1)</f>
        <v>8</v>
      </c>
      <c r="B43" s="20" t="n">
        <f aca="false">MOD(ROW()+1,COUNTA(Seasons!$A$1:$A1003)+1)</f>
        <v>4</v>
      </c>
      <c r="C43" s="20" t="str">
        <f aca="true">"Series "&amp;A43&amp;IF(B43=0,"","/"&amp;INDIRECT(ADDRESS(B43,1,1,TRUE(),"Seasons")))</f>
        <v>Series 8/Spring</v>
      </c>
      <c r="D43" s="17" t="n">
        <f aca="false">IF(B43=0,VLOOKUP(A43,Series!$A$2:B1003,2,FALSE()),D42+IF(B42=0,0,7))</f>
        <v>44728</v>
      </c>
      <c r="E43" s="8" t="n">
        <v>51</v>
      </c>
    </row>
    <row r="44" customFormat="false" ht="15.75" hidden="false" customHeight="false" outlineLevel="0" collapsed="false">
      <c r="A44" s="20" t="n">
        <f aca="false">FLOOR((ROW()+1)/(COUNTA(Seasons!$A$1:$A1003)+1),1)</f>
        <v>9</v>
      </c>
      <c r="B44" s="20" t="n">
        <f aca="false">MOD(ROW()+1,COUNTA(Seasons!$A$1:$A1003)+1)</f>
        <v>0</v>
      </c>
      <c r="C44" s="20" t="str">
        <f aca="true">"Series "&amp;A44&amp;IF(B44=0,"","/"&amp;INDIRECT(ADDRESS(B44,1,1,TRUE(),"Seasons")))</f>
        <v>Series 9</v>
      </c>
      <c r="D44" s="17" t="n">
        <f aca="false">IF(B44=0,VLOOKUP(A44,Series!$A$2:B1003,2,FALSE()),D43+IF(B43=0,0,7))</f>
        <v>44735</v>
      </c>
      <c r="E44" s="8" t="n">
        <v>8</v>
      </c>
    </row>
    <row r="45" customFormat="false" ht="15.75" hidden="false" customHeight="false" outlineLevel="0" collapsed="false">
      <c r="A45" s="20" t="n">
        <f aca="false">FLOOR((ROW()+1)/(COUNTA(Seasons!$A$1:$A1003)+1),1)</f>
        <v>9</v>
      </c>
      <c r="B45" s="20" t="n">
        <f aca="false">MOD(ROW()+1,COUNTA(Seasons!$A$1:$A1003)+1)</f>
        <v>1</v>
      </c>
      <c r="C45" s="20" t="str">
        <f aca="true">"Series "&amp;A45&amp;IF(B45=0,"","/"&amp;INDIRECT(ADDRESS(B45,1,1,TRUE(),"Seasons")))</f>
        <v>Series 9/Summer</v>
      </c>
      <c r="D45" s="17" t="n">
        <f aca="false">IF(B45=0,VLOOKUP(A45,Series!$A$2:B1003,2,FALSE()),D44+IF(B44=0,0,7))</f>
        <v>44735</v>
      </c>
      <c r="E45" s="8" t="n">
        <v>51</v>
      </c>
    </row>
    <row r="46" customFormat="false" ht="15.75" hidden="false" customHeight="false" outlineLevel="0" collapsed="false">
      <c r="A46" s="20" t="n">
        <f aca="false">FLOOR((ROW()+1)/(COUNTA(Seasons!$A$1:$A1003)+1),1)</f>
        <v>9</v>
      </c>
      <c r="B46" s="20" t="n">
        <f aca="false">MOD(ROW()+1,COUNTA(Seasons!$A$1:$A1003)+1)</f>
        <v>2</v>
      </c>
      <c r="C46" s="20" t="str">
        <f aca="true">"Series "&amp;A46&amp;IF(B46=0,"","/"&amp;INDIRECT(ADDRESS(B46,1,1,TRUE(),"Seasons")))</f>
        <v>Series 9/Autumn</v>
      </c>
      <c r="D46" s="17" t="n">
        <f aca="false">IF(B46=0,VLOOKUP(A46,Series!$A$2:B1003,2,FALSE()),D45+IF(B45=0,0,7))</f>
        <v>44742</v>
      </c>
      <c r="E46" s="8" t="n">
        <v>51</v>
      </c>
    </row>
    <row r="47" customFormat="false" ht="15.75" hidden="false" customHeight="false" outlineLevel="0" collapsed="false">
      <c r="A47" s="20" t="n">
        <f aca="false">FLOOR((ROW()+1)/(COUNTA(Seasons!$A$1:$A1003)+1),1)</f>
        <v>9</v>
      </c>
      <c r="B47" s="20" t="n">
        <f aca="false">MOD(ROW()+1,COUNTA(Seasons!$A$1:$A1003)+1)</f>
        <v>3</v>
      </c>
      <c r="C47" s="20" t="str">
        <f aca="true">"Series "&amp;A47&amp;IF(B47=0,"","/"&amp;INDIRECT(ADDRESS(B47,1,1,TRUE(),"Seasons")))</f>
        <v>Series 9/Winter</v>
      </c>
      <c r="D47" s="17" t="n">
        <f aca="false">IF(B47=0,VLOOKUP(A47,Series!$A$2:B1003,2,FALSE()),D46+IF(B46=0,0,7))</f>
        <v>44749</v>
      </c>
      <c r="E47" s="8" t="n">
        <v>51</v>
      </c>
    </row>
    <row r="48" customFormat="false" ht="15.75" hidden="false" customHeight="false" outlineLevel="0" collapsed="false">
      <c r="A48" s="20" t="n">
        <f aca="false">FLOOR((ROW()+1)/(COUNTA(Seasons!$A$1:$A1003)+1),1)</f>
        <v>9</v>
      </c>
      <c r="B48" s="20" t="n">
        <f aca="false">MOD(ROW()+1,COUNTA(Seasons!$A$1:$A1003)+1)</f>
        <v>4</v>
      </c>
      <c r="C48" s="20" t="str">
        <f aca="true">"Series "&amp;A48&amp;IF(B48=0,"","/"&amp;INDIRECT(ADDRESS(B48,1,1,TRUE(),"Seasons")))</f>
        <v>Series 9/Spring</v>
      </c>
      <c r="D48" s="17" t="n">
        <f aca="false">IF(B48=0,VLOOKUP(A48,Series!$A$2:B1003,2,FALSE()),D47+IF(B47=0,0,7))</f>
        <v>44756</v>
      </c>
      <c r="E48" s="8" t="n">
        <v>51</v>
      </c>
    </row>
    <row r="49" customFormat="false" ht="15.75" hidden="false" customHeight="false" outlineLevel="0" collapsed="false">
      <c r="A49" s="20" t="n">
        <f aca="false">FLOOR((ROW()+1)/(COUNTA(Seasons!$A$1:$A1003)+1),1)</f>
        <v>10</v>
      </c>
      <c r="B49" s="20" t="n">
        <f aca="false">MOD(ROW()+1,COUNTA(Seasons!$A$1:$A1003)+1)</f>
        <v>0</v>
      </c>
      <c r="C49" s="20" t="str">
        <f aca="true">"Series "&amp;A49&amp;IF(B49=0,"","/"&amp;INDIRECT(ADDRESS(B49,1,1,TRUE(),"Seasons")))</f>
        <v>Series 10</v>
      </c>
      <c r="D49" s="17" t="n">
        <f aca="false">IF(B49=0,VLOOKUP(A49,Series!$A$2:B1003,2,FALSE()),D48+IF(B48=0,0,7))</f>
        <v>44763</v>
      </c>
      <c r="E49" s="8" t="n">
        <v>8</v>
      </c>
    </row>
    <row r="50" customFormat="false" ht="15.75" hidden="false" customHeight="false" outlineLevel="0" collapsed="false">
      <c r="A50" s="20" t="n">
        <f aca="false">FLOOR((ROW()+1)/(COUNTA(Seasons!$A$1:$A1003)+1),1)</f>
        <v>10</v>
      </c>
      <c r="B50" s="20" t="n">
        <f aca="false">MOD(ROW()+1,COUNTA(Seasons!$A$1:$A1003)+1)</f>
        <v>1</v>
      </c>
      <c r="C50" s="20" t="str">
        <f aca="true">"Series "&amp;A50&amp;IF(B50=0,"","/"&amp;INDIRECT(ADDRESS(B50,1,1,TRUE(),"Seasons")))</f>
        <v>Series 10/Summer</v>
      </c>
      <c r="D50" s="17" t="n">
        <f aca="false">IF(B50=0,VLOOKUP(A50,Series!$A$2:B1003,2,FALSE()),D49+IF(B49=0,0,7))</f>
        <v>44763</v>
      </c>
      <c r="E50" s="8" t="n">
        <v>61</v>
      </c>
    </row>
    <row r="51" customFormat="false" ht="15.75" hidden="false" customHeight="false" outlineLevel="0" collapsed="false">
      <c r="A51" s="20" t="n">
        <f aca="false">FLOOR((ROW()+1)/(COUNTA(Seasons!$A$1:$A1003)+1),1)</f>
        <v>10</v>
      </c>
      <c r="B51" s="20" t="n">
        <f aca="false">MOD(ROW()+1,COUNTA(Seasons!$A$1:$A1003)+1)</f>
        <v>2</v>
      </c>
      <c r="C51" s="20" t="str">
        <f aca="true">"Series "&amp;A51&amp;IF(B51=0,"","/"&amp;INDIRECT(ADDRESS(B51,1,1,TRUE(),"Seasons")))</f>
        <v>Series 10/Autumn</v>
      </c>
      <c r="D51" s="17" t="n">
        <f aca="false">IF(B51=0,VLOOKUP(A51,Series!$A$2:B1003,2,FALSE()),D50+IF(B50=0,0,7))</f>
        <v>44770</v>
      </c>
      <c r="E51" s="8" t="n">
        <v>61</v>
      </c>
    </row>
    <row r="52" customFormat="false" ht="15.75" hidden="false" customHeight="false" outlineLevel="0" collapsed="false">
      <c r="A52" s="20" t="n">
        <f aca="false">FLOOR((ROW()+1)/(COUNTA(Seasons!$A$1:$A1003)+1),1)</f>
        <v>10</v>
      </c>
      <c r="B52" s="20" t="n">
        <f aca="false">MOD(ROW()+1,COUNTA(Seasons!$A$1:$A1003)+1)</f>
        <v>3</v>
      </c>
      <c r="C52" s="20" t="str">
        <f aca="true">"Series "&amp;A52&amp;IF(B52=0,"","/"&amp;INDIRECT(ADDRESS(B52,1,1,TRUE(),"Seasons")))</f>
        <v>Series 10/Winter</v>
      </c>
      <c r="D52" s="17" t="n">
        <f aca="false">IF(B52=0,VLOOKUP(A52,Series!$A$2:B1003,2,FALSE()),D51+IF(B51=0,0,7))</f>
        <v>44777</v>
      </c>
      <c r="E52" s="8" t="n">
        <v>61</v>
      </c>
    </row>
    <row r="53" customFormat="false" ht="15.75" hidden="false" customHeight="false" outlineLevel="0" collapsed="false">
      <c r="A53" s="20" t="n">
        <f aca="false">FLOOR((ROW()+1)/(COUNTA(Seasons!$A$1:$A1003)+1),1)</f>
        <v>10</v>
      </c>
      <c r="B53" s="20" t="n">
        <f aca="false">MOD(ROW()+1,COUNTA(Seasons!$A$1:$A1003)+1)</f>
        <v>4</v>
      </c>
      <c r="C53" s="20" t="str">
        <f aca="true">"Series "&amp;A53&amp;IF(B53=0,"","/"&amp;INDIRECT(ADDRESS(B53,1,1,TRUE(),"Seasons")))</f>
        <v>Series 10/Spring</v>
      </c>
      <c r="D53" s="17" t="n">
        <f aca="false">IF(B53=0,VLOOKUP(A53,Series!$A$2:B1003,2,FALSE()),D52+IF(B52=0,0,7))</f>
        <v>44784</v>
      </c>
      <c r="E53" s="8" t="n">
        <v>61</v>
      </c>
    </row>
    <row r="54" customFormat="false" ht="15.75" hidden="false" customHeight="false" outlineLevel="0" collapsed="false">
      <c r="A54" s="20" t="n">
        <f aca="false">FLOOR((ROW()+1)/(COUNTA(Seasons!$A$1:$A1003)+1),1)</f>
        <v>11</v>
      </c>
      <c r="B54" s="20" t="n">
        <f aca="false">MOD(ROW()+1,COUNTA(Seasons!$A$1:$A1003)+1)</f>
        <v>0</v>
      </c>
      <c r="C54" s="20" t="str">
        <f aca="true">"Series "&amp;A54&amp;IF(B54=0,"","/"&amp;INDIRECT(ADDRESS(B54,1,1,TRUE(),"Seasons")))</f>
        <v>Series 11</v>
      </c>
      <c r="D54" s="17" t="n">
        <f aca="false">IF(B54=0,VLOOKUP(A54,Series!$A$2:B1003,2,FALSE()),D53+IF(B53=0,0,7))</f>
        <v>44791</v>
      </c>
      <c r="E54" s="8" t="n">
        <v>20</v>
      </c>
    </row>
    <row r="55" customFormat="false" ht="15.75" hidden="false" customHeight="false" outlineLevel="0" collapsed="false">
      <c r="A55" s="20" t="n">
        <f aca="false">FLOOR((ROW()+1)/(COUNTA(Seasons!$A$1:$A1003)+1),1)</f>
        <v>11</v>
      </c>
      <c r="B55" s="20" t="n">
        <f aca="false">MOD(ROW()+1,COUNTA(Seasons!$A$1:$A1003)+1)</f>
        <v>1</v>
      </c>
      <c r="C55" s="20" t="str">
        <f aca="true">"Series "&amp;A55&amp;IF(B55=0,"","/"&amp;INDIRECT(ADDRESS(B55,1,1,TRUE(),"Seasons")))</f>
        <v>Series 11/Summer</v>
      </c>
      <c r="D55" s="17" t="n">
        <f aca="false">IF(B55=0,VLOOKUP(A55,Series!$A$2:B1003,2,FALSE()),D54+IF(B54=0,0,7))</f>
        <v>44791</v>
      </c>
      <c r="E55" s="8" t="n">
        <v>58</v>
      </c>
    </row>
    <row r="56" customFormat="false" ht="15.75" hidden="false" customHeight="false" outlineLevel="0" collapsed="false">
      <c r="A56" s="20" t="n">
        <f aca="false">FLOOR((ROW()+1)/(COUNTA(Seasons!$A$1:$A1003)+1),1)</f>
        <v>11</v>
      </c>
      <c r="B56" s="20" t="n">
        <f aca="false">MOD(ROW()+1,COUNTA(Seasons!$A$1:$A1003)+1)</f>
        <v>2</v>
      </c>
      <c r="C56" s="20" t="str">
        <f aca="true">"Series "&amp;A56&amp;IF(B56=0,"","/"&amp;INDIRECT(ADDRESS(B56,1,1,TRUE(),"Seasons")))</f>
        <v>Series 11/Autumn</v>
      </c>
      <c r="D56" s="17" t="n">
        <f aca="false">IF(B56=0,VLOOKUP(A56,Series!$A$2:B1003,2,FALSE()),D55+IF(B55=0,0,7))</f>
        <v>44798</v>
      </c>
      <c r="E56" s="8" t="n">
        <v>58</v>
      </c>
    </row>
    <row r="57" customFormat="false" ht="15.75" hidden="false" customHeight="false" outlineLevel="0" collapsed="false">
      <c r="A57" s="20" t="n">
        <f aca="false">FLOOR((ROW()+1)/(COUNTA(Seasons!$A$1:$A1003)+1),1)</f>
        <v>11</v>
      </c>
      <c r="B57" s="20" t="n">
        <f aca="false">MOD(ROW()+1,COUNTA(Seasons!$A$1:$A1003)+1)</f>
        <v>3</v>
      </c>
      <c r="C57" s="20" t="str">
        <f aca="true">"Series "&amp;A57&amp;IF(B57=0,"","/"&amp;INDIRECT(ADDRESS(B57,1,1,TRUE(),"Seasons")))</f>
        <v>Series 11/Winter</v>
      </c>
      <c r="D57" s="17" t="n">
        <f aca="false">IF(B57=0,VLOOKUP(A57,Series!$A$2:B1003,2,FALSE()),D56+IF(B56=0,0,7))</f>
        <v>44805</v>
      </c>
      <c r="E57" s="8" t="n">
        <v>58</v>
      </c>
    </row>
    <row r="58" customFormat="false" ht="15.75" hidden="false" customHeight="false" outlineLevel="0" collapsed="false">
      <c r="A58" s="20" t="n">
        <f aca="false">FLOOR((ROW()+1)/(COUNTA(Seasons!$A$1:$A1003)+1),1)</f>
        <v>11</v>
      </c>
      <c r="B58" s="20" t="n">
        <f aca="false">MOD(ROW()+1,COUNTA(Seasons!$A$1:$A1003)+1)</f>
        <v>4</v>
      </c>
      <c r="C58" s="20" t="str">
        <f aca="true">"Series "&amp;A58&amp;IF(B58=0,"","/"&amp;INDIRECT(ADDRESS(B58,1,1,TRUE(),"Seasons")))</f>
        <v>Series 11/Spring</v>
      </c>
      <c r="D58" s="17" t="n">
        <f aca="false">IF(B58=0,VLOOKUP(A58,Series!$A$2:B1003,2,FALSE()),D57+IF(B57=0,0,7))</f>
        <v>44812</v>
      </c>
      <c r="E58" s="8" t="n">
        <v>58</v>
      </c>
    </row>
    <row r="59" customFormat="false" ht="15.75" hidden="false" customHeight="false" outlineLevel="0" collapsed="false">
      <c r="A59" s="20" t="n">
        <f aca="false">FLOOR((ROW()+1)/(COUNTA(Seasons!$A$1:$A1003)+1),1)</f>
        <v>12</v>
      </c>
      <c r="B59" s="20" t="n">
        <f aca="false">MOD(ROW()+1,COUNTA(Seasons!$A$1:$A1003)+1)</f>
        <v>0</v>
      </c>
      <c r="C59" s="20" t="str">
        <f aca="true">"Series "&amp;A59&amp;IF(B59=0,"","/"&amp;INDIRECT(ADDRESS(B59,1,1,TRUE(),"Seasons")))</f>
        <v>Series 12</v>
      </c>
      <c r="D59" s="17" t="n">
        <f aca="false">IF(B59=0,VLOOKUP(A59,Series!$A$2:B1003,2,FALSE()),D58+IF(B58=0,0,7))</f>
        <v>44819</v>
      </c>
      <c r="E59" s="8" t="n">
        <v>8</v>
      </c>
    </row>
    <row r="60" customFormat="false" ht="15.75" hidden="false" customHeight="false" outlineLevel="0" collapsed="false">
      <c r="A60" s="20" t="n">
        <f aca="false">FLOOR((ROW()+1)/(COUNTA(Seasons!$A$1:$A1003)+1),1)</f>
        <v>12</v>
      </c>
      <c r="B60" s="20" t="n">
        <f aca="false">MOD(ROW()+1,COUNTA(Seasons!$A$1:$A1003)+1)</f>
        <v>1</v>
      </c>
      <c r="C60" s="20" t="str">
        <f aca="true">"Series "&amp;A60&amp;IF(B60=0,"","/"&amp;INDIRECT(ADDRESS(B60,1,1,TRUE(),"Seasons")))</f>
        <v>Series 12/Summer</v>
      </c>
      <c r="D60" s="17" t="n">
        <f aca="false">IF(B60=0,VLOOKUP(A60,Series!$A$2:B1003,2,FALSE()),D59+IF(B59=0,0,7))</f>
        <v>44819</v>
      </c>
      <c r="E60" s="8" t="n">
        <v>63</v>
      </c>
    </row>
    <row r="61" customFormat="false" ht="15.75" hidden="false" customHeight="false" outlineLevel="0" collapsed="false">
      <c r="A61" s="20" t="n">
        <f aca="false">FLOOR((ROW()+1)/(COUNTA(Seasons!$A$1:$A1003)+1),1)</f>
        <v>12</v>
      </c>
      <c r="B61" s="20" t="n">
        <f aca="false">MOD(ROW()+1,COUNTA(Seasons!$A$1:$A1003)+1)</f>
        <v>2</v>
      </c>
      <c r="C61" s="20" t="str">
        <f aca="true">"Series "&amp;A61&amp;IF(B61=0,"","/"&amp;INDIRECT(ADDRESS(B61,1,1,TRUE(),"Seasons")))</f>
        <v>Series 12/Autumn</v>
      </c>
      <c r="D61" s="17" t="n">
        <f aca="false">IF(B61=0,VLOOKUP(A61,Series!$A$2:B1003,2,FALSE()),D60+IF(B60=0,0,7))</f>
        <v>44826</v>
      </c>
      <c r="E61" s="8" t="n">
        <v>63</v>
      </c>
    </row>
    <row r="62" customFormat="false" ht="15.75" hidden="false" customHeight="false" outlineLevel="0" collapsed="false">
      <c r="A62" s="20" t="n">
        <f aca="false">FLOOR((ROW()+1)/(COUNTA(Seasons!$A$1:$A1003)+1),1)</f>
        <v>12</v>
      </c>
      <c r="B62" s="20" t="n">
        <f aca="false">MOD(ROW()+1,COUNTA(Seasons!$A$1:$A1003)+1)</f>
        <v>3</v>
      </c>
      <c r="C62" s="20" t="str">
        <f aca="true">"Series "&amp;A62&amp;IF(B62=0,"","/"&amp;INDIRECT(ADDRESS(B62,1,1,TRUE(),"Seasons")))</f>
        <v>Series 12/Winter</v>
      </c>
      <c r="D62" s="17" t="n">
        <f aca="false">IF(B62=0,VLOOKUP(A62,Series!$A$2:B1003,2,FALSE()),D61+IF(B61=0,0,7))</f>
        <v>44833</v>
      </c>
      <c r="E62" s="8" t="n">
        <v>63</v>
      </c>
    </row>
    <row r="63" customFormat="false" ht="15.75" hidden="false" customHeight="false" outlineLevel="0" collapsed="false">
      <c r="A63" s="20" t="n">
        <f aca="false">FLOOR((ROW()+1)/(COUNTA(Seasons!$A$1:$A1003)+1),1)</f>
        <v>12</v>
      </c>
      <c r="B63" s="20" t="n">
        <f aca="false">MOD(ROW()+1,COUNTA(Seasons!$A$1:$A1003)+1)</f>
        <v>4</v>
      </c>
      <c r="C63" s="20" t="str">
        <f aca="true">"Series "&amp;A63&amp;IF(B63=0,"","/"&amp;INDIRECT(ADDRESS(B63,1,1,TRUE(),"Seasons")))</f>
        <v>Series 12/Spring</v>
      </c>
      <c r="D63" s="17" t="n">
        <f aca="false">IF(B63=0,VLOOKUP(A63,Series!$A$2:B1003,2,FALSE()),D62+IF(B62=0,0,7))</f>
        <v>44840</v>
      </c>
      <c r="E63" s="8" t="n">
        <v>63</v>
      </c>
    </row>
    <row r="64" customFormat="false" ht="15.75" hidden="false" customHeight="false" outlineLevel="0" collapsed="false">
      <c r="A64" s="20" t="n">
        <f aca="false">FLOOR((ROW()+1)/(COUNTA(Seasons!$A$1:$A1003)+1),1)</f>
        <v>13</v>
      </c>
      <c r="B64" s="20" t="n">
        <f aca="false">MOD(ROW()+1,COUNTA(Seasons!$A$1:$A1003)+1)</f>
        <v>0</v>
      </c>
      <c r="C64" s="20" t="str">
        <f aca="true">"Series "&amp;A64&amp;IF(B64=0,"","/"&amp;INDIRECT(ADDRESS(B64,1,1,TRUE(),"Seasons")))</f>
        <v>Series 13</v>
      </c>
      <c r="D64" s="17" t="n">
        <f aca="false">IF(B64=0,VLOOKUP(A64,Series!$A$2:B1003,2,FALSE()),D63+IF(B63=0,0,7))</f>
        <v>44847</v>
      </c>
      <c r="E64" s="8" t="n">
        <v>20</v>
      </c>
    </row>
    <row r="65" customFormat="false" ht="15.75" hidden="false" customHeight="false" outlineLevel="0" collapsed="false">
      <c r="A65" s="20" t="n">
        <f aca="false">FLOOR((ROW()+1)/(COUNTA(Seasons!$A$1:$A1003)+1),1)</f>
        <v>13</v>
      </c>
      <c r="B65" s="20" t="n">
        <f aca="false">MOD(ROW()+1,COUNTA(Seasons!$A$1:$A1003)+1)</f>
        <v>1</v>
      </c>
      <c r="C65" s="20" t="str">
        <f aca="true">"Series "&amp;A65&amp;IF(B65=0,"","/"&amp;INDIRECT(ADDRESS(B65,1,1,TRUE(),"Seasons")))</f>
        <v>Series 13/Summer</v>
      </c>
      <c r="D65" s="17" t="n">
        <f aca="false">IF(B65=0,VLOOKUP(A65,Series!$A$2:B1003,2,FALSE()),D64+IF(B64=0,0,7))</f>
        <v>44847</v>
      </c>
      <c r="E65" s="8" t="n">
        <v>63</v>
      </c>
    </row>
    <row r="66" customFormat="false" ht="15.75" hidden="false" customHeight="false" outlineLevel="0" collapsed="false">
      <c r="A66" s="20" t="n">
        <f aca="false">FLOOR((ROW()+1)/(COUNTA(Seasons!$A$1:$A1003)+1),1)</f>
        <v>13</v>
      </c>
      <c r="B66" s="20" t="n">
        <f aca="false">MOD(ROW()+1,COUNTA(Seasons!$A$1:$A1003)+1)</f>
        <v>2</v>
      </c>
      <c r="C66" s="20" t="str">
        <f aca="true">"Series "&amp;A66&amp;IF(B66=0,"","/"&amp;INDIRECT(ADDRESS(B66,1,1,TRUE(),"Seasons")))</f>
        <v>Series 13/Autumn</v>
      </c>
      <c r="D66" s="17" t="n">
        <f aca="false">IF(B66=0,VLOOKUP(A66,Series!$A$2:B1003,2,FALSE()),D65+IF(B65=0,0,7))</f>
        <v>44854</v>
      </c>
      <c r="E66" s="8" t="n">
        <v>63</v>
      </c>
    </row>
    <row r="67" customFormat="false" ht="15.75" hidden="false" customHeight="false" outlineLevel="0" collapsed="false">
      <c r="A67" s="20" t="n">
        <f aca="false">FLOOR((ROW()+1)/(COUNTA(Seasons!$A$1:$A1003)+1),1)</f>
        <v>13</v>
      </c>
      <c r="B67" s="20" t="n">
        <f aca="false">MOD(ROW()+1,COUNTA(Seasons!$A$1:$A1003)+1)</f>
        <v>3</v>
      </c>
      <c r="C67" s="20" t="str">
        <f aca="true">"Series "&amp;A67&amp;IF(B67=0,"","/"&amp;INDIRECT(ADDRESS(B67,1,1,TRUE(),"Seasons")))</f>
        <v>Series 13/Winter</v>
      </c>
      <c r="D67" s="17" t="n">
        <f aca="false">IF(B67=0,VLOOKUP(A67,Series!$A$2:B1003,2,FALSE()),D66+IF(B66=0,0,7))</f>
        <v>44861</v>
      </c>
      <c r="E67" s="8" t="n">
        <v>63</v>
      </c>
    </row>
    <row r="68" customFormat="false" ht="15.75" hidden="false" customHeight="false" outlineLevel="0" collapsed="false">
      <c r="A68" s="20" t="n">
        <f aca="false">FLOOR((ROW()+1)/(COUNTA(Seasons!$A$1:$A1003)+1),1)</f>
        <v>13</v>
      </c>
      <c r="B68" s="20" t="n">
        <f aca="false">MOD(ROW()+1,COUNTA(Seasons!$A$1:$A1003)+1)</f>
        <v>4</v>
      </c>
      <c r="C68" s="20" t="str">
        <f aca="true">"Series "&amp;A68&amp;IF(B68=0,"","/"&amp;INDIRECT(ADDRESS(B68,1,1,TRUE(),"Seasons")))</f>
        <v>Series 13/Spring</v>
      </c>
      <c r="D68" s="17" t="n">
        <f aca="false">IF(B68=0,VLOOKUP(A68,Series!$A$2:B1003,2,FALSE()),D67+IF(B67=0,0,7))</f>
        <v>44868</v>
      </c>
      <c r="E68" s="8" t="n">
        <v>63</v>
      </c>
    </row>
    <row r="69" customFormat="false" ht="15.75" hidden="false" customHeight="false" outlineLevel="0" collapsed="false">
      <c r="A69" s="20" t="n">
        <f aca="false">FLOOR((ROW()+1)/(COUNTA(Seasons!$A$1:$A1003)+1),1)</f>
        <v>14</v>
      </c>
      <c r="B69" s="20" t="n">
        <f aca="false">MOD(ROW()+1,COUNTA(Seasons!$A$1:$A1003)+1)</f>
        <v>0</v>
      </c>
      <c r="C69" s="20" t="str">
        <f aca="true">"Series "&amp;A69&amp;IF(B69=0,"","/"&amp;INDIRECT(ADDRESS(B69,1,1,TRUE(),"Seasons")))</f>
        <v>Series 14</v>
      </c>
      <c r="D69" s="17" t="n">
        <f aca="false">IF(B69=0,VLOOKUP(A69,Series!$A$2:B1003,2,FALSE()),D68+IF(B68=0,0,7))</f>
        <v>44875</v>
      </c>
      <c r="E69" s="8" t="n">
        <v>20</v>
      </c>
    </row>
    <row r="70" customFormat="false" ht="15.75" hidden="false" customHeight="false" outlineLevel="0" collapsed="false">
      <c r="A70" s="20" t="n">
        <f aca="false">FLOOR((ROW()+1)/(COUNTA(Seasons!$A$1:$A1003)+1),1)</f>
        <v>14</v>
      </c>
      <c r="B70" s="20" t="n">
        <f aca="false">MOD(ROW()+1,COUNTA(Seasons!$A$1:$A1003)+1)</f>
        <v>1</v>
      </c>
      <c r="C70" s="20" t="str">
        <f aca="true">"Series "&amp;A70&amp;IF(B70=0,"","/"&amp;INDIRECT(ADDRESS(B70,1,1,TRUE(),"Seasons")))</f>
        <v>Series 14/Summer</v>
      </c>
      <c r="D70" s="17" t="n">
        <f aca="false">IF(B70=0,VLOOKUP(A70,Series!$A$2:B1003,2,FALSE()),D69+IF(B69=0,0,7))</f>
        <v>44875</v>
      </c>
      <c r="E70" s="8" t="n">
        <v>58</v>
      </c>
    </row>
    <row r="71" customFormat="false" ht="15.75" hidden="false" customHeight="false" outlineLevel="0" collapsed="false">
      <c r="A71" s="20" t="n">
        <f aca="false">FLOOR((ROW()+1)/(COUNTA(Seasons!$A$1:$A1003)+1),1)</f>
        <v>14</v>
      </c>
      <c r="B71" s="20" t="n">
        <f aca="false">MOD(ROW()+1,COUNTA(Seasons!$A$1:$A1003)+1)</f>
        <v>2</v>
      </c>
      <c r="C71" s="20" t="str">
        <f aca="true">"Series "&amp;A71&amp;IF(B71=0,"","/"&amp;INDIRECT(ADDRESS(B71,1,1,TRUE(),"Seasons")))</f>
        <v>Series 14/Autumn</v>
      </c>
      <c r="D71" s="17" t="n">
        <f aca="false">IF(B71=0,VLOOKUP(A71,Series!$A$2:B1003,2,FALSE()),D70+IF(B70=0,0,7))</f>
        <v>44882</v>
      </c>
      <c r="E71" s="8" t="n">
        <v>58</v>
      </c>
    </row>
    <row r="72" customFormat="false" ht="15.75" hidden="false" customHeight="false" outlineLevel="0" collapsed="false">
      <c r="A72" s="20" t="n">
        <f aca="false">FLOOR((ROW()+1)/(COUNTA(Seasons!$A$1:$A1003)+1),1)</f>
        <v>14</v>
      </c>
      <c r="B72" s="20" t="n">
        <f aca="false">MOD(ROW()+1,COUNTA(Seasons!$A$1:$A1003)+1)</f>
        <v>3</v>
      </c>
      <c r="C72" s="20" t="str">
        <f aca="true">"Series "&amp;A72&amp;IF(B72=0,"","/"&amp;INDIRECT(ADDRESS(B72,1,1,TRUE(),"Seasons")))</f>
        <v>Series 14/Winter</v>
      </c>
      <c r="D72" s="17" t="n">
        <f aca="false">IF(B72=0,VLOOKUP(A72,Series!$A$2:B1003,2,FALSE()),D71+IF(B71=0,0,7))</f>
        <v>44889</v>
      </c>
      <c r="E72" s="8" t="n">
        <v>58</v>
      </c>
    </row>
    <row r="73" customFormat="false" ht="15.75" hidden="false" customHeight="false" outlineLevel="0" collapsed="false">
      <c r="A73" s="20" t="n">
        <f aca="false">FLOOR((ROW()+1)/(COUNTA(Seasons!$A$1:$A1003)+1),1)</f>
        <v>14</v>
      </c>
      <c r="B73" s="20" t="n">
        <f aca="false">MOD(ROW()+1,COUNTA(Seasons!$A$1:$A1003)+1)</f>
        <v>4</v>
      </c>
      <c r="C73" s="20" t="str">
        <f aca="true">"Series "&amp;A73&amp;IF(B73=0,"","/"&amp;INDIRECT(ADDRESS(B73,1,1,TRUE(),"Seasons")))</f>
        <v>Series 14/Spring</v>
      </c>
      <c r="D73" s="17" t="n">
        <f aca="false">IF(B73=0,VLOOKUP(A73,Series!$A$2:B1003,2,FALSE()),D72+IF(B72=0,0,7))</f>
        <v>44896</v>
      </c>
      <c r="E73" s="8" t="n">
        <v>58</v>
      </c>
    </row>
    <row r="74" customFormat="false" ht="15.75" hidden="false" customHeight="false" outlineLevel="0" collapsed="false">
      <c r="A74" s="20" t="n">
        <f aca="false">FLOOR((ROW()+1)/(COUNTA(Seasons!$A$1:$A1003)+1),1)</f>
        <v>15</v>
      </c>
      <c r="B74" s="20" t="n">
        <f aca="false">MOD(ROW()+1,COUNTA(Seasons!$A$1:$A1003)+1)</f>
        <v>0</v>
      </c>
      <c r="C74" s="20" t="str">
        <f aca="true">"Series "&amp;A74&amp;IF(B74=0,"","/"&amp;INDIRECT(ADDRESS(B74,1,1,TRUE(),"Seasons")))</f>
        <v>Series 15</v>
      </c>
      <c r="D74" s="17" t="n">
        <f aca="false">IF(B74=0,VLOOKUP(A74,Series!$A$2:B1003,2,FALSE()),D73+IF(B73=0,0,7))</f>
        <v>44903</v>
      </c>
      <c r="E74" s="8" t="n">
        <v>8</v>
      </c>
    </row>
    <row r="75" customFormat="false" ht="15.75" hidden="false" customHeight="false" outlineLevel="0" collapsed="false">
      <c r="A75" s="20" t="n">
        <f aca="false">FLOOR((ROW()+1)/(COUNTA(Seasons!$A$1:$A1003)+1),1)</f>
        <v>15</v>
      </c>
      <c r="B75" s="20" t="n">
        <f aca="false">MOD(ROW()+1,COUNTA(Seasons!$A$1:$A1003)+1)</f>
        <v>1</v>
      </c>
      <c r="C75" s="20" t="str">
        <f aca="true">"Series "&amp;A75&amp;IF(B75=0,"","/"&amp;INDIRECT(ADDRESS(B75,1,1,TRUE(),"Seasons")))</f>
        <v>Series 15/Summer</v>
      </c>
      <c r="D75" s="17" t="n">
        <f aca="false">IF(B75=0,VLOOKUP(A75,Series!$A$2:B1003,2,FALSE()),D74+IF(B74=0,0,7))</f>
        <v>44903</v>
      </c>
      <c r="E75" s="8" t="n">
        <v>58</v>
      </c>
    </row>
    <row r="76" customFormat="false" ht="15.75" hidden="false" customHeight="false" outlineLevel="0" collapsed="false">
      <c r="A76" s="20" t="n">
        <f aca="false">FLOOR((ROW()+1)/(COUNTA(Seasons!$A$1:$A1003)+1),1)</f>
        <v>15</v>
      </c>
      <c r="B76" s="20" t="n">
        <f aca="false">MOD(ROW()+1,COUNTA(Seasons!$A$1:$A1003)+1)</f>
        <v>2</v>
      </c>
      <c r="C76" s="20" t="str">
        <f aca="true">"Series "&amp;A76&amp;IF(B76=0,"","/"&amp;INDIRECT(ADDRESS(B76,1,1,TRUE(),"Seasons")))</f>
        <v>Series 15/Autumn</v>
      </c>
      <c r="D76" s="17" t="n">
        <f aca="false">IF(B76=0,VLOOKUP(A76,Series!$A$2:B1003,2,FALSE()),D75+IF(B75=0,0,7))</f>
        <v>44910</v>
      </c>
      <c r="E76" s="8" t="n">
        <v>58</v>
      </c>
    </row>
    <row r="77" customFormat="false" ht="15.75" hidden="false" customHeight="false" outlineLevel="0" collapsed="false">
      <c r="A77" s="20" t="n">
        <f aca="false">FLOOR((ROW()+1)/(COUNTA(Seasons!$A$1:$A1003)+1),1)</f>
        <v>15</v>
      </c>
      <c r="B77" s="20" t="n">
        <f aca="false">MOD(ROW()+1,COUNTA(Seasons!$A$1:$A1003)+1)</f>
        <v>3</v>
      </c>
      <c r="C77" s="20" t="str">
        <f aca="true">"Series "&amp;A77&amp;IF(B77=0,"","/"&amp;INDIRECT(ADDRESS(B77,1,1,TRUE(),"Seasons")))</f>
        <v>Series 15/Winter</v>
      </c>
      <c r="D77" s="17" t="n">
        <f aca="false">IF(B77=0,VLOOKUP(A77,Series!$A$2:B1003,2,FALSE()),D76+IF(B76=0,0,7))</f>
        <v>44917</v>
      </c>
      <c r="E77" s="8" t="n">
        <v>58</v>
      </c>
    </row>
    <row r="78" customFormat="false" ht="15.75" hidden="false" customHeight="false" outlineLevel="0" collapsed="false">
      <c r="A78" s="20" t="n">
        <f aca="false">FLOOR((ROW()+1)/(COUNTA(Seasons!$A$1:$A1003)+1),1)</f>
        <v>15</v>
      </c>
      <c r="B78" s="20" t="n">
        <f aca="false">MOD(ROW()+1,COUNTA(Seasons!$A$1:$A1003)+1)</f>
        <v>4</v>
      </c>
      <c r="C78" s="20" t="str">
        <f aca="true">"Series "&amp;A78&amp;IF(B78=0,"","/"&amp;INDIRECT(ADDRESS(B78,1,1,TRUE(),"Seasons")))</f>
        <v>Series 15/Spring</v>
      </c>
      <c r="D78" s="17" t="n">
        <f aca="false">IF(B78=0,VLOOKUP(A78,Series!$A$2:B1003,2,FALSE()),D77+IF(B77=0,0,7))</f>
        <v>44924</v>
      </c>
      <c r="E78" s="8" t="n">
        <v>58</v>
      </c>
    </row>
    <row r="79" customFormat="false" ht="15.75" hidden="false" customHeight="false" outlineLevel="0" collapsed="false">
      <c r="A79" s="20" t="n">
        <f aca="false">FLOOR((ROW()+1)/(COUNTA(Seasons!$A$1:$A1003)+1),1)</f>
        <v>16</v>
      </c>
      <c r="B79" s="20" t="n">
        <f aca="false">MOD(ROW()+1,COUNTA(Seasons!$A$1:$A1003)+1)</f>
        <v>0</v>
      </c>
      <c r="C79" s="20" t="str">
        <f aca="true">"Series "&amp;A79&amp;IF(B79=0,"","/"&amp;INDIRECT(ADDRESS(B79,1,1,TRUE(),"Seasons")))</f>
        <v>Series 16</v>
      </c>
      <c r="D79" s="17" t="n">
        <f aca="false">IF(B79=0,VLOOKUP(A79,Series!$A$2:B1003,2,FALSE()),D78+IF(B78=0,0,7))</f>
        <v>44931</v>
      </c>
      <c r="E79" s="8" t="n">
        <v>8</v>
      </c>
    </row>
    <row r="80" customFormat="false" ht="15.75" hidden="false" customHeight="false" outlineLevel="0" collapsed="false">
      <c r="A80" s="20" t="n">
        <f aca="false">FLOOR((ROW()+1)/(COUNTA(Seasons!$A$1:$A1003)+1),1)</f>
        <v>16</v>
      </c>
      <c r="B80" s="20" t="n">
        <f aca="false">MOD(ROW()+1,COUNTA(Seasons!$A$1:$A1003)+1)</f>
        <v>1</v>
      </c>
      <c r="C80" s="20" t="str">
        <f aca="true">"Series "&amp;A80&amp;IF(B80=0,"","/"&amp;INDIRECT(ADDRESS(B80,1,1,TRUE(),"Seasons")))</f>
        <v>Series 16/Summer</v>
      </c>
      <c r="D80" s="17" t="n">
        <f aca="false">IF(B80=0,VLOOKUP(A80,Series!$A$2:B1003,2,FALSE()),D79+IF(B79=0,0,7))</f>
        <v>44931</v>
      </c>
      <c r="E80" s="8" t="n">
        <v>58</v>
      </c>
    </row>
    <row r="81" customFormat="false" ht="15.75" hidden="false" customHeight="false" outlineLevel="0" collapsed="false">
      <c r="A81" s="20" t="n">
        <f aca="false">FLOOR((ROW()+1)/(COUNTA(Seasons!$A$1:$A1003)+1),1)</f>
        <v>16</v>
      </c>
      <c r="B81" s="20" t="n">
        <f aca="false">MOD(ROW()+1,COUNTA(Seasons!$A$1:$A1003)+1)</f>
        <v>2</v>
      </c>
      <c r="C81" s="20" t="str">
        <f aca="true">"Series "&amp;A81&amp;IF(B81=0,"","/"&amp;INDIRECT(ADDRESS(B81,1,1,TRUE(),"Seasons")))</f>
        <v>Series 16/Autumn</v>
      </c>
      <c r="D81" s="17" t="n">
        <f aca="false">IF(B81=0,VLOOKUP(A81,Series!$A$2:B1003,2,FALSE()),D80+IF(B80=0,0,7))</f>
        <v>44938</v>
      </c>
      <c r="E81" s="8" t="n">
        <v>58</v>
      </c>
    </row>
    <row r="82" customFormat="false" ht="15.75" hidden="false" customHeight="false" outlineLevel="0" collapsed="false">
      <c r="A82" s="20" t="n">
        <f aca="false">FLOOR((ROW()+1)/(COUNTA(Seasons!$A$1:$A1003)+1),1)</f>
        <v>16</v>
      </c>
      <c r="B82" s="20" t="n">
        <f aca="false">MOD(ROW()+1,COUNTA(Seasons!$A$1:$A1003)+1)</f>
        <v>3</v>
      </c>
      <c r="C82" s="20" t="str">
        <f aca="true">"Series "&amp;A82&amp;IF(B82=0,"","/"&amp;INDIRECT(ADDRESS(B82,1,1,TRUE(),"Seasons")))</f>
        <v>Series 16/Winter</v>
      </c>
      <c r="D82" s="17" t="n">
        <f aca="false">IF(B82=0,VLOOKUP(A82,Series!$A$2:B1003,2,FALSE()),D81+IF(B81=0,0,7))</f>
        <v>44945</v>
      </c>
      <c r="E82" s="8" t="n">
        <v>58</v>
      </c>
    </row>
    <row r="83" customFormat="false" ht="15.75" hidden="false" customHeight="false" outlineLevel="0" collapsed="false">
      <c r="A83" s="20" t="n">
        <f aca="false">FLOOR((ROW()+1)/(COUNTA(Seasons!$A$1:$A1003)+1),1)</f>
        <v>16</v>
      </c>
      <c r="B83" s="20" t="n">
        <f aca="false">MOD(ROW()+1,COUNTA(Seasons!$A$1:$A1003)+1)</f>
        <v>4</v>
      </c>
      <c r="C83" s="20" t="str">
        <f aca="true">"Series "&amp;A83&amp;IF(B83=0,"","/"&amp;INDIRECT(ADDRESS(B83,1,1,TRUE(),"Seasons")))</f>
        <v>Series 16/Spring</v>
      </c>
      <c r="D83" s="17" t="n">
        <f aca="false">IF(B83=0,VLOOKUP(A83,Series!$A$2:B1003,2,FALSE()),D82+IF(B82=0,0,7))</f>
        <v>44952</v>
      </c>
      <c r="E83" s="8" t="n">
        <v>58</v>
      </c>
    </row>
    <row r="84" customFormat="false" ht="15.75" hidden="false" customHeight="false" outlineLevel="0" collapsed="false">
      <c r="A84" s="20" t="n">
        <f aca="false">FLOOR((ROW()+1)/(COUNTA(Seasons!$A$1:$A1003)+1),1)</f>
        <v>17</v>
      </c>
      <c r="B84" s="20" t="n">
        <f aca="false">MOD(ROW()+1,COUNTA(Seasons!$A$1:$A1003)+1)</f>
        <v>0</v>
      </c>
      <c r="C84" s="20" t="str">
        <f aca="true">"Series "&amp;A84&amp;IF(B84=0,"","/"&amp;INDIRECT(ADDRESS(B84,1,1,TRUE(),"Seasons")))</f>
        <v>Series 17</v>
      </c>
      <c r="D84" s="17" t="n">
        <f aca="false">IF(B84=0,VLOOKUP(A84,Series!$A$2:B1003,2,FALSE()),D83+IF(B83=0,0,7))</f>
        <v>44959</v>
      </c>
      <c r="E84" s="8" t="n">
        <v>8</v>
      </c>
    </row>
    <row r="85" customFormat="false" ht="15.75" hidden="false" customHeight="false" outlineLevel="0" collapsed="false">
      <c r="A85" s="20" t="n">
        <f aca="false">FLOOR((ROW()+1)/(COUNTA(Seasons!$A$1:$A1003)+1),1)</f>
        <v>17</v>
      </c>
      <c r="B85" s="20" t="n">
        <f aca="false">MOD(ROW()+1,COUNTA(Seasons!$A$1:$A1003)+1)</f>
        <v>1</v>
      </c>
      <c r="C85" s="20" t="str">
        <f aca="true">"Series "&amp;A85&amp;IF(B85=0,"","/"&amp;INDIRECT(ADDRESS(B85,1,1,TRUE(),"Seasons")))</f>
        <v>Series 17/Summer</v>
      </c>
      <c r="D85" s="17" t="n">
        <f aca="false">IF(B85=0,VLOOKUP(A85,Series!$A$2:B1003,2,FALSE()),D84+IF(B84=0,0,7))</f>
        <v>44959</v>
      </c>
      <c r="E85" s="8" t="n">
        <v>59</v>
      </c>
    </row>
    <row r="86" customFormat="false" ht="15.75" hidden="false" customHeight="false" outlineLevel="0" collapsed="false">
      <c r="A86" s="20" t="n">
        <f aca="false">FLOOR((ROW()+1)/(COUNTA(Seasons!$A$1:$A1003)+1),1)</f>
        <v>17</v>
      </c>
      <c r="B86" s="20" t="n">
        <f aca="false">MOD(ROW()+1,COUNTA(Seasons!$A$1:$A1003)+1)</f>
        <v>2</v>
      </c>
      <c r="C86" s="20" t="str">
        <f aca="true">"Series "&amp;A86&amp;IF(B86=0,"","/"&amp;INDIRECT(ADDRESS(B86,1,1,TRUE(),"Seasons")))</f>
        <v>Series 17/Autumn</v>
      </c>
      <c r="D86" s="17" t="n">
        <f aca="false">IF(B86=0,VLOOKUP(A86,Series!$A$2:B1003,2,FALSE()),D85+IF(B85=0,0,7))</f>
        <v>44966</v>
      </c>
      <c r="E86" s="8" t="n">
        <v>59</v>
      </c>
    </row>
    <row r="87" customFormat="false" ht="15.75" hidden="false" customHeight="false" outlineLevel="0" collapsed="false">
      <c r="A87" s="20" t="n">
        <f aca="false">FLOOR((ROW()+1)/(COUNTA(Seasons!$A$1:$A1003)+1),1)</f>
        <v>17</v>
      </c>
      <c r="B87" s="20" t="n">
        <f aca="false">MOD(ROW()+1,COUNTA(Seasons!$A$1:$A1003)+1)</f>
        <v>3</v>
      </c>
      <c r="C87" s="20" t="str">
        <f aca="true">"Series "&amp;A87&amp;IF(B87=0,"","/"&amp;INDIRECT(ADDRESS(B87,1,1,TRUE(),"Seasons")))</f>
        <v>Series 17/Winter</v>
      </c>
      <c r="D87" s="17" t="n">
        <f aca="false">IF(B87=0,VLOOKUP(A87,Series!$A$2:B1003,2,FALSE()),D86+IF(B86=0,0,7))</f>
        <v>44973</v>
      </c>
      <c r="E87" s="8" t="n">
        <v>59</v>
      </c>
    </row>
    <row r="88" customFormat="false" ht="15.75" hidden="false" customHeight="false" outlineLevel="0" collapsed="false">
      <c r="A88" s="20" t="n">
        <f aca="false">FLOOR((ROW()+1)/(COUNTA(Seasons!$A$1:$A1003)+1),1)</f>
        <v>17</v>
      </c>
      <c r="B88" s="20" t="n">
        <f aca="false">MOD(ROW()+1,COUNTA(Seasons!$A$1:$A1003)+1)</f>
        <v>4</v>
      </c>
      <c r="C88" s="20" t="str">
        <f aca="true">"Series "&amp;A88&amp;IF(B88=0,"","/"&amp;INDIRECT(ADDRESS(B88,1,1,TRUE(),"Seasons")))</f>
        <v>Series 17/Spring</v>
      </c>
      <c r="D88" s="17" t="n">
        <f aca="false">IF(B88=0,VLOOKUP(A88,Series!$A$2:B1003,2,FALSE()),D87+IF(B87=0,0,7))</f>
        <v>44980</v>
      </c>
      <c r="E88" s="8" t="n">
        <v>59</v>
      </c>
    </row>
    <row r="89" customFormat="false" ht="15.75" hidden="false" customHeight="false" outlineLevel="0" collapsed="false">
      <c r="A89" s="20" t="n">
        <f aca="false">FLOOR((ROW()+1)/(COUNTA(Seasons!$A$1:$A1003)+1),1)</f>
        <v>18</v>
      </c>
      <c r="B89" s="20" t="n">
        <f aca="false">MOD(ROW()+1,COUNTA(Seasons!$A$1:$A1003)+1)</f>
        <v>0</v>
      </c>
      <c r="C89" s="20" t="str">
        <f aca="true">"Series "&amp;A89&amp;IF(B89=0,"","/"&amp;INDIRECT(ADDRESS(B89,1,1,TRUE(),"Seasons")))</f>
        <v>Series 18</v>
      </c>
      <c r="D89" s="17" t="n">
        <f aca="false">IF(B89=0,VLOOKUP(A89,Series!$A$2:B1003,2,FALSE()),D88+IF(B88=0,0,7))</f>
        <v>44987</v>
      </c>
      <c r="E89" s="8" t="n">
        <v>8</v>
      </c>
    </row>
    <row r="90" customFormat="false" ht="15.75" hidden="false" customHeight="false" outlineLevel="0" collapsed="false">
      <c r="A90" s="20" t="n">
        <f aca="false">FLOOR((ROW()+1)/(COUNTA(Seasons!$A$1:$A1003)+1),1)</f>
        <v>18</v>
      </c>
      <c r="B90" s="20" t="n">
        <f aca="false">MOD(ROW()+1,COUNTA(Seasons!$A$1:$A1003)+1)</f>
        <v>1</v>
      </c>
      <c r="C90" s="20" t="str">
        <f aca="true">"Series "&amp;A90&amp;IF(B90=0,"","/"&amp;INDIRECT(ADDRESS(B90,1,1,TRUE(),"Seasons")))</f>
        <v>Series 18/Summer</v>
      </c>
      <c r="D90" s="17" t="n">
        <f aca="false">IF(B90=0,VLOOKUP(A90,Series!$A$2:B1003,2,FALSE()),D89+IF(B89=0,0,7))</f>
        <v>44987</v>
      </c>
      <c r="E90" s="8" t="n">
        <v>61</v>
      </c>
    </row>
    <row r="91" customFormat="false" ht="15.75" hidden="false" customHeight="false" outlineLevel="0" collapsed="false">
      <c r="A91" s="20" t="n">
        <f aca="false">FLOOR((ROW()+1)/(COUNTA(Seasons!$A$1:$A1003)+1),1)</f>
        <v>18</v>
      </c>
      <c r="B91" s="20" t="n">
        <f aca="false">MOD(ROW()+1,COUNTA(Seasons!$A$1:$A1003)+1)</f>
        <v>2</v>
      </c>
      <c r="C91" s="20" t="str">
        <f aca="true">"Series "&amp;A91&amp;IF(B91=0,"","/"&amp;INDIRECT(ADDRESS(B91,1,1,TRUE(),"Seasons")))</f>
        <v>Series 18/Autumn</v>
      </c>
      <c r="D91" s="17" t="n">
        <f aca="false">IF(B91=0,VLOOKUP(A91,Series!$A$2:B1003,2,FALSE()),D90+IF(B90=0,0,7))</f>
        <v>44994</v>
      </c>
      <c r="E91" s="8" t="n">
        <v>61</v>
      </c>
    </row>
    <row r="92" customFormat="false" ht="15.75" hidden="false" customHeight="false" outlineLevel="0" collapsed="false">
      <c r="A92" s="20" t="n">
        <f aca="false">FLOOR((ROW()+1)/(COUNTA(Seasons!$A$1:$A1003)+1),1)</f>
        <v>18</v>
      </c>
      <c r="B92" s="20" t="n">
        <f aca="false">MOD(ROW()+1,COUNTA(Seasons!$A$1:$A1003)+1)</f>
        <v>3</v>
      </c>
      <c r="C92" s="20" t="str">
        <f aca="true">"Series "&amp;A92&amp;IF(B92=0,"","/"&amp;INDIRECT(ADDRESS(B92,1,1,TRUE(),"Seasons")))</f>
        <v>Series 18/Winter</v>
      </c>
      <c r="D92" s="17" t="n">
        <f aca="false">IF(B92=0,VLOOKUP(A92,Series!$A$2:B1003,2,FALSE()),D91+IF(B91=0,0,7))</f>
        <v>45001</v>
      </c>
      <c r="E92" s="8" t="n">
        <v>61</v>
      </c>
    </row>
    <row r="93" customFormat="false" ht="15.75" hidden="false" customHeight="false" outlineLevel="0" collapsed="false">
      <c r="A93" s="20" t="n">
        <f aca="false">FLOOR((ROW()+1)/(COUNTA(Seasons!$A$1:$A1003)+1),1)</f>
        <v>18</v>
      </c>
      <c r="B93" s="20" t="n">
        <f aca="false">MOD(ROW()+1,COUNTA(Seasons!$A$1:$A1003)+1)</f>
        <v>4</v>
      </c>
      <c r="C93" s="20" t="str">
        <f aca="true">"Series "&amp;A93&amp;IF(B93=0,"","/"&amp;INDIRECT(ADDRESS(B93,1,1,TRUE(),"Seasons")))</f>
        <v>Series 18/Spring</v>
      </c>
      <c r="D93" s="17" t="n">
        <f aca="false">IF(B93=0,VLOOKUP(A93,Series!$A$2:B1003,2,FALSE()),D92+IF(B92=0,0,7))</f>
        <v>45008</v>
      </c>
      <c r="E93" s="8" t="n">
        <v>61</v>
      </c>
    </row>
    <row r="94" customFormat="false" ht="15.75" hidden="false" customHeight="false" outlineLevel="0" collapsed="false">
      <c r="A94" s="20" t="n">
        <f aca="false">FLOOR((ROW()+1)/(COUNTA(Seasons!$A$1:$A1003)+1),1)</f>
        <v>19</v>
      </c>
      <c r="B94" s="20" t="n">
        <f aca="false">MOD(ROW()+1,COUNTA(Seasons!$A$1:$A1003)+1)</f>
        <v>0</v>
      </c>
      <c r="C94" s="20" t="str">
        <f aca="true">"Series "&amp;A94&amp;IF(B94=0,"","/"&amp;INDIRECT(ADDRESS(B94,1,1,TRUE(),"Seasons")))</f>
        <v>Series 19</v>
      </c>
      <c r="D94" s="17" t="n">
        <f aca="false">IF(B94=0,VLOOKUP(A94,Series!$A$2:B1003,2,FALSE()),D93+IF(B93=0,0,7))</f>
        <v>45015</v>
      </c>
      <c r="E94" s="8" t="n">
        <v>8</v>
      </c>
    </row>
    <row r="95" customFormat="false" ht="15.75" hidden="false" customHeight="false" outlineLevel="0" collapsed="false">
      <c r="A95" s="20" t="n">
        <f aca="false">FLOOR((ROW()+1)/(COUNTA(Seasons!$A$1:$A1003)+1),1)</f>
        <v>19</v>
      </c>
      <c r="B95" s="20" t="n">
        <f aca="false">MOD(ROW()+1,COUNTA(Seasons!$A$1:$A1003)+1)</f>
        <v>1</v>
      </c>
      <c r="C95" s="20" t="str">
        <f aca="true">"Series "&amp;A95&amp;IF(B95=0,"","/"&amp;INDIRECT(ADDRESS(B95,1,1,TRUE(),"Seasons")))</f>
        <v>Series 19/Summer</v>
      </c>
      <c r="D95" s="17" t="n">
        <f aca="false">IF(B95=0,VLOOKUP(A95,Series!$A$2:B1003,2,FALSE()),D94+IF(B94=0,0,7))</f>
        <v>45015</v>
      </c>
      <c r="E95" s="8" t="n">
        <v>68</v>
      </c>
    </row>
    <row r="96" customFormat="false" ht="15.75" hidden="false" customHeight="false" outlineLevel="0" collapsed="false">
      <c r="A96" s="20" t="n">
        <f aca="false">FLOOR((ROW()+1)/(COUNTA(Seasons!$A$1:$A1003)+1),1)</f>
        <v>19</v>
      </c>
      <c r="B96" s="20" t="n">
        <f aca="false">MOD(ROW()+1,COUNTA(Seasons!$A$1:$A1003)+1)</f>
        <v>2</v>
      </c>
      <c r="C96" s="20" t="str">
        <f aca="true">"Series "&amp;A96&amp;IF(B96=0,"","/"&amp;INDIRECT(ADDRESS(B96,1,1,TRUE(),"Seasons")))</f>
        <v>Series 19/Autumn</v>
      </c>
      <c r="D96" s="17" t="n">
        <f aca="false">IF(B96=0,VLOOKUP(A96,Series!$A$2:B1003,2,FALSE()),D95+IF(B95=0,0,7))</f>
        <v>45022</v>
      </c>
      <c r="E96" s="8" t="n">
        <v>68</v>
      </c>
    </row>
    <row r="97" customFormat="false" ht="15.75" hidden="false" customHeight="false" outlineLevel="0" collapsed="false">
      <c r="A97" s="20" t="n">
        <f aca="false">FLOOR((ROW()+1)/(COUNTA(Seasons!$A$1:$A1003)+1),1)</f>
        <v>19</v>
      </c>
      <c r="B97" s="20" t="n">
        <f aca="false">MOD(ROW()+1,COUNTA(Seasons!$A$1:$A1003)+1)</f>
        <v>3</v>
      </c>
      <c r="C97" s="20" t="str">
        <f aca="true">"Series "&amp;A97&amp;IF(B97=0,"","/"&amp;INDIRECT(ADDRESS(B97,1,1,TRUE(),"Seasons")))</f>
        <v>Series 19/Winter</v>
      </c>
      <c r="D97" s="17" t="n">
        <f aca="false">IF(B97=0,VLOOKUP(A97,Series!$A$2:B1003,2,FALSE()),D96+IF(B96=0,0,7))</f>
        <v>45029</v>
      </c>
      <c r="E97" s="8" t="n">
        <v>68</v>
      </c>
    </row>
    <row r="98" customFormat="false" ht="15.75" hidden="false" customHeight="false" outlineLevel="0" collapsed="false">
      <c r="A98" s="20" t="n">
        <f aca="false">FLOOR((ROW()+1)/(COUNTA(Seasons!$A$1:$A1003)+1),1)</f>
        <v>19</v>
      </c>
      <c r="B98" s="20" t="n">
        <f aca="false">MOD(ROW()+1,COUNTA(Seasons!$A$1:$A1003)+1)</f>
        <v>4</v>
      </c>
      <c r="C98" s="20" t="str">
        <f aca="true">"Series "&amp;A98&amp;IF(B98=0,"","/"&amp;INDIRECT(ADDRESS(B98,1,1,TRUE(),"Seasons")))</f>
        <v>Series 19/Spring</v>
      </c>
      <c r="D98" s="17" t="n">
        <f aca="false">IF(B98=0,VLOOKUP(A98,Series!$A$2:B1003,2,FALSE()),D97+IF(B97=0,0,7))</f>
        <v>45036</v>
      </c>
      <c r="E98" s="8" t="n">
        <v>68</v>
      </c>
    </row>
    <row r="99" customFormat="false" ht="15.75" hidden="false" customHeight="false" outlineLevel="0" collapsed="false">
      <c r="A99" s="20" t="n">
        <f aca="false">FLOOR((ROW()+1)/(COUNTA(Seasons!$A$1:$A1003)+1),1)</f>
        <v>20</v>
      </c>
      <c r="B99" s="20" t="n">
        <f aca="false">MOD(ROW()+1,COUNTA(Seasons!$A$1:$A1003)+1)</f>
        <v>0</v>
      </c>
      <c r="C99" s="20" t="str">
        <f aca="true">"Series "&amp;A99&amp;IF(B99=0,"","/"&amp;INDIRECT(ADDRESS(B99,1,1,TRUE(),"Seasons")))</f>
        <v>Series 20</v>
      </c>
      <c r="D99" s="17" t="n">
        <f aca="false">IF(B99=0,VLOOKUP(A99,Series!$A$2:B1003,2,FALSE()),D98+IF(B98=0,0,7))</f>
        <v>45043</v>
      </c>
      <c r="E99" s="8" t="n">
        <v>8</v>
      </c>
    </row>
    <row r="100" customFormat="false" ht="15.75" hidden="false" customHeight="false" outlineLevel="0" collapsed="false">
      <c r="A100" s="20" t="n">
        <f aca="false">FLOOR((ROW()+1)/(COUNTA(Seasons!$A$1:$A1003)+1),1)</f>
        <v>20</v>
      </c>
      <c r="B100" s="20" t="n">
        <f aca="false">MOD(ROW()+1,COUNTA(Seasons!$A$1:$A1003)+1)</f>
        <v>1</v>
      </c>
      <c r="C100" s="20" t="str">
        <f aca="true">"Series "&amp;A100&amp;IF(B100=0,"","/"&amp;INDIRECT(ADDRESS(B100,1,1,TRUE(),"Seasons")))</f>
        <v>Series 20/Summer</v>
      </c>
      <c r="D100" s="17" t="n">
        <f aca="false">IF(B100=0,VLOOKUP(A100,Series!$A$2:B1003,2,FALSE()),D99+IF(B99=0,0,7))</f>
        <v>45043</v>
      </c>
      <c r="E100" s="8" t="n">
        <v>68</v>
      </c>
    </row>
    <row r="101" customFormat="false" ht="15.75" hidden="false" customHeight="false" outlineLevel="0" collapsed="false">
      <c r="A101" s="20" t="n">
        <f aca="false">FLOOR((ROW()+1)/(COUNTA(Seasons!$A$1:$A1003)+1),1)</f>
        <v>20</v>
      </c>
      <c r="B101" s="20" t="n">
        <f aca="false">MOD(ROW()+1,COUNTA(Seasons!$A$1:$A1003)+1)</f>
        <v>2</v>
      </c>
      <c r="C101" s="20" t="str">
        <f aca="true">"Series "&amp;A101&amp;IF(B101=0,"","/"&amp;INDIRECT(ADDRESS(B101,1,1,TRUE(),"Seasons")))</f>
        <v>Series 20/Autumn</v>
      </c>
      <c r="D101" s="17" t="n">
        <f aca="false">IF(B101=0,VLOOKUP(A101,Series!$A$2:B1003,2,FALSE()),D100+IF(B100=0,0,7))</f>
        <v>45050</v>
      </c>
      <c r="E101" s="8" t="n">
        <v>68</v>
      </c>
    </row>
    <row r="102" customFormat="false" ht="15.75" hidden="false" customHeight="false" outlineLevel="0" collapsed="false">
      <c r="A102" s="20" t="n">
        <f aca="false">FLOOR((ROW()+1)/(COUNTA(Seasons!$A$1:$A1003)+1),1)</f>
        <v>20</v>
      </c>
      <c r="B102" s="20" t="n">
        <f aca="false">MOD(ROW()+1,COUNTA(Seasons!$A$1:$A1003)+1)</f>
        <v>3</v>
      </c>
      <c r="C102" s="20" t="str">
        <f aca="true">"Series "&amp;A102&amp;IF(B102=0,"","/"&amp;INDIRECT(ADDRESS(B102,1,1,TRUE(),"Seasons")))</f>
        <v>Series 20/Winter</v>
      </c>
      <c r="D102" s="17" t="n">
        <f aca="false">IF(B102=0,VLOOKUP(A102,Series!$A$2:B1003,2,FALSE()),D101+IF(B101=0,0,7))</f>
        <v>45057</v>
      </c>
      <c r="E102" s="8" t="n">
        <v>68</v>
      </c>
    </row>
    <row r="103" customFormat="false" ht="15.75" hidden="false" customHeight="false" outlineLevel="0" collapsed="false">
      <c r="A103" s="20" t="n">
        <f aca="false">FLOOR((ROW()+1)/(COUNTA(Seasons!$A$1:$A1003)+1),1)</f>
        <v>20</v>
      </c>
      <c r="B103" s="20" t="n">
        <f aca="false">MOD(ROW()+1,COUNTA(Seasons!$A$1:$A1003)+1)</f>
        <v>4</v>
      </c>
      <c r="C103" s="20" t="str">
        <f aca="true">"Series "&amp;A103&amp;IF(B103=0,"","/"&amp;INDIRECT(ADDRESS(B103,1,1,TRUE(),"Seasons")))</f>
        <v>Series 20/Spring</v>
      </c>
      <c r="D103" s="17" t="n">
        <f aca="false">IF(B103=0,VLOOKUP(A103,Series!$A$2:B1003,2,FALSE()),D102+IF(B102=0,0,7))</f>
        <v>45064</v>
      </c>
      <c r="E103" s="8" t="n">
        <v>68</v>
      </c>
    </row>
    <row r="104" customFormat="false" ht="15.75" hidden="false" customHeight="false" outlineLevel="0" collapsed="false">
      <c r="A104" s="20" t="n">
        <f aca="false">FLOOR((ROW()+1)/(COUNTA(Seasons!$A$1:$A1003)+1),1)</f>
        <v>21</v>
      </c>
      <c r="B104" s="20" t="n">
        <f aca="false">MOD(ROW()+1,COUNTA(Seasons!$A$1:$A1003)+1)</f>
        <v>0</v>
      </c>
      <c r="C104" s="20" t="str">
        <f aca="true">"Series "&amp;A104&amp;IF(B104=0,"","/"&amp;INDIRECT(ADDRESS(B104,1,1,TRUE(),"Seasons")))</f>
        <v>Series 21</v>
      </c>
      <c r="D104" s="17" t="n">
        <f aca="false">IF(B104=0,VLOOKUP(A104,Series!$A$2:B1003,2,FALSE()),D103+IF(B103=0,0,7))</f>
        <v>45071</v>
      </c>
      <c r="E104" s="8" t="n">
        <v>8</v>
      </c>
    </row>
    <row r="105" customFormat="false" ht="15.75" hidden="false" customHeight="false" outlineLevel="0" collapsed="false">
      <c r="A105" s="20" t="n">
        <f aca="false">FLOOR((ROW()+1)/(COUNTA(Seasons!$A$1:$A1003)+1),1)</f>
        <v>21</v>
      </c>
      <c r="B105" s="20" t="n">
        <f aca="false">MOD(ROW()+1,COUNTA(Seasons!$A$1:$A1003)+1)</f>
        <v>1</v>
      </c>
      <c r="C105" s="20" t="str">
        <f aca="true">"Series "&amp;A105&amp;IF(B105=0,"","/"&amp;INDIRECT(ADDRESS(B105,1,1,TRUE(),"Seasons")))</f>
        <v>Series 21/Summer</v>
      </c>
      <c r="D105" s="17" t="n">
        <f aca="false">IF(B105=0,VLOOKUP(A105,Series!$A$2:B1003,2,FALSE()),D104+IF(B104=0,0,7))</f>
        <v>45071</v>
      </c>
      <c r="E105" s="8" t="n">
        <v>66</v>
      </c>
    </row>
    <row r="106" customFormat="false" ht="15.75" hidden="false" customHeight="false" outlineLevel="0" collapsed="false">
      <c r="A106" s="20" t="n">
        <f aca="false">FLOOR((ROW()+1)/(COUNTA(Seasons!$A$1:$A1003)+1),1)</f>
        <v>21</v>
      </c>
      <c r="B106" s="20" t="n">
        <f aca="false">MOD(ROW()+1,COUNTA(Seasons!$A$1:$A1003)+1)</f>
        <v>2</v>
      </c>
      <c r="C106" s="20" t="str">
        <f aca="true">"Series "&amp;A106&amp;IF(B106=0,"","/"&amp;INDIRECT(ADDRESS(B106,1,1,TRUE(),"Seasons")))</f>
        <v>Series 21/Autumn</v>
      </c>
      <c r="D106" s="17" t="n">
        <f aca="false">IF(B106=0,VLOOKUP(A106,Series!$A$2:B1003,2,FALSE()),D105+IF(B105=0,0,7))</f>
        <v>45078</v>
      </c>
      <c r="E106" s="8" t="n">
        <v>66</v>
      </c>
    </row>
    <row r="107" customFormat="false" ht="15.75" hidden="false" customHeight="false" outlineLevel="0" collapsed="false">
      <c r="A107" s="20" t="n">
        <f aca="false">FLOOR((ROW()+1)/(COUNTA(Seasons!$A$1:$A1003)+1),1)</f>
        <v>21</v>
      </c>
      <c r="B107" s="20" t="n">
        <f aca="false">MOD(ROW()+1,COUNTA(Seasons!$A$1:$A1003)+1)</f>
        <v>3</v>
      </c>
      <c r="C107" s="20" t="str">
        <f aca="true">"Series "&amp;A107&amp;IF(B107=0,"","/"&amp;INDIRECT(ADDRESS(B107,1,1,TRUE(),"Seasons")))</f>
        <v>Series 21/Winter</v>
      </c>
      <c r="D107" s="17" t="n">
        <f aca="false">IF(B107=0,VLOOKUP(A107,Series!$A$2:B1003,2,FALSE()),D106+IF(B106=0,0,7))</f>
        <v>45085</v>
      </c>
      <c r="E107" s="8" t="n">
        <v>66</v>
      </c>
    </row>
    <row r="108" customFormat="false" ht="15.75" hidden="false" customHeight="false" outlineLevel="0" collapsed="false">
      <c r="A108" s="20" t="n">
        <f aca="false">FLOOR((ROW()+1)/(COUNTA(Seasons!$A$1:$A1003)+1),1)</f>
        <v>21</v>
      </c>
      <c r="B108" s="20" t="n">
        <f aca="false">MOD(ROW()+1,COUNTA(Seasons!$A$1:$A1003)+1)</f>
        <v>4</v>
      </c>
      <c r="C108" s="20" t="str">
        <f aca="true">"Series "&amp;A108&amp;IF(B108=0,"","/"&amp;INDIRECT(ADDRESS(B108,1,1,TRUE(),"Seasons")))</f>
        <v>Series 21/Spring</v>
      </c>
      <c r="D108" s="17" t="n">
        <f aca="false">IF(B108=0,VLOOKUP(A108,Series!$A$2:B1003,2,FALSE()),D107+IF(B107=0,0,7))</f>
        <v>45092</v>
      </c>
      <c r="E108" s="8" t="n">
        <v>66</v>
      </c>
    </row>
    <row r="109" customFormat="false" ht="15.75" hidden="false" customHeight="false" outlineLevel="0" collapsed="false">
      <c r="A109" s="20" t="n">
        <f aca="false">FLOOR((ROW()+1)/(COUNTA(Seasons!$A$1:$A1003)+1),1)</f>
        <v>22</v>
      </c>
      <c r="B109" s="20" t="n">
        <f aca="false">MOD(ROW()+1,COUNTA(Seasons!$A$1:$A1003)+1)</f>
        <v>0</v>
      </c>
      <c r="C109" s="20" t="str">
        <f aca="true">"Series "&amp;A109&amp;IF(B109=0,"","/"&amp;INDIRECT(ADDRESS(B109,1,1,TRUE(),"Seasons")))</f>
        <v>Series 22</v>
      </c>
      <c r="D109" s="17" t="n">
        <f aca="false">IF(B109=0,VLOOKUP(A109,Series!$A$2:B1003,2,FALSE()),D108+IF(B108=0,0,7))</f>
        <v>45099</v>
      </c>
      <c r="E109" s="8" t="n">
        <v>32</v>
      </c>
    </row>
    <row r="110" customFormat="false" ht="15.75" hidden="false" customHeight="false" outlineLevel="0" collapsed="false">
      <c r="A110" s="20" t="n">
        <f aca="false">FLOOR((ROW()+1)/(COUNTA(Seasons!$A$1:$A1003)+1),1)</f>
        <v>22</v>
      </c>
      <c r="B110" s="20" t="n">
        <f aca="false">MOD(ROW()+1,COUNTA(Seasons!$A$1:$A1003)+1)</f>
        <v>1</v>
      </c>
      <c r="C110" s="20" t="str">
        <f aca="true">"Series "&amp;A110&amp;IF(B110=0,"","/"&amp;INDIRECT(ADDRESS(B110,1,1,TRUE(),"Seasons")))</f>
        <v>Series 22/Summer</v>
      </c>
      <c r="D110" s="17" t="n">
        <f aca="false">IF(B110=0,VLOOKUP(A110,Series!$A$2:B1003,2,FALSE()),D109+IF(B109=0,0,7))</f>
        <v>45099</v>
      </c>
      <c r="E110" s="8" t="n">
        <v>68</v>
      </c>
    </row>
    <row r="111" customFormat="false" ht="15.75" hidden="false" customHeight="false" outlineLevel="0" collapsed="false">
      <c r="A111" s="20" t="n">
        <f aca="false">FLOOR((ROW()+1)/(COUNTA(Seasons!$A$1:$A1003)+1),1)</f>
        <v>22</v>
      </c>
      <c r="B111" s="20" t="n">
        <f aca="false">MOD(ROW()+1,COUNTA(Seasons!$A$1:$A1003)+1)</f>
        <v>2</v>
      </c>
      <c r="C111" s="20" t="str">
        <f aca="true">"Series "&amp;A111&amp;IF(B111=0,"","/"&amp;INDIRECT(ADDRESS(B111,1,1,TRUE(),"Seasons")))</f>
        <v>Series 22/Autumn</v>
      </c>
      <c r="D111" s="17" t="n">
        <f aca="false">IF(B111=0,VLOOKUP(A111,Series!$A$2:B1003,2,FALSE()),D110+IF(B110=0,0,7))</f>
        <v>45106</v>
      </c>
      <c r="E111" s="8" t="n">
        <v>68</v>
      </c>
    </row>
    <row r="112" customFormat="false" ht="15.75" hidden="false" customHeight="false" outlineLevel="0" collapsed="false">
      <c r="A112" s="20" t="n">
        <f aca="false">FLOOR((ROW()+1)/(COUNTA(Seasons!$A$1:$A1003)+1),1)</f>
        <v>22</v>
      </c>
      <c r="B112" s="20" t="n">
        <f aca="false">MOD(ROW()+1,COUNTA(Seasons!$A$1:$A1003)+1)</f>
        <v>3</v>
      </c>
      <c r="C112" s="20" t="str">
        <f aca="true">"Series "&amp;A112&amp;IF(B112=0,"","/"&amp;INDIRECT(ADDRESS(B112,1,1,TRUE(),"Seasons")))</f>
        <v>Series 22/Winter</v>
      </c>
      <c r="D112" s="17" t="n">
        <f aca="false">IF(B112=0,VLOOKUP(A112,Series!$A$2:B1003,2,FALSE()),D111+IF(B111=0,0,7))</f>
        <v>45113</v>
      </c>
      <c r="E112" s="8" t="n">
        <v>68</v>
      </c>
    </row>
    <row r="113" customFormat="false" ht="15.75" hidden="false" customHeight="false" outlineLevel="0" collapsed="false">
      <c r="A113" s="20" t="n">
        <f aca="false">FLOOR((ROW()+1)/(COUNTA(Seasons!$A$1:$A1003)+1),1)</f>
        <v>22</v>
      </c>
      <c r="B113" s="20" t="n">
        <f aca="false">MOD(ROW()+1,COUNTA(Seasons!$A$1:$A1003)+1)</f>
        <v>4</v>
      </c>
      <c r="C113" s="20" t="str">
        <f aca="true">"Series "&amp;A113&amp;IF(B113=0,"","/"&amp;INDIRECT(ADDRESS(B113,1,1,TRUE(),"Seasons")))</f>
        <v>Series 22/Spring</v>
      </c>
      <c r="D113" s="17" t="n">
        <f aca="false">IF(B113=0,VLOOKUP(A113,Series!$A$2:B1003,2,FALSE()),D112+IF(B112=0,0,7))</f>
        <v>45120</v>
      </c>
      <c r="E113" s="8" t="n">
        <v>68</v>
      </c>
    </row>
    <row r="114" customFormat="false" ht="15.75" hidden="false" customHeight="false" outlineLevel="0" collapsed="false">
      <c r="A114" s="20" t="n">
        <f aca="false">FLOOR((ROW()+1)/(COUNTA(Seasons!$A$1:$A1003)+1),1)</f>
        <v>23</v>
      </c>
      <c r="B114" s="20" t="n">
        <f aca="false">MOD(ROW()+1,COUNTA(Seasons!$A$1:$A1003)+1)</f>
        <v>0</v>
      </c>
      <c r="C114" s="20" t="str">
        <f aca="true">"Series "&amp;A114&amp;IF(B114=0,"","/"&amp;INDIRECT(ADDRESS(B114,1,1,TRUE(),"Seasons")))</f>
        <v>Series 23</v>
      </c>
      <c r="D114" s="17" t="n">
        <f aca="false">IF(B114=0,VLOOKUP(A114,Series!$A$2:B1003,2,FALSE()),D113+IF(B113=0,0,7))</f>
        <v>45127</v>
      </c>
      <c r="E114" s="8" t="n">
        <v>20</v>
      </c>
    </row>
    <row r="115" customFormat="false" ht="15.75" hidden="false" customHeight="false" outlineLevel="0" collapsed="false">
      <c r="A115" s="20" t="n">
        <f aca="false">FLOOR((ROW()+1)/(COUNTA(Seasons!$A$1:$A1003)+1),1)</f>
        <v>23</v>
      </c>
      <c r="B115" s="20" t="n">
        <f aca="false">MOD(ROW()+1,COUNTA(Seasons!$A$1:$A1003)+1)</f>
        <v>1</v>
      </c>
      <c r="C115" s="20" t="str">
        <f aca="true">"Series "&amp;A115&amp;IF(B115=0,"","/"&amp;INDIRECT(ADDRESS(B115,1,1,TRUE(),"Seasons")))</f>
        <v>Series 23/Summer</v>
      </c>
      <c r="D115" s="17" t="n">
        <f aca="false">IF(B115=0,VLOOKUP(A115,Series!$A$2:B1003,2,FALSE()),D114+IF(B114=0,0,7))</f>
        <v>45127</v>
      </c>
      <c r="E115" s="8" t="n">
        <v>68</v>
      </c>
    </row>
    <row r="116" customFormat="false" ht="15.75" hidden="false" customHeight="false" outlineLevel="0" collapsed="false">
      <c r="A116" s="20" t="n">
        <f aca="false">FLOOR((ROW()+1)/(COUNTA(Seasons!$A$1:$A1003)+1),1)</f>
        <v>23</v>
      </c>
      <c r="B116" s="20" t="n">
        <f aca="false">MOD(ROW()+1,COUNTA(Seasons!$A$1:$A1003)+1)</f>
        <v>2</v>
      </c>
      <c r="C116" s="20" t="str">
        <f aca="true">"Series "&amp;A116&amp;IF(B116=0,"","/"&amp;INDIRECT(ADDRESS(B116,1,1,TRUE(),"Seasons")))</f>
        <v>Series 23/Autumn</v>
      </c>
      <c r="D116" s="17" t="n">
        <f aca="false">IF(B116=0,VLOOKUP(A116,Series!$A$2:B1003,2,FALSE()),D115+IF(B115=0,0,7))</f>
        <v>45134</v>
      </c>
      <c r="E116" s="8" t="n">
        <v>68</v>
      </c>
    </row>
    <row r="117" customFormat="false" ht="15.75" hidden="false" customHeight="false" outlineLevel="0" collapsed="false">
      <c r="A117" s="20" t="n">
        <f aca="false">FLOOR((ROW()+1)/(COUNTA(Seasons!$A$1:$A1003)+1),1)</f>
        <v>23</v>
      </c>
      <c r="B117" s="20" t="n">
        <f aca="false">MOD(ROW()+1,COUNTA(Seasons!$A$1:$A1003)+1)</f>
        <v>3</v>
      </c>
      <c r="C117" s="20" t="str">
        <f aca="true">"Series "&amp;A117&amp;IF(B117=0,"","/"&amp;INDIRECT(ADDRESS(B117,1,1,TRUE(),"Seasons")))</f>
        <v>Series 23/Winter</v>
      </c>
      <c r="D117" s="17" t="n">
        <f aca="false">IF(B117=0,VLOOKUP(A117,Series!$A$2:B1003,2,FALSE()),D116+IF(B116=0,0,7))</f>
        <v>45141</v>
      </c>
      <c r="E117" s="8" t="n">
        <v>68</v>
      </c>
    </row>
    <row r="118" customFormat="false" ht="15.75" hidden="false" customHeight="false" outlineLevel="0" collapsed="false">
      <c r="A118" s="20" t="n">
        <f aca="false">FLOOR((ROW()+1)/(COUNTA(Seasons!$A$1:$A1003)+1),1)</f>
        <v>23</v>
      </c>
      <c r="B118" s="20" t="n">
        <f aca="false">MOD(ROW()+1,COUNTA(Seasons!$A$1:$A1003)+1)</f>
        <v>4</v>
      </c>
      <c r="C118" s="20" t="str">
        <f aca="true">"Series "&amp;A118&amp;IF(B118=0,"","/"&amp;INDIRECT(ADDRESS(B118,1,1,TRUE(),"Seasons")))</f>
        <v>Series 23/Spring</v>
      </c>
      <c r="D118" s="17" t="n">
        <f aca="false">IF(B118=0,VLOOKUP(A118,Series!$A$2:B1003,2,FALSE()),D117+IF(B117=0,0,7))</f>
        <v>45148</v>
      </c>
      <c r="E118" s="8" t="n">
        <v>68</v>
      </c>
    </row>
    <row r="119" customFormat="false" ht="15.75" hidden="false" customHeight="false" outlineLevel="0" collapsed="false">
      <c r="A119" s="20" t="n">
        <f aca="false">FLOOR((ROW()+1)/(COUNTA(Seasons!$A$1:$A1003)+1),1)</f>
        <v>24</v>
      </c>
      <c r="B119" s="20" t="n">
        <f aca="false">MOD(ROW()+1,COUNTA(Seasons!$A$1:$A1003)+1)</f>
        <v>0</v>
      </c>
      <c r="C119" s="20" t="str">
        <f aca="true">"Series "&amp;A119&amp;IF(B119=0,"","/"&amp;INDIRECT(ADDRESS(B119,1,1,TRUE(),"Seasons")))</f>
        <v>Series 24</v>
      </c>
      <c r="D119" s="17" t="n">
        <f aca="false">IF(B119=0,VLOOKUP(A119,Series!$A$2:B1003,2,FALSE()),D118+IF(B118=0,0,7))</f>
        <v>45155</v>
      </c>
      <c r="E119" s="8" t="n">
        <v>8</v>
      </c>
    </row>
    <row r="120" customFormat="false" ht="15.75" hidden="false" customHeight="false" outlineLevel="0" collapsed="false">
      <c r="A120" s="20" t="n">
        <f aca="false">FLOOR((ROW()+1)/(COUNTA(Seasons!$A$1:$A1003)+1),1)</f>
        <v>24</v>
      </c>
      <c r="B120" s="20" t="n">
        <f aca="false">MOD(ROW()+1,COUNTA(Seasons!$A$1:$A1003)+1)</f>
        <v>1</v>
      </c>
      <c r="C120" s="20" t="str">
        <f aca="true">"Series "&amp;A120&amp;IF(B120=0,"","/"&amp;INDIRECT(ADDRESS(B120,1,1,TRUE(),"Seasons")))</f>
        <v>Series 24/Summer</v>
      </c>
      <c r="D120" s="17" t="n">
        <f aca="false">IF(B120=0,VLOOKUP(A120,Series!$A$2:B1003,2,FALSE()),D119+IF(B119=0,0,7))</f>
        <v>45155</v>
      </c>
      <c r="E120" s="8" t="n">
        <v>68</v>
      </c>
    </row>
    <row r="121" customFormat="false" ht="15.75" hidden="false" customHeight="false" outlineLevel="0" collapsed="false">
      <c r="A121" s="20" t="n">
        <f aca="false">FLOOR((ROW()+1)/(COUNTA(Seasons!$A$1:$A1003)+1),1)</f>
        <v>24</v>
      </c>
      <c r="B121" s="20" t="n">
        <f aca="false">MOD(ROW()+1,COUNTA(Seasons!$A$1:$A1003)+1)</f>
        <v>2</v>
      </c>
      <c r="C121" s="20" t="str">
        <f aca="true">"Series "&amp;A121&amp;IF(B121=0,"","/"&amp;INDIRECT(ADDRESS(B121,1,1,TRUE(),"Seasons")))</f>
        <v>Series 24/Autumn</v>
      </c>
      <c r="D121" s="17" t="n">
        <f aca="false">IF(B121=0,VLOOKUP(A121,Series!$A$2:B1003,2,FALSE()),D120+IF(B120=0,0,7))</f>
        <v>45162</v>
      </c>
      <c r="E121" s="8" t="n">
        <v>68</v>
      </c>
    </row>
    <row r="122" customFormat="false" ht="15.75" hidden="false" customHeight="false" outlineLevel="0" collapsed="false">
      <c r="A122" s="20" t="n">
        <f aca="false">FLOOR((ROW()+1)/(COUNTA(Seasons!$A$1:$A1003)+1),1)</f>
        <v>24</v>
      </c>
      <c r="B122" s="20" t="n">
        <f aca="false">MOD(ROW()+1,COUNTA(Seasons!$A$1:$A1003)+1)</f>
        <v>3</v>
      </c>
      <c r="C122" s="20" t="str">
        <f aca="true">"Series "&amp;A122&amp;IF(B122=0,"","/"&amp;INDIRECT(ADDRESS(B122,1,1,TRUE(),"Seasons")))</f>
        <v>Series 24/Winter</v>
      </c>
      <c r="D122" s="17" t="n">
        <f aca="false">IF(B122=0,VLOOKUP(A122,Series!$A$2:B1003,2,FALSE()),D121+IF(B121=0,0,7))</f>
        <v>45169</v>
      </c>
      <c r="E122" s="8" t="n">
        <v>68</v>
      </c>
    </row>
    <row r="123" customFormat="false" ht="15.75" hidden="false" customHeight="false" outlineLevel="0" collapsed="false">
      <c r="A123" s="20" t="n">
        <f aca="false">FLOOR((ROW()+1)/(COUNTA(Seasons!$A$1:$A1003)+1),1)</f>
        <v>24</v>
      </c>
      <c r="B123" s="20" t="n">
        <f aca="false">MOD(ROW()+1,COUNTA(Seasons!$A$1:$A1003)+1)</f>
        <v>4</v>
      </c>
      <c r="C123" s="20" t="str">
        <f aca="true">"Series "&amp;A123&amp;IF(B123=0,"","/"&amp;INDIRECT(ADDRESS(B123,1,1,TRUE(),"Seasons")))</f>
        <v>Series 24/Spring</v>
      </c>
      <c r="D123" s="17" t="n">
        <f aca="false">IF(B123=0,VLOOKUP(A123,Series!$A$2:B1003,2,FALSE()),D122+IF(B122=0,0,7))</f>
        <v>45176</v>
      </c>
      <c r="E123" s="8" t="n">
        <v>68</v>
      </c>
    </row>
    <row r="124" customFormat="false" ht="15.75" hidden="false" customHeight="false" outlineLevel="0" collapsed="false">
      <c r="A124" s="20" t="n">
        <f aca="false">FLOOR((ROW()+1)/(COUNTA(Seasons!$A$1:$A1003)+1),1)</f>
        <v>25</v>
      </c>
      <c r="B124" s="20" t="n">
        <f aca="false">MOD(ROW()+1,COUNTA(Seasons!$A$1:$A1003)+1)</f>
        <v>0</v>
      </c>
      <c r="C124" s="20" t="str">
        <f aca="true">"Series "&amp;A124&amp;IF(B124=0,"","/"&amp;INDIRECT(ADDRESS(B124,1,1,TRUE(),"Seasons")))</f>
        <v>Series 25</v>
      </c>
      <c r="D124" s="17" t="n">
        <f aca="false">IF(B124=0,VLOOKUP(A124,Series!$A$2:B1003,2,FALSE()),D123+IF(B123=0,0,7))</f>
        <v>45183</v>
      </c>
      <c r="E124" s="8" t="n">
        <v>16</v>
      </c>
    </row>
    <row r="125" customFormat="false" ht="15.75" hidden="false" customHeight="false" outlineLevel="0" collapsed="false">
      <c r="A125" s="20" t="n">
        <f aca="false">FLOOR((ROW()+1)/(COUNTA(Seasons!$A$1:$A1003)+1),1)</f>
        <v>25</v>
      </c>
      <c r="B125" s="20" t="n">
        <f aca="false">MOD(ROW()+1,COUNTA(Seasons!$A$1:$A1003)+1)</f>
        <v>1</v>
      </c>
      <c r="C125" s="20" t="str">
        <f aca="true">"Series "&amp;A125&amp;IF(B125=0,"","/"&amp;INDIRECT(ADDRESS(B125,1,1,TRUE(),"Seasons")))</f>
        <v>Series 25/Summer</v>
      </c>
      <c r="D125" s="17" t="n">
        <f aca="false">IF(B125=0,VLOOKUP(A125,Series!$A$2:B1003,2,FALSE()),D124+IF(B124=0,0,7))</f>
        <v>45183</v>
      </c>
      <c r="E125" s="8" t="n">
        <v>71</v>
      </c>
    </row>
    <row r="126" customFormat="false" ht="15.75" hidden="false" customHeight="false" outlineLevel="0" collapsed="false">
      <c r="A126" s="20" t="n">
        <f aca="false">FLOOR((ROW()+1)/(COUNTA(Seasons!$A$1:$A1003)+1),1)</f>
        <v>25</v>
      </c>
      <c r="B126" s="20" t="n">
        <f aca="false">MOD(ROW()+1,COUNTA(Seasons!$A$1:$A1003)+1)</f>
        <v>2</v>
      </c>
      <c r="C126" s="20" t="str">
        <f aca="true">"Series "&amp;A126&amp;IF(B126=0,"","/"&amp;INDIRECT(ADDRESS(B126,1,1,TRUE(),"Seasons")))</f>
        <v>Series 25/Autumn</v>
      </c>
      <c r="D126" s="17" t="n">
        <f aca="false">IF(B126=0,VLOOKUP(A126,Series!$A$2:B1003,2,FALSE()),D125+IF(B125=0,0,7))</f>
        <v>45190</v>
      </c>
      <c r="E126" s="8" t="n">
        <v>71</v>
      </c>
    </row>
    <row r="127" customFormat="false" ht="15.75" hidden="false" customHeight="false" outlineLevel="0" collapsed="false">
      <c r="A127" s="20" t="n">
        <f aca="false">FLOOR((ROW()+1)/(COUNTA(Seasons!$A$1:$A1003)+1),1)</f>
        <v>25</v>
      </c>
      <c r="B127" s="20" t="n">
        <f aca="false">MOD(ROW()+1,COUNTA(Seasons!$A$1:$A1003)+1)</f>
        <v>3</v>
      </c>
      <c r="C127" s="20" t="str">
        <f aca="true">"Series "&amp;A127&amp;IF(B127=0,"","/"&amp;INDIRECT(ADDRESS(B127,1,1,TRUE(),"Seasons")))</f>
        <v>Series 25/Winter</v>
      </c>
      <c r="D127" s="17" t="n">
        <f aca="false">IF(B127=0,VLOOKUP(A127,Series!$A$2:B1003,2,FALSE()),D126+IF(B126=0,0,7))</f>
        <v>45197</v>
      </c>
      <c r="E127" s="8" t="n">
        <v>71</v>
      </c>
    </row>
    <row r="128" customFormat="false" ht="15.75" hidden="false" customHeight="false" outlineLevel="0" collapsed="false">
      <c r="A128" s="20" t="n">
        <f aca="false">FLOOR((ROW()+1)/(COUNTA(Seasons!$A$1:$A1003)+1),1)</f>
        <v>25</v>
      </c>
      <c r="B128" s="20" t="n">
        <f aca="false">MOD(ROW()+1,COUNTA(Seasons!$A$1:$A1003)+1)</f>
        <v>4</v>
      </c>
      <c r="C128" s="20" t="str">
        <f aca="true">"Series "&amp;A128&amp;IF(B128=0,"","/"&amp;INDIRECT(ADDRESS(B128,1,1,TRUE(),"Seasons")))</f>
        <v>Series 25/Spring</v>
      </c>
      <c r="D128" s="17" t="n">
        <f aca="false">IF(B128=0,VLOOKUP(A128,Series!$A$2:B1003,2,FALSE()),D127+IF(B127=0,0,7))</f>
        <v>45204</v>
      </c>
      <c r="E128" s="8" t="n">
        <v>71</v>
      </c>
    </row>
    <row r="129" customFormat="false" ht="15.75" hidden="false" customHeight="false" outlineLevel="0" collapsed="false">
      <c r="A129" s="20" t="n">
        <f aca="false">FLOOR((ROW()+1)/(COUNTA(Seasons!$A$1:$A1003)+1),1)</f>
        <v>26</v>
      </c>
      <c r="B129" s="20" t="n">
        <f aca="false">MOD(ROW()+1,COUNTA(Seasons!$A$1:$A1003)+1)</f>
        <v>0</v>
      </c>
      <c r="C129" s="20" t="str">
        <f aca="true">"Series "&amp;A129&amp;IF(B129=0,"","/"&amp;INDIRECT(ADDRESS(B129,1,1,TRUE(),"Seasons")))</f>
        <v>Series 26</v>
      </c>
      <c r="D129" s="17" t="n">
        <f aca="false">IF(B129=0,VLOOKUP(A129,Series!$A$2:B1003,2,FALSE()),D128+IF(B128=0,0,7))</f>
        <v>45211</v>
      </c>
      <c r="E129" s="8" t="n">
        <v>8</v>
      </c>
    </row>
    <row r="130" customFormat="false" ht="15.75" hidden="false" customHeight="false" outlineLevel="0" collapsed="false">
      <c r="A130" s="20" t="n">
        <f aca="false">FLOOR((ROW()+1)/(COUNTA(Seasons!$A$1:$A1003)+1),1)</f>
        <v>26</v>
      </c>
      <c r="B130" s="20" t="n">
        <f aca="false">MOD(ROW()+1,COUNTA(Seasons!$A$1:$A1003)+1)</f>
        <v>1</v>
      </c>
      <c r="C130" s="20" t="str">
        <f aca="true">"Series "&amp;A130&amp;IF(B130=0,"","/"&amp;INDIRECT(ADDRESS(B130,1,1,TRUE(),"Seasons")))</f>
        <v>Series 26/Summer</v>
      </c>
      <c r="D130" s="17" t="n">
        <f aca="false">IF(B130=0,VLOOKUP(A130,Series!$A$2:B1003,2,FALSE()),D129+IF(B129=0,0,7))</f>
        <v>45211</v>
      </c>
      <c r="E130" s="8" t="n">
        <v>68</v>
      </c>
    </row>
    <row r="131" customFormat="false" ht="15.75" hidden="false" customHeight="false" outlineLevel="0" collapsed="false">
      <c r="A131" s="20" t="n">
        <f aca="false">FLOOR((ROW()+1)/(COUNTA(Seasons!$A$1:$A1003)+1),1)</f>
        <v>26</v>
      </c>
      <c r="B131" s="20" t="n">
        <f aca="false">MOD(ROW()+1,COUNTA(Seasons!$A$1:$A1003)+1)</f>
        <v>2</v>
      </c>
      <c r="C131" s="20" t="str">
        <f aca="true">"Series "&amp;A131&amp;IF(B131=0,"","/"&amp;INDIRECT(ADDRESS(B131,1,1,TRUE(),"Seasons")))</f>
        <v>Series 26/Autumn</v>
      </c>
      <c r="D131" s="17" t="n">
        <f aca="false">IF(B131=0,VLOOKUP(A131,Series!$A$2:B1003,2,FALSE()),D130+IF(B130=0,0,7))</f>
        <v>45218</v>
      </c>
      <c r="E131" s="8" t="n">
        <v>68</v>
      </c>
    </row>
    <row r="132" customFormat="false" ht="15.75" hidden="false" customHeight="false" outlineLevel="0" collapsed="false">
      <c r="A132" s="20" t="n">
        <f aca="false">FLOOR((ROW()+1)/(COUNTA(Seasons!$A$1:$A1003)+1),1)</f>
        <v>26</v>
      </c>
      <c r="B132" s="20" t="n">
        <f aca="false">MOD(ROW()+1,COUNTA(Seasons!$A$1:$A1003)+1)</f>
        <v>3</v>
      </c>
      <c r="C132" s="20" t="str">
        <f aca="true">"Series "&amp;A132&amp;IF(B132=0,"","/"&amp;INDIRECT(ADDRESS(B132,1,1,TRUE(),"Seasons")))</f>
        <v>Series 26/Winter</v>
      </c>
      <c r="D132" s="17" t="n">
        <f aca="false">IF(B132=0,VLOOKUP(A132,Series!$A$2:B1003,2,FALSE()),D131+IF(B131=0,0,7))</f>
        <v>45225</v>
      </c>
      <c r="E132" s="8" t="n">
        <v>68</v>
      </c>
    </row>
    <row r="133" customFormat="false" ht="15.75" hidden="false" customHeight="false" outlineLevel="0" collapsed="false">
      <c r="A133" s="20" t="n">
        <f aca="false">FLOOR((ROW()+1)/(COUNTA(Seasons!$A$1:$A1003)+1),1)</f>
        <v>26</v>
      </c>
      <c r="B133" s="20" t="n">
        <f aca="false">MOD(ROW()+1,COUNTA(Seasons!$A$1:$A1003)+1)</f>
        <v>4</v>
      </c>
      <c r="C133" s="20" t="str">
        <f aca="true">"Series "&amp;A133&amp;IF(B133=0,"","/"&amp;INDIRECT(ADDRESS(B133,1,1,TRUE(),"Seasons")))</f>
        <v>Series 26/Spring</v>
      </c>
      <c r="D133" s="17" t="n">
        <f aca="false">IF(B133=0,VLOOKUP(A133,Series!$A$2:B1003,2,FALSE()),D132+IF(B132=0,0,7))</f>
        <v>45232</v>
      </c>
      <c r="E133" s="8" t="n">
        <v>68</v>
      </c>
    </row>
    <row r="134" customFormat="false" ht="15.75" hidden="false" customHeight="false" outlineLevel="0" collapsed="false">
      <c r="A134" s="20" t="n">
        <f aca="false">FLOOR((ROW()+1)/(COUNTA(Seasons!$A$1:$A1003)+1),1)</f>
        <v>27</v>
      </c>
      <c r="B134" s="20" t="n">
        <f aca="false">MOD(ROW()+1,COUNTA(Seasons!$A$1:$A1003)+1)</f>
        <v>0</v>
      </c>
      <c r="C134" s="20" t="str">
        <f aca="true">"Series "&amp;A134&amp;IF(B134=0,"","/"&amp;INDIRECT(ADDRESS(B134,1,1,TRUE(),"Seasons")))</f>
        <v>Series 27</v>
      </c>
      <c r="D134" s="17" t="n">
        <f aca="false">IF(B134=0,VLOOKUP(A134,Series!$A$2:B1003,2,FALSE()),D133+IF(B133=0,0,7))</f>
        <v>45239</v>
      </c>
      <c r="E134" s="8" t="n">
        <v>8</v>
      </c>
    </row>
    <row r="135" customFormat="false" ht="15.75" hidden="false" customHeight="false" outlineLevel="0" collapsed="false">
      <c r="A135" s="20" t="n">
        <f aca="false">FLOOR((ROW()+1)/(COUNTA(Seasons!$A$1:$A1003)+1),1)</f>
        <v>27</v>
      </c>
      <c r="B135" s="20" t="n">
        <f aca="false">MOD(ROW()+1,COUNTA(Seasons!$A$1:$A1003)+1)</f>
        <v>1</v>
      </c>
      <c r="C135" s="20" t="str">
        <f aca="true">"Series "&amp;A135&amp;IF(B135=0,"","/"&amp;INDIRECT(ADDRESS(B135,1,1,TRUE(),"Seasons")))</f>
        <v>Series 27/Summer</v>
      </c>
      <c r="D135" s="17" t="n">
        <f aca="false">IF(B135=0,VLOOKUP(A135,Series!$A$2:B1003,2,FALSE()),D134+IF(B134=0,0,7))</f>
        <v>45239</v>
      </c>
      <c r="E135" s="8" t="n">
        <v>68</v>
      </c>
    </row>
    <row r="136" customFormat="false" ht="15.75" hidden="false" customHeight="false" outlineLevel="0" collapsed="false">
      <c r="A136" s="20" t="n">
        <f aca="false">FLOOR((ROW()+1)/(COUNTA(Seasons!$A$1:$A1003)+1),1)</f>
        <v>27</v>
      </c>
      <c r="B136" s="20" t="n">
        <f aca="false">MOD(ROW()+1,COUNTA(Seasons!$A$1:$A1003)+1)</f>
        <v>2</v>
      </c>
      <c r="C136" s="20" t="str">
        <f aca="true">"Series "&amp;A136&amp;IF(B136=0,"","/"&amp;INDIRECT(ADDRESS(B136,1,1,TRUE(),"Seasons")))</f>
        <v>Series 27/Autumn</v>
      </c>
      <c r="D136" s="17" t="n">
        <f aca="false">IF(B136=0,VLOOKUP(A136,Series!$A$2:B1003,2,FALSE()),D135+IF(B135=0,0,7))</f>
        <v>45246</v>
      </c>
      <c r="E136" s="8" t="n">
        <v>68</v>
      </c>
    </row>
    <row r="137" customFormat="false" ht="15.75" hidden="false" customHeight="false" outlineLevel="0" collapsed="false">
      <c r="A137" s="20" t="n">
        <f aca="false">FLOOR((ROW()+1)/(COUNTA(Seasons!$A$1:$A1003)+1),1)</f>
        <v>27</v>
      </c>
      <c r="B137" s="20" t="n">
        <f aca="false">MOD(ROW()+1,COUNTA(Seasons!$A$1:$A1003)+1)</f>
        <v>3</v>
      </c>
      <c r="C137" s="20" t="str">
        <f aca="true">"Series "&amp;A137&amp;IF(B137=0,"","/"&amp;INDIRECT(ADDRESS(B137,1,1,TRUE(),"Seasons")))</f>
        <v>Series 27/Winter</v>
      </c>
      <c r="D137" s="17" t="n">
        <f aca="false">IF(B137=0,VLOOKUP(A137,Series!$A$2:B1003,2,FALSE()),D136+IF(B136=0,0,7))</f>
        <v>45253</v>
      </c>
      <c r="E137" s="8" t="n">
        <v>68</v>
      </c>
    </row>
    <row r="138" customFormat="false" ht="15.75" hidden="false" customHeight="false" outlineLevel="0" collapsed="false">
      <c r="A138" s="20" t="n">
        <f aca="false">FLOOR((ROW()+1)/(COUNTA(Seasons!$A$1:$A1003)+1),1)</f>
        <v>27</v>
      </c>
      <c r="B138" s="20" t="n">
        <f aca="false">MOD(ROW()+1,COUNTA(Seasons!$A$1:$A1003)+1)</f>
        <v>4</v>
      </c>
      <c r="C138" s="20" t="str">
        <f aca="true">"Series "&amp;A138&amp;IF(B138=0,"","/"&amp;INDIRECT(ADDRESS(B138,1,1,TRUE(),"Seasons")))</f>
        <v>Series 27/Spring</v>
      </c>
      <c r="D138" s="17" t="n">
        <f aca="false">IF(B138=0,VLOOKUP(A138,Series!$A$2:B1003,2,FALSE()),D137+IF(B137=0,0,7))</f>
        <v>45260</v>
      </c>
      <c r="E138" s="8" t="n">
        <v>68</v>
      </c>
    </row>
    <row r="139" customFormat="false" ht="15.75" hidden="false" customHeight="false" outlineLevel="0" collapsed="false">
      <c r="A139" s="20" t="n">
        <f aca="false">FLOOR((ROW()+1)/(COUNTA(Seasons!$A$1:$A1003)+1),1)</f>
        <v>28</v>
      </c>
      <c r="B139" s="20" t="n">
        <f aca="false">MOD(ROW()+1,COUNTA(Seasons!$A$1:$A1003)+1)</f>
        <v>0</v>
      </c>
      <c r="C139" s="20" t="str">
        <f aca="true">"Series "&amp;A139&amp;IF(B139=0,"","/"&amp;INDIRECT(ADDRESS(B139,1,1,TRUE(),"Seasons")))</f>
        <v>Series 28</v>
      </c>
      <c r="D139" s="17" t="n">
        <f aca="false">IF(B139=0,VLOOKUP(A139,Series!$A$2:B1003,2,FALSE()),D138+IF(B138=0,0,7))</f>
        <v>45267</v>
      </c>
      <c r="E139" s="8" t="n">
        <v>8</v>
      </c>
    </row>
    <row r="140" customFormat="false" ht="15.75" hidden="false" customHeight="false" outlineLevel="0" collapsed="false">
      <c r="A140" s="20" t="n">
        <f aca="false">FLOOR((ROW()+1)/(COUNTA(Seasons!$A$1:$A1003)+1),1)</f>
        <v>28</v>
      </c>
      <c r="B140" s="20" t="n">
        <f aca="false">MOD(ROW()+1,COUNTA(Seasons!$A$1:$A1003)+1)</f>
        <v>1</v>
      </c>
      <c r="C140" s="20" t="str">
        <f aca="true">"Series "&amp;A140&amp;IF(B140=0,"","/"&amp;INDIRECT(ADDRESS(B140,1,1,TRUE(),"Seasons")))</f>
        <v>Series 28/Summer</v>
      </c>
      <c r="D140" s="17" t="n">
        <f aca="false">IF(B140=0,VLOOKUP(A140,Series!$A$2:B1003,2,FALSE()),D139+IF(B139=0,0,7))</f>
        <v>45267</v>
      </c>
      <c r="E140" s="8" t="n">
        <v>73</v>
      </c>
    </row>
    <row r="141" customFormat="false" ht="15.75" hidden="false" customHeight="false" outlineLevel="0" collapsed="false">
      <c r="A141" s="20" t="n">
        <f aca="false">FLOOR((ROW()+1)/(COUNTA(Seasons!$A$1:$A1003)+1),1)</f>
        <v>28</v>
      </c>
      <c r="B141" s="20" t="n">
        <f aca="false">MOD(ROW()+1,COUNTA(Seasons!$A$1:$A1003)+1)</f>
        <v>2</v>
      </c>
      <c r="C141" s="20" t="str">
        <f aca="true">"Series "&amp;A141&amp;IF(B141=0,"","/"&amp;INDIRECT(ADDRESS(B141,1,1,TRUE(),"Seasons")))</f>
        <v>Series 28/Autumn</v>
      </c>
      <c r="D141" s="17" t="n">
        <f aca="false">IF(B141=0,VLOOKUP(A141,Series!$A$2:B1003,2,FALSE()),D140+IF(B140=0,0,7))</f>
        <v>45274</v>
      </c>
      <c r="E141" s="8" t="n">
        <v>73</v>
      </c>
    </row>
    <row r="142" customFormat="false" ht="15.75" hidden="false" customHeight="false" outlineLevel="0" collapsed="false">
      <c r="A142" s="20" t="n">
        <f aca="false">FLOOR((ROW()+1)/(COUNTA(Seasons!$A$1:$A1003)+1),1)</f>
        <v>28</v>
      </c>
      <c r="B142" s="20" t="n">
        <f aca="false">MOD(ROW()+1,COUNTA(Seasons!$A$1:$A1003)+1)</f>
        <v>3</v>
      </c>
      <c r="C142" s="20" t="str">
        <f aca="true">"Series "&amp;A142&amp;IF(B142=0,"","/"&amp;INDIRECT(ADDRESS(B142,1,1,TRUE(),"Seasons")))</f>
        <v>Series 28/Winter</v>
      </c>
      <c r="D142" s="17" t="n">
        <f aca="false">IF(B142=0,VLOOKUP(A142,Series!$A$2:B1003,2,FALSE()),D141+IF(B141=0,0,7))</f>
        <v>45281</v>
      </c>
      <c r="E142" s="8" t="n">
        <v>73</v>
      </c>
    </row>
    <row r="143" customFormat="false" ht="15.75" hidden="false" customHeight="false" outlineLevel="0" collapsed="false">
      <c r="A143" s="20" t="n">
        <f aca="false">FLOOR((ROW()+1)/(COUNTA(Seasons!$A$1:$A1003)+1),1)</f>
        <v>28</v>
      </c>
      <c r="B143" s="20" t="n">
        <f aca="false">MOD(ROW()+1,COUNTA(Seasons!$A$1:$A1003)+1)</f>
        <v>4</v>
      </c>
      <c r="C143" s="20" t="str">
        <f aca="true">"Series "&amp;A143&amp;IF(B143=0,"","/"&amp;INDIRECT(ADDRESS(B143,1,1,TRUE(),"Seasons")))</f>
        <v>Series 28/Spring</v>
      </c>
      <c r="D143" s="17" t="n">
        <f aca="false">IF(B143=0,VLOOKUP(A143,Series!$A$2:B1003,2,FALSE()),D142+IF(B142=0,0,7))</f>
        <v>45288</v>
      </c>
      <c r="E143" s="8" t="n">
        <v>73</v>
      </c>
    </row>
    <row r="144" customFormat="false" ht="15.75" hidden="false" customHeight="false" outlineLevel="0" collapsed="false">
      <c r="A144" s="20" t="n">
        <f aca="false">FLOOR((ROW()+1)/(COUNTA(Seasons!$A$1:$A1003)+1),1)</f>
        <v>29</v>
      </c>
      <c r="B144" s="20" t="n">
        <f aca="false">MOD(ROW()+1,COUNTA(Seasons!$A$1:$A1003)+1)</f>
        <v>0</v>
      </c>
      <c r="C144" s="20" t="str">
        <f aca="true">"Series "&amp;A144&amp;IF(B144=0,"","/"&amp;INDIRECT(ADDRESS(B144,1,1,TRUE(),"Seasons")))</f>
        <v>Series 29</v>
      </c>
      <c r="D144" s="17" t="n">
        <f aca="false">IF(B144=0,VLOOKUP(A144,Series!$A$2:B1003,2,FALSE()),D143+IF(B143=0,0,7))</f>
        <v>45295</v>
      </c>
      <c r="E144" s="8" t="n">
        <v>16</v>
      </c>
    </row>
    <row r="145" customFormat="false" ht="15.75" hidden="false" customHeight="false" outlineLevel="0" collapsed="false">
      <c r="A145" s="20" t="n">
        <f aca="false">FLOOR((ROW()+1)/(COUNTA(Seasons!$A$1:$A1003)+1),1)</f>
        <v>29</v>
      </c>
      <c r="B145" s="20" t="n">
        <f aca="false">MOD(ROW()+1,COUNTA(Seasons!$A$1:$A1003)+1)</f>
        <v>1</v>
      </c>
      <c r="C145" s="20" t="str">
        <f aca="true">"Series "&amp;A145&amp;IF(B145=0,"","/"&amp;INDIRECT(ADDRESS(B145,1,1,TRUE(),"Seasons")))</f>
        <v>Series 29/Summer</v>
      </c>
      <c r="D145" s="17" t="n">
        <f aca="false">IF(B145=0,VLOOKUP(A145,Series!$A$2:B1003,2,FALSE()),D144+IF(B144=0,0,7))</f>
        <v>45295</v>
      </c>
      <c r="E145" s="8" t="n">
        <v>69</v>
      </c>
    </row>
    <row r="146" customFormat="false" ht="15.75" hidden="false" customHeight="false" outlineLevel="0" collapsed="false">
      <c r="A146" s="20" t="n">
        <f aca="false">FLOOR((ROW()+1)/(COUNTA(Seasons!$A$1:$A1003)+1),1)</f>
        <v>29</v>
      </c>
      <c r="B146" s="20" t="n">
        <f aca="false">MOD(ROW()+1,COUNTA(Seasons!$A$1:$A1003)+1)</f>
        <v>2</v>
      </c>
      <c r="C146" s="20" t="str">
        <f aca="true">"Series "&amp;A146&amp;IF(B146=0,"","/"&amp;INDIRECT(ADDRESS(B146,1,1,TRUE(),"Seasons")))</f>
        <v>Series 29/Autumn</v>
      </c>
      <c r="D146" s="17" t="n">
        <f aca="false">IF(B146=0,VLOOKUP(A146,Series!$A$2:B1003,2,FALSE()),D145+IF(B145=0,0,7))</f>
        <v>45302</v>
      </c>
      <c r="E146" s="8" t="n">
        <v>69</v>
      </c>
    </row>
    <row r="147" customFormat="false" ht="15.75" hidden="false" customHeight="false" outlineLevel="0" collapsed="false">
      <c r="A147" s="20" t="n">
        <f aca="false">FLOOR((ROW()+1)/(COUNTA(Seasons!$A$1:$A1003)+1),1)</f>
        <v>29</v>
      </c>
      <c r="B147" s="20" t="n">
        <f aca="false">MOD(ROW()+1,COUNTA(Seasons!$A$1:$A1003)+1)</f>
        <v>3</v>
      </c>
      <c r="C147" s="20" t="str">
        <f aca="true">"Series "&amp;A147&amp;IF(B147=0,"","/"&amp;INDIRECT(ADDRESS(B147,1,1,TRUE(),"Seasons")))</f>
        <v>Series 29/Winter</v>
      </c>
      <c r="D147" s="17" t="n">
        <f aca="false">IF(B147=0,VLOOKUP(A147,Series!$A$2:B1003,2,FALSE()),D146+IF(B146=0,0,7))</f>
        <v>45309</v>
      </c>
      <c r="E147" s="8" t="n">
        <v>69</v>
      </c>
    </row>
    <row r="148" customFormat="false" ht="15.75" hidden="false" customHeight="false" outlineLevel="0" collapsed="false">
      <c r="A148" s="20" t="n">
        <f aca="false">FLOOR((ROW()+1)/(COUNTA(Seasons!$A$1:$A1003)+1),1)</f>
        <v>29</v>
      </c>
      <c r="B148" s="20" t="n">
        <f aca="false">MOD(ROW()+1,COUNTA(Seasons!$A$1:$A1003)+1)</f>
        <v>4</v>
      </c>
      <c r="C148" s="20" t="str">
        <f aca="true">"Series "&amp;A148&amp;IF(B148=0,"","/"&amp;INDIRECT(ADDRESS(B148,1,1,TRUE(),"Seasons")))</f>
        <v>Series 29/Spring</v>
      </c>
      <c r="D148" s="17" t="n">
        <f aca="false">IF(B148=0,VLOOKUP(A148,Series!$A$2:B1003,2,FALSE()),D147+IF(B147=0,0,7))</f>
        <v>45316</v>
      </c>
      <c r="E148" s="8" t="n">
        <v>69</v>
      </c>
    </row>
    <row r="149" customFormat="false" ht="15.75" hidden="false" customHeight="false" outlineLevel="0" collapsed="false">
      <c r="A149" s="20" t="n">
        <f aca="false">FLOOR((ROW()+1)/(COUNTA(Seasons!$A$1:$A1003)+1),1)</f>
        <v>30</v>
      </c>
      <c r="B149" s="20" t="n">
        <f aca="false">MOD(ROW()+1,COUNTA(Seasons!$A$1:$A1003)+1)</f>
        <v>0</v>
      </c>
      <c r="C149" s="20" t="str">
        <f aca="true">"Series "&amp;A149&amp;IF(B149=0,"","/"&amp;INDIRECT(ADDRESS(B149,1,1,TRUE(),"Seasons")))</f>
        <v>Series 30</v>
      </c>
      <c r="D149" s="17" t="n">
        <f aca="false">IF(B149=0,VLOOKUP(A149,Series!$A$2:B1003,2,FALSE()),D148+IF(B148=0,0,7))</f>
        <v>45323</v>
      </c>
      <c r="E149" s="8" t="n">
        <v>16</v>
      </c>
    </row>
    <row r="150" customFormat="false" ht="15.75" hidden="false" customHeight="false" outlineLevel="0" collapsed="false">
      <c r="A150" s="20" t="n">
        <f aca="false">FLOOR((ROW()+1)/(COUNTA(Seasons!$A$1:$A1003)+1),1)</f>
        <v>30</v>
      </c>
      <c r="B150" s="20" t="n">
        <f aca="false">MOD(ROW()+1,COUNTA(Seasons!$A$1:$A1003)+1)</f>
        <v>1</v>
      </c>
      <c r="C150" s="20" t="str">
        <f aca="true">"Series "&amp;A150&amp;IF(B150=0,"","/"&amp;INDIRECT(ADDRESS(B150,1,1,TRUE(),"Seasons")))</f>
        <v>Series 30/Summer</v>
      </c>
      <c r="D150" s="17" t="n">
        <f aca="false">IF(B150=0,VLOOKUP(A150,Series!$A$2:B1003,2,FALSE()),D149+IF(B149=0,0,7))</f>
        <v>45323</v>
      </c>
      <c r="E150" s="8" t="n">
        <v>71</v>
      </c>
    </row>
    <row r="151" customFormat="false" ht="15.75" hidden="false" customHeight="false" outlineLevel="0" collapsed="false">
      <c r="A151" s="20" t="n">
        <f aca="false">FLOOR((ROW()+1)/(COUNTA(Seasons!$A$1:$A1003)+1),1)</f>
        <v>30</v>
      </c>
      <c r="B151" s="20" t="n">
        <f aca="false">MOD(ROW()+1,COUNTA(Seasons!$A$1:$A1003)+1)</f>
        <v>2</v>
      </c>
      <c r="C151" s="20" t="str">
        <f aca="true">"Series "&amp;A151&amp;IF(B151=0,"","/"&amp;INDIRECT(ADDRESS(B151,1,1,TRUE(),"Seasons")))</f>
        <v>Series 30/Autumn</v>
      </c>
      <c r="D151" s="17" t="n">
        <f aca="false">IF(B151=0,VLOOKUP(A151,Series!$A$2:B1003,2,FALSE()),D150+IF(B150=0,0,7))</f>
        <v>45330</v>
      </c>
      <c r="E151" s="8" t="n">
        <v>71</v>
      </c>
    </row>
    <row r="152" customFormat="false" ht="15.75" hidden="false" customHeight="false" outlineLevel="0" collapsed="false">
      <c r="A152" s="20" t="n">
        <f aca="false">FLOOR((ROW()+1)/(COUNTA(Seasons!$A$1:$A1003)+1),1)</f>
        <v>30</v>
      </c>
      <c r="B152" s="20" t="n">
        <f aca="false">MOD(ROW()+1,COUNTA(Seasons!$A$1:$A1003)+1)</f>
        <v>3</v>
      </c>
      <c r="C152" s="20" t="str">
        <f aca="true">"Series "&amp;A152&amp;IF(B152=0,"","/"&amp;INDIRECT(ADDRESS(B152,1,1,TRUE(),"Seasons")))</f>
        <v>Series 30/Winter</v>
      </c>
      <c r="D152" s="17" t="n">
        <f aca="false">IF(B152=0,VLOOKUP(A152,Series!$A$2:B1003,2,FALSE()),D151+IF(B151=0,0,7))</f>
        <v>45337</v>
      </c>
      <c r="E152" s="8" t="n">
        <v>71</v>
      </c>
    </row>
    <row r="153" customFormat="false" ht="15.75" hidden="false" customHeight="false" outlineLevel="0" collapsed="false">
      <c r="A153" s="20" t="n">
        <f aca="false">FLOOR((ROW()+1)/(COUNTA(Seasons!$A$1:$A1003)+1),1)</f>
        <v>30</v>
      </c>
      <c r="B153" s="20" t="n">
        <f aca="false">MOD(ROW()+1,COUNTA(Seasons!$A$1:$A1003)+1)</f>
        <v>4</v>
      </c>
      <c r="C153" s="20" t="str">
        <f aca="true">"Series "&amp;A153&amp;IF(B153=0,"","/"&amp;INDIRECT(ADDRESS(B153,1,1,TRUE(),"Seasons")))</f>
        <v>Series 30/Spring</v>
      </c>
      <c r="D153" s="17" t="n">
        <f aca="false">IF(B153=0,VLOOKUP(A153,Series!$A$2:B1003,2,FALSE()),D152+IF(B152=0,0,7))</f>
        <v>45344</v>
      </c>
      <c r="E153" s="8" t="n">
        <v>71</v>
      </c>
    </row>
    <row r="154" customFormat="false" ht="15.75" hidden="false" customHeight="false" outlineLevel="0" collapsed="false">
      <c r="A154" s="20" t="n">
        <f aca="false">FLOOR((ROW()+1)/(COUNTA(Seasons!$A$1:$A1003)+1),1)</f>
        <v>31</v>
      </c>
      <c r="B154" s="20" t="n">
        <f aca="false">MOD(ROW()+1,COUNTA(Seasons!$A$1:$A1003)+1)</f>
        <v>0</v>
      </c>
      <c r="C154" s="20" t="str">
        <f aca="true">"Series "&amp;A154&amp;IF(B154=0,"","/"&amp;INDIRECT(ADDRESS(B154,1,1,TRUE(),"Seasons")))</f>
        <v>Series 31</v>
      </c>
      <c r="D154" s="17" t="n">
        <f aca="false">IF(B154=0,VLOOKUP(A154,Series!$A$2:B1003,2,FALSE()),D153+IF(B153=0,0,7))</f>
        <v>45351</v>
      </c>
      <c r="E154" s="8" t="n">
        <v>16</v>
      </c>
    </row>
    <row r="155" customFormat="false" ht="15.75" hidden="false" customHeight="false" outlineLevel="0" collapsed="false">
      <c r="A155" s="20" t="n">
        <f aca="false">FLOOR((ROW()+1)/(COUNTA(Seasons!$A$1:$A1003)+1),1)</f>
        <v>31</v>
      </c>
      <c r="B155" s="20" t="n">
        <f aca="false">MOD(ROW()+1,COUNTA(Seasons!$A$1:$A1003)+1)</f>
        <v>1</v>
      </c>
      <c r="C155" s="20" t="str">
        <f aca="true">"Series "&amp;A155&amp;IF(B155=0,"","/"&amp;INDIRECT(ADDRESS(B155,1,1,TRUE(),"Seasons")))</f>
        <v>Series 31/Summer</v>
      </c>
      <c r="D155" s="17" t="n">
        <f aca="false">IF(B155=0,VLOOKUP(A155,Series!$A$2:B1003,2,FALSE()),D154+IF(B154=0,0,7))</f>
        <v>45351</v>
      </c>
      <c r="E155" s="8" t="n">
        <v>71</v>
      </c>
    </row>
    <row r="156" customFormat="false" ht="15.75" hidden="false" customHeight="false" outlineLevel="0" collapsed="false">
      <c r="A156" s="20" t="n">
        <f aca="false">FLOOR((ROW()+1)/(COUNTA(Seasons!$A$1:$A1003)+1),1)</f>
        <v>31</v>
      </c>
      <c r="B156" s="20" t="n">
        <f aca="false">MOD(ROW()+1,COUNTA(Seasons!$A$1:$A1003)+1)</f>
        <v>2</v>
      </c>
      <c r="C156" s="20" t="str">
        <f aca="true">"Series "&amp;A156&amp;IF(B156=0,"","/"&amp;INDIRECT(ADDRESS(B156,1,1,TRUE(),"Seasons")))</f>
        <v>Series 31/Autumn</v>
      </c>
      <c r="D156" s="17" t="n">
        <f aca="false">IF(B156=0,VLOOKUP(A156,Series!$A$2:B1003,2,FALSE()),D155+IF(B155=0,0,7))</f>
        <v>45358</v>
      </c>
      <c r="E156" s="8" t="n">
        <v>71</v>
      </c>
    </row>
    <row r="157" customFormat="false" ht="15.75" hidden="false" customHeight="false" outlineLevel="0" collapsed="false">
      <c r="A157" s="20" t="n">
        <f aca="false">FLOOR((ROW()+1)/(COUNTA(Seasons!$A$1:$A1003)+1),1)</f>
        <v>31</v>
      </c>
      <c r="B157" s="20" t="n">
        <f aca="false">MOD(ROW()+1,COUNTA(Seasons!$A$1:$A1003)+1)</f>
        <v>3</v>
      </c>
      <c r="C157" s="20" t="str">
        <f aca="true">"Series "&amp;A157&amp;IF(B157=0,"","/"&amp;INDIRECT(ADDRESS(B157,1,1,TRUE(),"Seasons")))</f>
        <v>Series 31/Winter</v>
      </c>
      <c r="D157" s="17" t="n">
        <f aca="false">IF(B157=0,VLOOKUP(A157,Series!$A$2:B1003,2,FALSE()),D156+IF(B156=0,0,7))</f>
        <v>45365</v>
      </c>
      <c r="E157" s="8" t="n">
        <v>71</v>
      </c>
    </row>
    <row r="158" customFormat="false" ht="15.75" hidden="false" customHeight="false" outlineLevel="0" collapsed="false">
      <c r="A158" s="20" t="n">
        <f aca="false">FLOOR((ROW()+1)/(COUNTA(Seasons!$A$1:$A1003)+1),1)</f>
        <v>31</v>
      </c>
      <c r="B158" s="20" t="n">
        <f aca="false">MOD(ROW()+1,COUNTA(Seasons!$A$1:$A1003)+1)</f>
        <v>4</v>
      </c>
      <c r="C158" s="20" t="str">
        <f aca="true">"Series "&amp;A158&amp;IF(B158=0,"","/"&amp;INDIRECT(ADDRESS(B158,1,1,TRUE(),"Seasons")))</f>
        <v>Series 31/Spring</v>
      </c>
      <c r="D158" s="17" t="n">
        <f aca="false">IF(B158=0,VLOOKUP(A158,Series!$A$2:B1003,2,FALSE()),D157+IF(B157=0,0,7))</f>
        <v>45372</v>
      </c>
      <c r="E158" s="8" t="n">
        <v>71</v>
      </c>
    </row>
    <row r="159" customFormat="false" ht="15.75" hidden="false" customHeight="false" outlineLevel="0" collapsed="false">
      <c r="A159" s="20" t="n">
        <f aca="false">FLOOR((ROW()+1)/(COUNTA(Seasons!$A$1:$A1003)+1),1)</f>
        <v>32</v>
      </c>
      <c r="B159" s="20" t="n">
        <f aca="false">MOD(ROW()+1,COUNTA(Seasons!$A$1:$A1003)+1)</f>
        <v>0</v>
      </c>
      <c r="C159" s="20" t="str">
        <f aca="true">"Series "&amp;A159&amp;IF(B159=0,"","/"&amp;INDIRECT(ADDRESS(B159,1,1,TRUE(),"Seasons")))</f>
        <v>Series 32</v>
      </c>
      <c r="D159" s="17" t="n">
        <f aca="false">IF(B159=0,VLOOKUP(A159,Series!$A$2:B1003,2,FALSE()),D158+IF(B158=0,0,7))</f>
        <v>45379</v>
      </c>
      <c r="E159" s="8" t="n">
        <v>8</v>
      </c>
    </row>
    <row r="160" customFormat="false" ht="15.75" hidden="false" customHeight="false" outlineLevel="0" collapsed="false">
      <c r="A160" s="20" t="n">
        <f aca="false">FLOOR((ROW()+1)/(COUNTA(Seasons!$A$1:$A1003)+1),1)</f>
        <v>32</v>
      </c>
      <c r="B160" s="20" t="n">
        <f aca="false">MOD(ROW()+1,COUNTA(Seasons!$A$1:$A1003)+1)</f>
        <v>1</v>
      </c>
      <c r="C160" s="20" t="str">
        <f aca="true">"Series "&amp;A160&amp;IF(B160=0,"","/"&amp;INDIRECT(ADDRESS(B160,1,1,TRUE(),"Seasons")))</f>
        <v>Series 32/Summer</v>
      </c>
      <c r="D160" s="17" t="n">
        <f aca="false">IF(B160=0,VLOOKUP(A160,Series!$A$2:B1003,2,FALSE()),D159+IF(B159=0,0,7))</f>
        <v>45379</v>
      </c>
      <c r="E160" s="8" t="n">
        <v>71</v>
      </c>
    </row>
    <row r="161" customFormat="false" ht="15.75" hidden="false" customHeight="false" outlineLevel="0" collapsed="false">
      <c r="A161" s="20" t="n">
        <f aca="false">FLOOR((ROW()+1)/(COUNTA(Seasons!$A$1:$A1003)+1),1)</f>
        <v>32</v>
      </c>
      <c r="B161" s="20" t="n">
        <f aca="false">MOD(ROW()+1,COUNTA(Seasons!$A$1:$A1003)+1)</f>
        <v>2</v>
      </c>
      <c r="C161" s="20" t="str">
        <f aca="true">"Series "&amp;A161&amp;IF(B161=0,"","/"&amp;INDIRECT(ADDRESS(B161,1,1,TRUE(),"Seasons")))</f>
        <v>Series 32/Autumn</v>
      </c>
      <c r="D161" s="17" t="n">
        <f aca="false">IF(B161=0,VLOOKUP(A161,Series!$A$2:B1003,2,FALSE()),D160+IF(B160=0,0,7))</f>
        <v>45386</v>
      </c>
      <c r="E161" s="8" t="n">
        <v>71</v>
      </c>
    </row>
    <row r="162" customFormat="false" ht="15.75" hidden="false" customHeight="false" outlineLevel="0" collapsed="false">
      <c r="A162" s="20" t="n">
        <f aca="false">FLOOR((ROW()+1)/(COUNTA(Seasons!$A$1:$A1003)+1),1)</f>
        <v>32</v>
      </c>
      <c r="B162" s="20" t="n">
        <f aca="false">MOD(ROW()+1,COUNTA(Seasons!$A$1:$A1003)+1)</f>
        <v>3</v>
      </c>
      <c r="C162" s="20" t="str">
        <f aca="true">"Series "&amp;A162&amp;IF(B162=0,"","/"&amp;INDIRECT(ADDRESS(B162,1,1,TRUE(),"Seasons")))</f>
        <v>Series 32/Winter</v>
      </c>
      <c r="D162" s="17" t="n">
        <f aca="false">IF(B162=0,VLOOKUP(A162,Series!$A$2:B1003,2,FALSE()),D161+IF(B161=0,0,7))</f>
        <v>45393</v>
      </c>
      <c r="E162" s="8" t="n">
        <v>71</v>
      </c>
    </row>
    <row r="163" customFormat="false" ht="15.75" hidden="false" customHeight="false" outlineLevel="0" collapsed="false">
      <c r="A163" s="20" t="n">
        <f aca="false">FLOOR((ROW()+1)/(COUNTA(Seasons!$A$1:$A1003)+1),1)</f>
        <v>32</v>
      </c>
      <c r="B163" s="20" t="n">
        <f aca="false">MOD(ROW()+1,COUNTA(Seasons!$A$1:$A1003)+1)</f>
        <v>4</v>
      </c>
      <c r="C163" s="20" t="str">
        <f aca="true">"Series "&amp;A163&amp;IF(B163=0,"","/"&amp;INDIRECT(ADDRESS(B163,1,1,TRUE(),"Seasons")))</f>
        <v>Series 32/Spring</v>
      </c>
      <c r="D163" s="17" t="n">
        <f aca="false">IF(B163=0,VLOOKUP(A163,Series!$A$2:B1003,2,FALSE()),D162+IF(B162=0,0,7))</f>
        <v>45400</v>
      </c>
      <c r="E163" s="8" t="n">
        <v>71</v>
      </c>
    </row>
    <row r="164" customFormat="false" ht="15.75" hidden="false" customHeight="false" outlineLevel="0" collapsed="false">
      <c r="A164" s="20" t="n">
        <f aca="false">FLOOR((ROW()+1)/(COUNTA(Seasons!$A$1:$A1003)+1),1)</f>
        <v>33</v>
      </c>
      <c r="B164" s="20" t="n">
        <f aca="false">MOD(ROW()+1,COUNTA(Seasons!$A$1:$A1003)+1)</f>
        <v>0</v>
      </c>
      <c r="C164" s="20" t="str">
        <f aca="true">"Series "&amp;A164&amp;IF(B164=0,"","/"&amp;INDIRECT(ADDRESS(B164,1,1,TRUE(),"Seasons")))</f>
        <v>Series 33</v>
      </c>
      <c r="D164" s="17" t="n">
        <f aca="false">IF(B164=0,VLOOKUP(A164,Series!$A$2:B1003,2,FALSE()),D163+IF(B163=0,0,7))</f>
        <v>45407</v>
      </c>
      <c r="E164" s="8" t="n">
        <v>16</v>
      </c>
    </row>
    <row r="165" customFormat="false" ht="15.75" hidden="false" customHeight="false" outlineLevel="0" collapsed="false">
      <c r="A165" s="20" t="n">
        <f aca="false">FLOOR((ROW()+1)/(COUNTA(Seasons!$A$1:$A1003)+1),1)</f>
        <v>33</v>
      </c>
      <c r="B165" s="20" t="n">
        <f aca="false">MOD(ROW()+1,COUNTA(Seasons!$A$1:$A1003)+1)</f>
        <v>1</v>
      </c>
      <c r="C165" s="20" t="str">
        <f aca="true">"Series "&amp;A165&amp;IF(B165=0,"","/"&amp;INDIRECT(ADDRESS(B165,1,1,TRUE(),"Seasons")))</f>
        <v>Series 33/Summer</v>
      </c>
      <c r="D165" s="17" t="n">
        <f aca="false">IF(B165=0,VLOOKUP(A165,Series!$A$2:B1003,2,FALSE()),D164+IF(B164=0,0,7))</f>
        <v>45407</v>
      </c>
      <c r="E165" s="8" t="n">
        <v>71</v>
      </c>
    </row>
    <row r="166" customFormat="false" ht="15.75" hidden="false" customHeight="false" outlineLevel="0" collapsed="false">
      <c r="A166" s="20" t="n">
        <f aca="false">FLOOR((ROW()+1)/(COUNTA(Seasons!$A$1:$A1003)+1),1)</f>
        <v>33</v>
      </c>
      <c r="B166" s="20" t="n">
        <f aca="false">MOD(ROW()+1,COUNTA(Seasons!$A$1:$A1003)+1)</f>
        <v>2</v>
      </c>
      <c r="C166" s="20" t="str">
        <f aca="true">"Series "&amp;A166&amp;IF(B166=0,"","/"&amp;INDIRECT(ADDRESS(B166,1,1,TRUE(),"Seasons")))</f>
        <v>Series 33/Autumn</v>
      </c>
      <c r="D166" s="17" t="n">
        <f aca="false">IF(B166=0,VLOOKUP(A166,Series!$A$2:B1003,2,FALSE()),D165+IF(B165=0,0,7))</f>
        <v>45414</v>
      </c>
      <c r="E166" s="8" t="n">
        <v>71</v>
      </c>
    </row>
    <row r="167" customFormat="false" ht="15.75" hidden="false" customHeight="false" outlineLevel="0" collapsed="false">
      <c r="A167" s="20" t="n">
        <f aca="false">FLOOR((ROW()+1)/(COUNTA(Seasons!$A$1:$A1003)+1),1)</f>
        <v>33</v>
      </c>
      <c r="B167" s="20" t="n">
        <f aca="false">MOD(ROW()+1,COUNTA(Seasons!$A$1:$A1003)+1)</f>
        <v>3</v>
      </c>
      <c r="C167" s="20" t="str">
        <f aca="true">"Series "&amp;A167&amp;IF(B167=0,"","/"&amp;INDIRECT(ADDRESS(B167,1,1,TRUE(),"Seasons")))</f>
        <v>Series 33/Winter</v>
      </c>
      <c r="D167" s="17" t="n">
        <f aca="false">IF(B167=0,VLOOKUP(A167,Series!$A$2:B1003,2,FALSE()),D166+IF(B166=0,0,7))</f>
        <v>45421</v>
      </c>
      <c r="E167" s="8" t="n">
        <v>71</v>
      </c>
    </row>
    <row r="168" customFormat="false" ht="15.75" hidden="false" customHeight="false" outlineLevel="0" collapsed="false">
      <c r="A168" s="20" t="n">
        <f aca="false">FLOOR((ROW()+1)/(COUNTA(Seasons!$A$1:$A1003)+1),1)</f>
        <v>33</v>
      </c>
      <c r="B168" s="20" t="n">
        <f aca="false">MOD(ROW()+1,COUNTA(Seasons!$A$1:$A1003)+1)</f>
        <v>4</v>
      </c>
      <c r="C168" s="20" t="str">
        <f aca="true">"Series "&amp;A168&amp;IF(B168=0,"","/"&amp;INDIRECT(ADDRESS(B168,1,1,TRUE(),"Seasons")))</f>
        <v>Series 33/Spring</v>
      </c>
      <c r="D168" s="17" t="n">
        <f aca="false">IF(B168=0,VLOOKUP(A168,Series!$A$2:B1003,2,FALSE()),D167+IF(B167=0,0,7))</f>
        <v>45428</v>
      </c>
      <c r="E168" s="8" t="n">
        <v>71</v>
      </c>
    </row>
    <row r="169" customFormat="false" ht="15.75" hidden="false" customHeight="false" outlineLevel="0" collapsed="false">
      <c r="A169" s="20" t="n">
        <f aca="false">FLOOR((ROW()+1)/(COUNTA(Seasons!$A$1:$A1003)+1),1)</f>
        <v>34</v>
      </c>
      <c r="B169" s="20" t="n">
        <f aca="false">MOD(ROW()+1,COUNTA(Seasons!$A$1:$A1003)+1)</f>
        <v>0</v>
      </c>
      <c r="C169" s="20" t="str">
        <f aca="true">"Series "&amp;A169&amp;IF(B169=0,"","/"&amp;INDIRECT(ADDRESS(B169,1,1,TRUE(),"Seasons")))</f>
        <v>Series 34</v>
      </c>
      <c r="D169" s="17" t="n">
        <f aca="false">IF(B169=0,VLOOKUP(A169,Series!$A$2:B1003,2,FALSE()),D168+IF(B168=0,0,7))</f>
        <v>45435</v>
      </c>
    </row>
    <row r="170" customFormat="false" ht="15.75" hidden="false" customHeight="false" outlineLevel="0" collapsed="false">
      <c r="A170" s="20" t="n">
        <f aca="false">FLOOR((ROW()+1)/(COUNTA(Seasons!$A$1:$A1003)+1),1)</f>
        <v>34</v>
      </c>
      <c r="B170" s="20" t="n">
        <f aca="false">MOD(ROW()+1,COUNTA(Seasons!$A$1:$A1003)+1)</f>
        <v>1</v>
      </c>
      <c r="C170" s="20" t="str">
        <f aca="true">"Series "&amp;A170&amp;IF(B170=0,"","/"&amp;INDIRECT(ADDRESS(B170,1,1,TRUE(),"Seasons")))</f>
        <v>Series 34/Summer</v>
      </c>
      <c r="D170" s="17" t="n">
        <f aca="false">IF(B170=0,VLOOKUP(A170,Series!$A$2:B1003,2,FALSE()),D169+IF(B169=0,0,7))</f>
        <v>45435</v>
      </c>
    </row>
    <row r="171" customFormat="false" ht="15.75" hidden="false" customHeight="false" outlineLevel="0" collapsed="false">
      <c r="A171" s="20" t="n">
        <f aca="false">FLOOR((ROW()+1)/(COUNTA(Seasons!$A$1:$A1003)+1),1)</f>
        <v>34</v>
      </c>
      <c r="B171" s="20" t="n">
        <f aca="false">MOD(ROW()+1,COUNTA(Seasons!$A$1:$A1003)+1)</f>
        <v>2</v>
      </c>
      <c r="C171" s="20" t="str">
        <f aca="true">"Series "&amp;A171&amp;IF(B171=0,"","/"&amp;INDIRECT(ADDRESS(B171,1,1,TRUE(),"Seasons")))</f>
        <v>Series 34/Autumn</v>
      </c>
      <c r="D171" s="17" t="n">
        <f aca="false">IF(B171=0,VLOOKUP(A171,Series!$A$2:B1003,2,FALSE()),D170+IF(B170=0,0,7))</f>
        <v>45442</v>
      </c>
    </row>
    <row r="172" customFormat="false" ht="15.75" hidden="false" customHeight="false" outlineLevel="0" collapsed="false">
      <c r="A172" s="20" t="n">
        <f aca="false">FLOOR((ROW()+1)/(COUNTA(Seasons!$A$1:$A1003)+1),1)</f>
        <v>34</v>
      </c>
      <c r="B172" s="20" t="n">
        <f aca="false">MOD(ROW()+1,COUNTA(Seasons!$A$1:$A1003)+1)</f>
        <v>3</v>
      </c>
      <c r="C172" s="20" t="str">
        <f aca="true">"Series "&amp;A172&amp;IF(B172=0,"","/"&amp;INDIRECT(ADDRESS(B172,1,1,TRUE(),"Seasons")))</f>
        <v>Series 34/Winter</v>
      </c>
      <c r="D172" s="17" t="n">
        <f aca="false">IF(B172=0,VLOOKUP(A172,Series!$A$2:B1003,2,FALSE()),D171+IF(B171=0,0,7))</f>
        <v>45449</v>
      </c>
    </row>
    <row r="173" customFormat="false" ht="15.75" hidden="false" customHeight="false" outlineLevel="0" collapsed="false">
      <c r="A173" s="20" t="n">
        <f aca="false">FLOOR((ROW()+1)/(COUNTA(Seasons!$A$1:$A1003)+1),1)</f>
        <v>34</v>
      </c>
      <c r="B173" s="20" t="n">
        <f aca="false">MOD(ROW()+1,COUNTA(Seasons!$A$1:$A1003)+1)</f>
        <v>4</v>
      </c>
      <c r="C173" s="20" t="str">
        <f aca="true">"Series "&amp;A173&amp;IF(B173=0,"","/"&amp;INDIRECT(ADDRESS(B173,1,1,TRUE(),"Seasons")))</f>
        <v>Series 34/Spring</v>
      </c>
      <c r="D173" s="17" t="n">
        <f aca="false">IF(B173=0,VLOOKUP(A173,Series!$A$2:B1003,2,FALSE()),D172+IF(B172=0,0,7))</f>
        <v>45456</v>
      </c>
    </row>
    <row r="174" customFormat="false" ht="15.75" hidden="false" customHeight="false" outlineLevel="0" collapsed="false">
      <c r="A174" s="20" t="n">
        <f aca="false">FLOOR((ROW()+1)/(COUNTA(Seasons!$A$1:$A1003)+1),1)</f>
        <v>35</v>
      </c>
      <c r="B174" s="20" t="n">
        <f aca="false">MOD(ROW()+1,COUNTA(Seasons!$A$1:$A1003)+1)</f>
        <v>0</v>
      </c>
      <c r="C174" s="20" t="str">
        <f aca="true">"Series "&amp;A174&amp;IF(B174=0,"","/"&amp;INDIRECT(ADDRESS(B174,1,1,TRUE(),"Seasons")))</f>
        <v>Series 35</v>
      </c>
      <c r="D174" s="17" t="n">
        <f aca="false">IF(B174=0,VLOOKUP(A174,Series!$A$2:B1003,2,FALSE()),D173+IF(B173=0,0,7))</f>
        <v>45463</v>
      </c>
    </row>
    <row r="175" customFormat="false" ht="15.75" hidden="false" customHeight="false" outlineLevel="0" collapsed="false">
      <c r="A175" s="20" t="n">
        <f aca="false">FLOOR((ROW()+1)/(COUNTA(Seasons!$A$1:$A1003)+1),1)</f>
        <v>35</v>
      </c>
      <c r="B175" s="20" t="n">
        <f aca="false">MOD(ROW()+1,COUNTA(Seasons!$A$1:$A1003)+1)</f>
        <v>1</v>
      </c>
      <c r="C175" s="20" t="str">
        <f aca="true">"Series "&amp;A175&amp;IF(B175=0,"","/"&amp;INDIRECT(ADDRESS(B175,1,1,TRUE(),"Seasons")))</f>
        <v>Series 35/Summer</v>
      </c>
      <c r="D175" s="17" t="n">
        <f aca="false">IF(B175=0,VLOOKUP(A175,Series!$A$2:B1003,2,FALSE()),D174+IF(B174=0,0,7))</f>
        <v>45463</v>
      </c>
    </row>
    <row r="176" customFormat="false" ht="15.75" hidden="false" customHeight="false" outlineLevel="0" collapsed="false">
      <c r="A176" s="20" t="n">
        <f aca="false">FLOOR((ROW()+1)/(COUNTA(Seasons!$A$1:$A1003)+1),1)</f>
        <v>35</v>
      </c>
      <c r="B176" s="20" t="n">
        <f aca="false">MOD(ROW()+1,COUNTA(Seasons!$A$1:$A1003)+1)</f>
        <v>2</v>
      </c>
      <c r="C176" s="20" t="str">
        <f aca="true">"Series "&amp;A176&amp;IF(B176=0,"","/"&amp;INDIRECT(ADDRESS(B176,1,1,TRUE(),"Seasons")))</f>
        <v>Series 35/Autumn</v>
      </c>
      <c r="D176" s="17" t="n">
        <f aca="false">IF(B176=0,VLOOKUP(A176,Series!$A$2:B1003,2,FALSE()),D175+IF(B175=0,0,7))</f>
        <v>45470</v>
      </c>
    </row>
    <row r="177" customFormat="false" ht="15.75" hidden="false" customHeight="false" outlineLevel="0" collapsed="false">
      <c r="A177" s="20" t="n">
        <f aca="false">FLOOR((ROW()+1)/(COUNTA(Seasons!$A$1:$A1003)+1),1)</f>
        <v>35</v>
      </c>
      <c r="B177" s="20" t="n">
        <f aca="false">MOD(ROW()+1,COUNTA(Seasons!$A$1:$A1003)+1)</f>
        <v>3</v>
      </c>
      <c r="C177" s="20" t="str">
        <f aca="true">"Series "&amp;A177&amp;IF(B177=0,"","/"&amp;INDIRECT(ADDRESS(B177,1,1,TRUE(),"Seasons")))</f>
        <v>Series 35/Winter</v>
      </c>
      <c r="D177" s="17" t="n">
        <f aca="false">IF(B177=0,VLOOKUP(A177,Series!$A$2:B1003,2,FALSE()),D176+IF(B176=0,0,7))</f>
        <v>45477</v>
      </c>
    </row>
    <row r="178" customFormat="false" ht="15.75" hidden="false" customHeight="false" outlineLevel="0" collapsed="false">
      <c r="A178" s="20" t="n">
        <f aca="false">FLOOR((ROW()+1)/(COUNTA(Seasons!$A$1:$A1003)+1),1)</f>
        <v>35</v>
      </c>
      <c r="B178" s="20" t="n">
        <f aca="false">MOD(ROW()+1,COUNTA(Seasons!$A$1:$A1003)+1)</f>
        <v>4</v>
      </c>
      <c r="C178" s="20" t="str">
        <f aca="true">"Series "&amp;A178&amp;IF(B178=0,"","/"&amp;INDIRECT(ADDRESS(B178,1,1,TRUE(),"Seasons")))</f>
        <v>Series 35/Spring</v>
      </c>
      <c r="D178" s="17" t="n">
        <f aca="false">IF(B178=0,VLOOKUP(A178,Series!$A$2:B1003,2,FALSE()),D177+IF(B177=0,0,7))</f>
        <v>45484</v>
      </c>
    </row>
    <row r="179" customFormat="false" ht="15.75" hidden="false" customHeight="false" outlineLevel="0" collapsed="false">
      <c r="A179" s="20" t="n">
        <f aca="false">FLOOR((ROW()+1)/(COUNTA(Seasons!$A$1:$A1003)+1),1)</f>
        <v>36</v>
      </c>
      <c r="B179" s="20" t="n">
        <f aca="false">MOD(ROW()+1,COUNTA(Seasons!$A$1:$A1003)+1)</f>
        <v>0</v>
      </c>
      <c r="C179" s="20" t="str">
        <f aca="true">"Series "&amp;A179&amp;IF(B179=0,"","/"&amp;INDIRECT(ADDRESS(B179,1,1,TRUE(),"Seasons")))</f>
        <v>Series 36</v>
      </c>
      <c r="D179" s="17" t="n">
        <f aca="false">IF(B179=0,VLOOKUP(A179,Series!$A$2:B1003,2,FALSE()),D178+IF(B178=0,0,7))</f>
        <v>45491</v>
      </c>
    </row>
    <row r="180" customFormat="false" ht="15.75" hidden="false" customHeight="false" outlineLevel="0" collapsed="false">
      <c r="A180" s="20" t="n">
        <f aca="false">FLOOR((ROW()+1)/(COUNTA(Seasons!$A$1:$A1003)+1),1)</f>
        <v>36</v>
      </c>
      <c r="B180" s="20" t="n">
        <f aca="false">MOD(ROW()+1,COUNTA(Seasons!$A$1:$A1003)+1)</f>
        <v>1</v>
      </c>
      <c r="C180" s="20" t="str">
        <f aca="true">"Series "&amp;A180&amp;IF(B180=0,"","/"&amp;INDIRECT(ADDRESS(B180,1,1,TRUE(),"Seasons")))</f>
        <v>Series 36/Summer</v>
      </c>
      <c r="D180" s="17" t="n">
        <f aca="false">IF(B180=0,VLOOKUP(A180,Series!$A$2:B1003,2,FALSE()),D179+IF(B179=0,0,7))</f>
        <v>45491</v>
      </c>
    </row>
    <row r="181" customFormat="false" ht="15.75" hidden="false" customHeight="false" outlineLevel="0" collapsed="false">
      <c r="A181" s="20" t="n">
        <f aca="false">FLOOR((ROW()+1)/(COUNTA(Seasons!$A$1:$A1003)+1),1)</f>
        <v>36</v>
      </c>
      <c r="B181" s="20" t="n">
        <f aca="false">MOD(ROW()+1,COUNTA(Seasons!$A$1:$A1003)+1)</f>
        <v>2</v>
      </c>
      <c r="C181" s="20" t="str">
        <f aca="true">"Series "&amp;A181&amp;IF(B181=0,"","/"&amp;INDIRECT(ADDRESS(B181,1,1,TRUE(),"Seasons")))</f>
        <v>Series 36/Autumn</v>
      </c>
      <c r="D181" s="17" t="n">
        <f aca="false">IF(B181=0,VLOOKUP(A181,Series!$A$2:B1003,2,FALSE()),D180+IF(B180=0,0,7))</f>
        <v>45498</v>
      </c>
    </row>
    <row r="182" customFormat="false" ht="15.75" hidden="false" customHeight="false" outlineLevel="0" collapsed="false">
      <c r="A182" s="20" t="n">
        <f aca="false">FLOOR((ROW()+1)/(COUNTA(Seasons!$A$1:$A1003)+1),1)</f>
        <v>36</v>
      </c>
      <c r="B182" s="20" t="n">
        <f aca="false">MOD(ROW()+1,COUNTA(Seasons!$A$1:$A1003)+1)</f>
        <v>3</v>
      </c>
      <c r="C182" s="20" t="str">
        <f aca="true">"Series "&amp;A182&amp;IF(B182=0,"","/"&amp;INDIRECT(ADDRESS(B182,1,1,TRUE(),"Seasons")))</f>
        <v>Series 36/Winter</v>
      </c>
      <c r="D182" s="17" t="n">
        <f aca="false">IF(B182=0,VLOOKUP(A182,Series!$A$2:B1003,2,FALSE()),D181+IF(B181=0,0,7))</f>
        <v>45505</v>
      </c>
    </row>
    <row r="183" customFormat="false" ht="15.75" hidden="false" customHeight="false" outlineLevel="0" collapsed="false">
      <c r="A183" s="20" t="n">
        <f aca="false">FLOOR((ROW()+1)/(COUNTA(Seasons!$A$1:$A1003)+1),1)</f>
        <v>36</v>
      </c>
      <c r="B183" s="20" t="n">
        <f aca="false">MOD(ROW()+1,COUNTA(Seasons!$A$1:$A1003)+1)</f>
        <v>4</v>
      </c>
      <c r="C183" s="20" t="str">
        <f aca="true">"Series "&amp;A183&amp;IF(B183=0,"","/"&amp;INDIRECT(ADDRESS(B183,1,1,TRUE(),"Seasons")))</f>
        <v>Series 36/Spring</v>
      </c>
      <c r="D183" s="17" t="n">
        <f aca="false">IF(B183=0,VLOOKUP(A183,Series!$A$2:B1003,2,FALSE()),D182+IF(B182=0,0,7))</f>
        <v>45512</v>
      </c>
    </row>
    <row r="184" customFormat="false" ht="15.75" hidden="false" customHeight="false" outlineLevel="0" collapsed="false">
      <c r="A184" s="20" t="n">
        <f aca="false">FLOOR((ROW()+1)/(COUNTA(Seasons!$A$1:$A1003)+1),1)</f>
        <v>37</v>
      </c>
      <c r="B184" s="20" t="n">
        <f aca="false">MOD(ROW()+1,COUNTA(Seasons!$A$1:$A1003)+1)</f>
        <v>0</v>
      </c>
      <c r="C184" s="20" t="str">
        <f aca="true">"Series "&amp;A184&amp;IF(B184=0,"","/"&amp;INDIRECT(ADDRESS(B184,1,1,TRUE(),"Seasons")))</f>
        <v>Series 37</v>
      </c>
      <c r="D184" s="17" t="n">
        <f aca="false">IF(B184=0,VLOOKUP(A184,Series!$A$2:B1003,2,FALSE()),D183+IF(B183=0,0,7))</f>
        <v>45519</v>
      </c>
    </row>
    <row r="185" customFormat="false" ht="15.75" hidden="false" customHeight="false" outlineLevel="0" collapsed="false">
      <c r="A185" s="20" t="n">
        <f aca="false">FLOOR((ROW()+1)/(COUNTA(Seasons!$A$1:$A1003)+1),1)</f>
        <v>37</v>
      </c>
      <c r="B185" s="20" t="n">
        <f aca="false">MOD(ROW()+1,COUNTA(Seasons!$A$1:$A1003)+1)</f>
        <v>1</v>
      </c>
      <c r="C185" s="20" t="str">
        <f aca="true">"Series "&amp;A185&amp;IF(B185=0,"","/"&amp;INDIRECT(ADDRESS(B185,1,1,TRUE(),"Seasons")))</f>
        <v>Series 37/Summer</v>
      </c>
      <c r="D185" s="17" t="n">
        <f aca="false">IF(B185=0,VLOOKUP(A185,Series!$A$2:B1003,2,FALSE()),D184+IF(B184=0,0,7))</f>
        <v>45519</v>
      </c>
    </row>
    <row r="186" customFormat="false" ht="15.75" hidden="false" customHeight="false" outlineLevel="0" collapsed="false">
      <c r="A186" s="20" t="n">
        <f aca="false">FLOOR((ROW()+1)/(COUNTA(Seasons!$A$1:$A1003)+1),1)</f>
        <v>37</v>
      </c>
      <c r="B186" s="20" t="n">
        <f aca="false">MOD(ROW()+1,COUNTA(Seasons!$A$1:$A1003)+1)</f>
        <v>2</v>
      </c>
      <c r="C186" s="20" t="str">
        <f aca="true">"Series "&amp;A186&amp;IF(B186=0,"","/"&amp;INDIRECT(ADDRESS(B186,1,1,TRUE(),"Seasons")))</f>
        <v>Series 37/Autumn</v>
      </c>
      <c r="D186" s="17" t="n">
        <f aca="false">IF(B186=0,VLOOKUP(A186,Series!$A$2:B1003,2,FALSE()),D185+IF(B185=0,0,7))</f>
        <v>45526</v>
      </c>
    </row>
    <row r="187" customFormat="false" ht="15.75" hidden="false" customHeight="false" outlineLevel="0" collapsed="false">
      <c r="A187" s="20" t="n">
        <f aca="false">FLOOR((ROW()+1)/(COUNTA(Seasons!$A$1:$A1003)+1),1)</f>
        <v>37</v>
      </c>
      <c r="B187" s="20" t="n">
        <f aca="false">MOD(ROW()+1,COUNTA(Seasons!$A$1:$A1003)+1)</f>
        <v>3</v>
      </c>
      <c r="C187" s="20" t="str">
        <f aca="true">"Series "&amp;A187&amp;IF(B187=0,"","/"&amp;INDIRECT(ADDRESS(B187,1,1,TRUE(),"Seasons")))</f>
        <v>Series 37/Winter</v>
      </c>
      <c r="D187" s="17" t="n">
        <f aca="false">IF(B187=0,VLOOKUP(A187,Series!$A$2:B1003,2,FALSE()),D186+IF(B186=0,0,7))</f>
        <v>45533</v>
      </c>
    </row>
    <row r="188" customFormat="false" ht="15.75" hidden="false" customHeight="false" outlineLevel="0" collapsed="false">
      <c r="A188" s="20" t="n">
        <f aca="false">FLOOR((ROW()+1)/(COUNTA(Seasons!$A$1:$A1003)+1),1)</f>
        <v>37</v>
      </c>
      <c r="B188" s="20" t="n">
        <f aca="false">MOD(ROW()+1,COUNTA(Seasons!$A$1:$A1003)+1)</f>
        <v>4</v>
      </c>
      <c r="C188" s="20" t="str">
        <f aca="true">"Series "&amp;A188&amp;IF(B188=0,"","/"&amp;INDIRECT(ADDRESS(B188,1,1,TRUE(),"Seasons")))</f>
        <v>Series 37/Spring</v>
      </c>
      <c r="D188" s="17" t="n">
        <f aca="false">IF(B188=0,VLOOKUP(A188,Series!$A$2:B1003,2,FALSE()),D187+IF(B187=0,0,7))</f>
        <v>45540</v>
      </c>
    </row>
    <row r="189" customFormat="false" ht="15.75" hidden="false" customHeight="false" outlineLevel="0" collapsed="false">
      <c r="A189" s="20" t="n">
        <f aca="false">FLOOR((ROW()+1)/(COUNTA(Seasons!$A$1:$A1003)+1),1)</f>
        <v>38</v>
      </c>
      <c r="B189" s="20" t="n">
        <f aca="false">MOD(ROW()+1,COUNTA(Seasons!$A$1:$A1003)+1)</f>
        <v>0</v>
      </c>
      <c r="C189" s="20" t="str">
        <f aca="true">"Series "&amp;A189&amp;IF(B189=0,"","/"&amp;INDIRECT(ADDRESS(B189,1,1,TRUE(),"Seasons")))</f>
        <v>Series 38</v>
      </c>
      <c r="D189" s="17" t="n">
        <f aca="false">IF(B189=0,VLOOKUP(A189,Series!$A$2:B1003,2,FALSE()),D188+IF(B188=0,0,7))</f>
        <v>45547</v>
      </c>
    </row>
    <row r="190" customFormat="false" ht="15.75" hidden="false" customHeight="false" outlineLevel="0" collapsed="false">
      <c r="A190" s="20" t="n">
        <f aca="false">FLOOR((ROW()+1)/(COUNTA(Seasons!$A$1:$A1003)+1),1)</f>
        <v>38</v>
      </c>
      <c r="B190" s="20" t="n">
        <f aca="false">MOD(ROW()+1,COUNTA(Seasons!$A$1:$A1003)+1)</f>
        <v>1</v>
      </c>
      <c r="C190" s="20" t="str">
        <f aca="true">"Series "&amp;A190&amp;IF(B190=0,"","/"&amp;INDIRECT(ADDRESS(B190,1,1,TRUE(),"Seasons")))</f>
        <v>Series 38/Summer</v>
      </c>
      <c r="D190" s="17" t="n">
        <f aca="false">IF(B190=0,VLOOKUP(A190,Series!$A$2:B1003,2,FALSE()),D189+IF(B189=0,0,7))</f>
        <v>45547</v>
      </c>
    </row>
    <row r="191" customFormat="false" ht="15.75" hidden="false" customHeight="false" outlineLevel="0" collapsed="false">
      <c r="A191" s="20" t="n">
        <f aca="false">FLOOR((ROW()+1)/(COUNTA(Seasons!$A$1:$A1003)+1),1)</f>
        <v>38</v>
      </c>
      <c r="B191" s="20" t="n">
        <f aca="false">MOD(ROW()+1,COUNTA(Seasons!$A$1:$A1003)+1)</f>
        <v>2</v>
      </c>
      <c r="C191" s="20" t="str">
        <f aca="true">"Series "&amp;A191&amp;IF(B191=0,"","/"&amp;INDIRECT(ADDRESS(B191,1,1,TRUE(),"Seasons")))</f>
        <v>Series 38/Autumn</v>
      </c>
      <c r="D191" s="17" t="n">
        <f aca="false">IF(B191=0,VLOOKUP(A191,Series!$A$2:B1003,2,FALSE()),D190+IF(B190=0,0,7))</f>
        <v>45554</v>
      </c>
    </row>
    <row r="192" customFormat="false" ht="15.75" hidden="false" customHeight="false" outlineLevel="0" collapsed="false">
      <c r="A192" s="20" t="n">
        <f aca="false">FLOOR((ROW()+1)/(COUNTA(Seasons!$A$1:$A1003)+1),1)</f>
        <v>38</v>
      </c>
      <c r="B192" s="20" t="n">
        <f aca="false">MOD(ROW()+1,COUNTA(Seasons!$A$1:$A1003)+1)</f>
        <v>3</v>
      </c>
      <c r="C192" s="20" t="str">
        <f aca="true">"Series "&amp;A192&amp;IF(B192=0,"","/"&amp;INDIRECT(ADDRESS(B192,1,1,TRUE(),"Seasons")))</f>
        <v>Series 38/Winter</v>
      </c>
      <c r="D192" s="17" t="n">
        <f aca="false">IF(B192=0,VLOOKUP(A192,Series!$A$2:B1003,2,FALSE()),D191+IF(B191=0,0,7))</f>
        <v>45561</v>
      </c>
    </row>
    <row r="193" customFormat="false" ht="15.75" hidden="false" customHeight="false" outlineLevel="0" collapsed="false">
      <c r="A193" s="20" t="n">
        <f aca="false">FLOOR((ROW()+1)/(COUNTA(Seasons!$A$1:$A1003)+1),1)</f>
        <v>38</v>
      </c>
      <c r="B193" s="20" t="n">
        <f aca="false">MOD(ROW()+1,COUNTA(Seasons!$A$1:$A1003)+1)</f>
        <v>4</v>
      </c>
      <c r="C193" s="20" t="str">
        <f aca="true">"Series "&amp;A193&amp;IF(B193=0,"","/"&amp;INDIRECT(ADDRESS(B193,1,1,TRUE(),"Seasons")))</f>
        <v>Series 38/Spring</v>
      </c>
      <c r="D193" s="17" t="n">
        <f aca="false">IF(B193=0,VLOOKUP(A193,Series!$A$2:B1003,2,FALSE()),D192+IF(B192=0,0,7))</f>
        <v>45568</v>
      </c>
    </row>
    <row r="194" customFormat="false" ht="15.75" hidden="false" customHeight="false" outlineLevel="0" collapsed="false">
      <c r="A194" s="20" t="n">
        <f aca="false">FLOOR((ROW()+1)/(COUNTA(Seasons!$A$1:$A1003)+1),1)</f>
        <v>39</v>
      </c>
      <c r="B194" s="20" t="n">
        <f aca="false">MOD(ROW()+1,COUNTA(Seasons!$A$1:$A1003)+1)</f>
        <v>0</v>
      </c>
      <c r="C194" s="20" t="str">
        <f aca="true">"Series "&amp;A194&amp;IF(B194=0,"","/"&amp;INDIRECT(ADDRESS(B194,1,1,TRUE(),"Seasons")))</f>
        <v>Series 39</v>
      </c>
      <c r="D194" s="17" t="n">
        <f aca="false">IF(B194=0,VLOOKUP(A194,Series!$A$2:B1003,2,FALSE()),D193+IF(B193=0,0,7))</f>
        <v>45575</v>
      </c>
    </row>
    <row r="195" customFormat="false" ht="15.75" hidden="false" customHeight="false" outlineLevel="0" collapsed="false">
      <c r="A195" s="20" t="n">
        <f aca="false">FLOOR((ROW()+1)/(COUNTA(Seasons!$A$1:$A1003)+1),1)</f>
        <v>39</v>
      </c>
      <c r="B195" s="20" t="n">
        <f aca="false">MOD(ROW()+1,COUNTA(Seasons!$A$1:$A1003)+1)</f>
        <v>1</v>
      </c>
      <c r="C195" s="20" t="str">
        <f aca="true">"Series "&amp;A195&amp;IF(B195=0,"","/"&amp;INDIRECT(ADDRESS(B195,1,1,TRUE(),"Seasons")))</f>
        <v>Series 39/Summer</v>
      </c>
      <c r="D195" s="17" t="n">
        <f aca="false">IF(B195=0,VLOOKUP(A195,Series!$A$2:B1003,2,FALSE()),D194+IF(B194=0,0,7))</f>
        <v>45575</v>
      </c>
    </row>
    <row r="196" customFormat="false" ht="15.75" hidden="false" customHeight="false" outlineLevel="0" collapsed="false">
      <c r="A196" s="20" t="n">
        <f aca="false">FLOOR((ROW()+1)/(COUNTA(Seasons!$A$1:$A1003)+1),1)</f>
        <v>39</v>
      </c>
      <c r="B196" s="20" t="n">
        <f aca="false">MOD(ROW()+1,COUNTA(Seasons!$A$1:$A1003)+1)</f>
        <v>2</v>
      </c>
      <c r="C196" s="20" t="str">
        <f aca="true">"Series "&amp;A196&amp;IF(B196=0,"","/"&amp;INDIRECT(ADDRESS(B196,1,1,TRUE(),"Seasons")))</f>
        <v>Series 39/Autumn</v>
      </c>
      <c r="D196" s="17" t="n">
        <f aca="false">IF(B196=0,VLOOKUP(A196,Series!$A$2:B1003,2,FALSE()),D195+IF(B195=0,0,7))</f>
        <v>45582</v>
      </c>
    </row>
    <row r="197" customFormat="false" ht="15.75" hidden="false" customHeight="false" outlineLevel="0" collapsed="false">
      <c r="A197" s="20" t="n">
        <f aca="false">FLOOR((ROW()+1)/(COUNTA(Seasons!$A$1:$A1003)+1),1)</f>
        <v>39</v>
      </c>
      <c r="B197" s="20" t="n">
        <f aca="false">MOD(ROW()+1,COUNTA(Seasons!$A$1:$A1003)+1)</f>
        <v>3</v>
      </c>
      <c r="C197" s="20" t="str">
        <f aca="true">"Series "&amp;A197&amp;IF(B197=0,"","/"&amp;INDIRECT(ADDRESS(B197,1,1,TRUE(),"Seasons")))</f>
        <v>Series 39/Winter</v>
      </c>
      <c r="D197" s="17" t="n">
        <f aca="false">IF(B197=0,VLOOKUP(A197,Series!$A$2:B1003,2,FALSE()),D196+IF(B196=0,0,7))</f>
        <v>45589</v>
      </c>
    </row>
    <row r="198" customFormat="false" ht="15.75" hidden="false" customHeight="false" outlineLevel="0" collapsed="false">
      <c r="A198" s="20" t="n">
        <f aca="false">FLOOR((ROW()+1)/(COUNTA(Seasons!$A$1:$A1003)+1),1)</f>
        <v>39</v>
      </c>
      <c r="B198" s="20" t="n">
        <f aca="false">MOD(ROW()+1,COUNTA(Seasons!$A$1:$A1003)+1)</f>
        <v>4</v>
      </c>
      <c r="C198" s="20" t="str">
        <f aca="true">"Series "&amp;A198&amp;IF(B198=0,"","/"&amp;INDIRECT(ADDRESS(B198,1,1,TRUE(),"Seasons")))</f>
        <v>Series 39/Spring</v>
      </c>
      <c r="D198" s="17" t="n">
        <f aca="false">IF(B198=0,VLOOKUP(A198,Series!$A$2:B1003,2,FALSE()),D197+IF(B197=0,0,7))</f>
        <v>45596</v>
      </c>
    </row>
    <row r="199" customFormat="false" ht="15.75" hidden="false" customHeight="false" outlineLevel="0" collapsed="false">
      <c r="A199" s="20" t="n">
        <f aca="false">FLOOR((ROW()+1)/(COUNTA(Seasons!$A$1:$A1003)+1),1)</f>
        <v>40</v>
      </c>
      <c r="B199" s="20" t="n">
        <f aca="false">MOD(ROW()+1,COUNTA(Seasons!$A$1:$A1003)+1)</f>
        <v>0</v>
      </c>
      <c r="C199" s="20" t="str">
        <f aca="true">"Series "&amp;A199&amp;IF(B199=0,"","/"&amp;INDIRECT(ADDRESS(B199,1,1,TRUE(),"Seasons")))</f>
        <v>Series 40</v>
      </c>
      <c r="D199" s="17" t="n">
        <f aca="false">IF(B199=0,VLOOKUP(A199,Series!$A$2:B1003,2,FALSE()),D198+IF(B198=0,0,7))</f>
        <v>45603</v>
      </c>
    </row>
    <row r="200" customFormat="false" ht="15.75" hidden="false" customHeight="false" outlineLevel="0" collapsed="false">
      <c r="A200" s="20" t="n">
        <f aca="false">FLOOR((ROW()+1)/(COUNTA(Seasons!$A$1:$A1003)+1),1)</f>
        <v>40</v>
      </c>
      <c r="B200" s="20" t="n">
        <f aca="false">MOD(ROW()+1,COUNTA(Seasons!$A$1:$A1003)+1)</f>
        <v>1</v>
      </c>
      <c r="C200" s="20" t="str">
        <f aca="true">"Series "&amp;A200&amp;IF(B200=0,"","/"&amp;INDIRECT(ADDRESS(B200,1,1,TRUE(),"Seasons")))</f>
        <v>Series 40/Summer</v>
      </c>
      <c r="D200" s="17" t="n">
        <f aca="false">IF(B200=0,VLOOKUP(A200,Series!$A$2:B1003,2,FALSE()),D199+IF(B199=0,0,7))</f>
        <v>45603</v>
      </c>
    </row>
    <row r="201" customFormat="false" ht="15.75" hidden="false" customHeight="false" outlineLevel="0" collapsed="false">
      <c r="A201" s="20" t="n">
        <f aca="false">FLOOR((ROW()+1)/(COUNTA(Seasons!$A$1:$A1003)+1),1)</f>
        <v>40</v>
      </c>
      <c r="B201" s="20" t="n">
        <f aca="false">MOD(ROW()+1,COUNTA(Seasons!$A$1:$A1003)+1)</f>
        <v>2</v>
      </c>
      <c r="C201" s="20" t="str">
        <f aca="true">"Series "&amp;A201&amp;IF(B201=0,"","/"&amp;INDIRECT(ADDRESS(B201,1,1,TRUE(),"Seasons")))</f>
        <v>Series 40/Autumn</v>
      </c>
      <c r="D201" s="17" t="n">
        <f aca="false">IF(B201=0,VLOOKUP(A201,Series!$A$2:B1003,2,FALSE()),D200+IF(B200=0,0,7))</f>
        <v>45610</v>
      </c>
    </row>
    <row r="202" customFormat="false" ht="15.75" hidden="false" customHeight="false" outlineLevel="0" collapsed="false">
      <c r="A202" s="20" t="n">
        <f aca="false">FLOOR((ROW()+1)/(COUNTA(Seasons!$A$1:$A1003)+1),1)</f>
        <v>40</v>
      </c>
      <c r="B202" s="20" t="n">
        <f aca="false">MOD(ROW()+1,COUNTA(Seasons!$A$1:$A1003)+1)</f>
        <v>3</v>
      </c>
      <c r="C202" s="20" t="str">
        <f aca="true">"Series "&amp;A202&amp;IF(B202=0,"","/"&amp;INDIRECT(ADDRESS(B202,1,1,TRUE(),"Seasons")))</f>
        <v>Series 40/Winter</v>
      </c>
      <c r="D202" s="17" t="n">
        <f aca="false">IF(B202=0,VLOOKUP(A202,Series!$A$2:B1003,2,FALSE()),D201+IF(B201=0,0,7))</f>
        <v>45617</v>
      </c>
    </row>
    <row r="203" customFormat="false" ht="15.75" hidden="false" customHeight="false" outlineLevel="0" collapsed="false">
      <c r="A203" s="20" t="n">
        <f aca="false">FLOOR((ROW()+1)/(COUNTA(Seasons!$A$1:$A1003)+1),1)</f>
        <v>40</v>
      </c>
      <c r="B203" s="20" t="n">
        <f aca="false">MOD(ROW()+1,COUNTA(Seasons!$A$1:$A1003)+1)</f>
        <v>4</v>
      </c>
      <c r="C203" s="20" t="str">
        <f aca="true">"Series "&amp;A203&amp;IF(B203=0,"","/"&amp;INDIRECT(ADDRESS(B203,1,1,TRUE(),"Seasons")))</f>
        <v>Series 40/Spring</v>
      </c>
      <c r="D203" s="17" t="n">
        <f aca="false">IF(B203=0,VLOOKUP(A203,Series!$A$2:B1003,2,FALSE()),D202+IF(B202=0,0,7))</f>
        <v>45624</v>
      </c>
    </row>
    <row r="204" customFormat="false" ht="15.75" hidden="false" customHeight="false" outlineLevel="0" collapsed="false">
      <c r="A204" s="20" t="n">
        <f aca="false">FLOOR((ROW()+1)/(COUNTA(Seasons!$A$1:$A1003)+1),1)</f>
        <v>41</v>
      </c>
      <c r="B204" s="20" t="n">
        <f aca="false">MOD(ROW()+1,COUNTA(Seasons!$A$1:$A1003)+1)</f>
        <v>0</v>
      </c>
      <c r="C204" s="20" t="str">
        <f aca="true">"Series "&amp;A204&amp;IF(B204=0,"","/"&amp;INDIRECT(ADDRESS(B204,1,1,TRUE(),"Seasons")))</f>
        <v>Series 41</v>
      </c>
      <c r="D204" s="17" t="n">
        <f aca="false">IF(B204=0,VLOOKUP(A204,Series!$A$2:B1003,2,FALSE()),D203+IF(B203=0,0,7))</f>
        <v>45631</v>
      </c>
    </row>
    <row r="205" customFormat="false" ht="15.75" hidden="false" customHeight="false" outlineLevel="0" collapsed="false">
      <c r="A205" s="20" t="n">
        <f aca="false">FLOOR((ROW()+1)/(COUNTA(Seasons!$A$1:$A1003)+1),1)</f>
        <v>41</v>
      </c>
      <c r="B205" s="20" t="n">
        <f aca="false">MOD(ROW()+1,COUNTA(Seasons!$A$1:$A1003)+1)</f>
        <v>1</v>
      </c>
      <c r="C205" s="20" t="str">
        <f aca="true">"Series "&amp;A205&amp;IF(B205=0,"","/"&amp;INDIRECT(ADDRESS(B205,1,1,TRUE(),"Seasons")))</f>
        <v>Series 41/Summer</v>
      </c>
      <c r="D205" s="17" t="n">
        <f aca="false">IF(B205=0,VLOOKUP(A205,Series!$A$2:B1003,2,FALSE()),D204+IF(B204=0,0,7))</f>
        <v>45631</v>
      </c>
    </row>
    <row r="206" customFormat="false" ht="15.75" hidden="false" customHeight="false" outlineLevel="0" collapsed="false">
      <c r="A206" s="20" t="n">
        <f aca="false">FLOOR((ROW()+1)/(COUNTA(Seasons!$A$1:$A1003)+1),1)</f>
        <v>41</v>
      </c>
      <c r="B206" s="20" t="n">
        <f aca="false">MOD(ROW()+1,COUNTA(Seasons!$A$1:$A1003)+1)</f>
        <v>2</v>
      </c>
      <c r="C206" s="20" t="str">
        <f aca="true">"Series "&amp;A206&amp;IF(B206=0,"","/"&amp;INDIRECT(ADDRESS(B206,1,1,TRUE(),"Seasons")))</f>
        <v>Series 41/Autumn</v>
      </c>
      <c r="D206" s="17" t="n">
        <f aca="false">IF(B206=0,VLOOKUP(A206,Series!$A$2:B1003,2,FALSE()),D205+IF(B205=0,0,7))</f>
        <v>45638</v>
      </c>
    </row>
    <row r="207" customFormat="false" ht="15.75" hidden="false" customHeight="false" outlineLevel="0" collapsed="false">
      <c r="A207" s="20" t="n">
        <f aca="false">FLOOR((ROW()+1)/(COUNTA(Seasons!$A$1:$A1003)+1),1)</f>
        <v>41</v>
      </c>
      <c r="B207" s="20" t="n">
        <f aca="false">MOD(ROW()+1,COUNTA(Seasons!$A$1:$A1003)+1)</f>
        <v>3</v>
      </c>
      <c r="C207" s="20" t="str">
        <f aca="true">"Series "&amp;A207&amp;IF(B207=0,"","/"&amp;INDIRECT(ADDRESS(B207,1,1,TRUE(),"Seasons")))</f>
        <v>Series 41/Winter</v>
      </c>
      <c r="D207" s="17" t="n">
        <f aca="false">IF(B207=0,VLOOKUP(A207,Series!$A$2:B1003,2,FALSE()),D206+IF(B206=0,0,7))</f>
        <v>45645</v>
      </c>
    </row>
    <row r="208" customFormat="false" ht="15.75" hidden="false" customHeight="false" outlineLevel="0" collapsed="false">
      <c r="A208" s="20" t="n">
        <f aca="false">FLOOR((ROW()+1)/(COUNTA(Seasons!$A$1:$A1003)+1),1)</f>
        <v>41</v>
      </c>
      <c r="B208" s="20" t="n">
        <f aca="false">MOD(ROW()+1,COUNTA(Seasons!$A$1:$A1003)+1)</f>
        <v>4</v>
      </c>
      <c r="C208" s="20" t="str">
        <f aca="true">"Series "&amp;A208&amp;IF(B208=0,"","/"&amp;INDIRECT(ADDRESS(B208,1,1,TRUE(),"Seasons")))</f>
        <v>Series 41/Spring</v>
      </c>
      <c r="D208" s="17" t="n">
        <f aca="false">IF(B208=0,VLOOKUP(A208,Series!$A$2:B1003,2,FALSE()),D207+IF(B207=0,0,7))</f>
        <v>45652</v>
      </c>
    </row>
    <row r="209" customFormat="false" ht="15.75" hidden="false" customHeight="false" outlineLevel="0" collapsed="false">
      <c r="A209" s="20" t="n">
        <f aca="false">FLOOR((ROW()+1)/(COUNTA(Seasons!$A$1:$A1003)+1),1)</f>
        <v>42</v>
      </c>
      <c r="B209" s="20" t="n">
        <f aca="false">MOD(ROW()+1,COUNTA(Seasons!$A$1:$A1003)+1)</f>
        <v>0</v>
      </c>
      <c r="C209" s="20" t="str">
        <f aca="true">"Series "&amp;A209&amp;IF(B209=0,"","/"&amp;INDIRECT(ADDRESS(B209,1,1,TRUE(),"Seasons")))</f>
        <v>Series 42</v>
      </c>
      <c r="D209" s="17" t="n">
        <f aca="false">IF(B209=0,VLOOKUP(A209,Series!$A$2:B1003,2,FALSE()),D208+IF(B208=0,0,7))</f>
        <v>45659</v>
      </c>
    </row>
    <row r="210" customFormat="false" ht="15.75" hidden="false" customHeight="false" outlineLevel="0" collapsed="false">
      <c r="A210" s="20" t="n">
        <f aca="false">FLOOR((ROW()+1)/(COUNTA(Seasons!$A$1:$A1003)+1),1)</f>
        <v>42</v>
      </c>
      <c r="B210" s="20" t="n">
        <f aca="false">MOD(ROW()+1,COUNTA(Seasons!$A$1:$A1003)+1)</f>
        <v>1</v>
      </c>
      <c r="C210" s="20" t="str">
        <f aca="true">"Series "&amp;A210&amp;IF(B210=0,"","/"&amp;INDIRECT(ADDRESS(B210,1,1,TRUE(),"Seasons")))</f>
        <v>Series 42/Summer</v>
      </c>
      <c r="D210" s="17" t="n">
        <f aca="false">IF(B210=0,VLOOKUP(A210,Series!$A$2:B1003,2,FALSE()),D209+IF(B209=0,0,7))</f>
        <v>45659</v>
      </c>
    </row>
    <row r="211" customFormat="false" ht="15.75" hidden="false" customHeight="false" outlineLevel="0" collapsed="false">
      <c r="A211" s="20" t="n">
        <f aca="false">FLOOR((ROW()+1)/(COUNTA(Seasons!$A$1:$A1003)+1),1)</f>
        <v>42</v>
      </c>
      <c r="B211" s="20" t="n">
        <f aca="false">MOD(ROW()+1,COUNTA(Seasons!$A$1:$A1003)+1)</f>
        <v>2</v>
      </c>
      <c r="C211" s="20" t="str">
        <f aca="true">"Series "&amp;A211&amp;IF(B211=0,"","/"&amp;INDIRECT(ADDRESS(B211,1,1,TRUE(),"Seasons")))</f>
        <v>Series 42/Autumn</v>
      </c>
      <c r="D211" s="17" t="n">
        <f aca="false">IF(B211=0,VLOOKUP(A211,Series!$A$2:B1003,2,FALSE()),D210+IF(B210=0,0,7))</f>
        <v>45666</v>
      </c>
    </row>
    <row r="212" customFormat="false" ht="15.75" hidden="false" customHeight="false" outlineLevel="0" collapsed="false">
      <c r="A212" s="20" t="n">
        <f aca="false">FLOOR((ROW()+1)/(COUNTA(Seasons!$A$1:$A1003)+1),1)</f>
        <v>42</v>
      </c>
      <c r="B212" s="20" t="n">
        <f aca="false">MOD(ROW()+1,COUNTA(Seasons!$A$1:$A1003)+1)</f>
        <v>3</v>
      </c>
      <c r="C212" s="20" t="str">
        <f aca="true">"Series "&amp;A212&amp;IF(B212=0,"","/"&amp;INDIRECT(ADDRESS(B212,1,1,TRUE(),"Seasons")))</f>
        <v>Series 42/Winter</v>
      </c>
      <c r="D212" s="17" t="n">
        <f aca="false">IF(B212=0,VLOOKUP(A212,Series!$A$2:B1003,2,FALSE()),D211+IF(B211=0,0,7))</f>
        <v>45673</v>
      </c>
    </row>
    <row r="213" customFormat="false" ht="15.75" hidden="false" customHeight="false" outlineLevel="0" collapsed="false">
      <c r="A213" s="20" t="n">
        <f aca="false">FLOOR((ROW()+1)/(COUNTA(Seasons!$A$1:$A1003)+1),1)</f>
        <v>42</v>
      </c>
      <c r="B213" s="20" t="n">
        <f aca="false">MOD(ROW()+1,COUNTA(Seasons!$A$1:$A1003)+1)</f>
        <v>4</v>
      </c>
      <c r="C213" s="20" t="str">
        <f aca="true">"Series "&amp;A213&amp;IF(B213=0,"","/"&amp;INDIRECT(ADDRESS(B213,1,1,TRUE(),"Seasons")))</f>
        <v>Series 42/Spring</v>
      </c>
      <c r="D213" s="17" t="n">
        <f aca="false">IF(B213=0,VLOOKUP(A213,Series!$A$2:B1003,2,FALSE()),D212+IF(B212=0,0,7))</f>
        <v>45680</v>
      </c>
    </row>
    <row r="214" customFormat="false" ht="15.75" hidden="false" customHeight="false" outlineLevel="0" collapsed="false">
      <c r="A214" s="20" t="n">
        <f aca="false">FLOOR((ROW()+1)/(COUNTA(Seasons!$A$1:$A1003)+1),1)</f>
        <v>43</v>
      </c>
      <c r="B214" s="20" t="n">
        <f aca="false">MOD(ROW()+1,COUNTA(Seasons!$A$1:$A1003)+1)</f>
        <v>0</v>
      </c>
      <c r="C214" s="20" t="str">
        <f aca="true">"Series "&amp;A214&amp;IF(B214=0,"","/"&amp;INDIRECT(ADDRESS(B214,1,1,TRUE(),"Seasons")))</f>
        <v>Series 43</v>
      </c>
      <c r="D214" s="17" t="n">
        <f aca="false">IF(B214=0,VLOOKUP(A214,Series!$A$2:B1003,2,FALSE()),D213+IF(B213=0,0,7))</f>
        <v>45687</v>
      </c>
    </row>
    <row r="215" customFormat="false" ht="15.75" hidden="false" customHeight="false" outlineLevel="0" collapsed="false">
      <c r="A215" s="20" t="n">
        <f aca="false">FLOOR((ROW()+1)/(COUNTA(Seasons!$A$1:$A1003)+1),1)</f>
        <v>43</v>
      </c>
      <c r="B215" s="20" t="n">
        <f aca="false">MOD(ROW()+1,COUNTA(Seasons!$A$1:$A1003)+1)</f>
        <v>1</v>
      </c>
      <c r="C215" s="20" t="str">
        <f aca="true">"Series "&amp;A215&amp;IF(B215=0,"","/"&amp;INDIRECT(ADDRESS(B215,1,1,TRUE(),"Seasons")))</f>
        <v>Series 43/Summer</v>
      </c>
      <c r="D215" s="17" t="n">
        <f aca="false">IF(B215=0,VLOOKUP(A215,Series!$A$2:B1003,2,FALSE()),D214+IF(B214=0,0,7))</f>
        <v>45687</v>
      </c>
    </row>
    <row r="216" customFormat="false" ht="15.75" hidden="false" customHeight="false" outlineLevel="0" collapsed="false">
      <c r="A216" s="20" t="n">
        <f aca="false">FLOOR((ROW()+1)/(COUNTA(Seasons!$A$1:$A1003)+1),1)</f>
        <v>43</v>
      </c>
      <c r="B216" s="20" t="n">
        <f aca="false">MOD(ROW()+1,COUNTA(Seasons!$A$1:$A1003)+1)</f>
        <v>2</v>
      </c>
      <c r="C216" s="20" t="str">
        <f aca="true">"Series "&amp;A216&amp;IF(B216=0,"","/"&amp;INDIRECT(ADDRESS(B216,1,1,TRUE(),"Seasons")))</f>
        <v>Series 43/Autumn</v>
      </c>
      <c r="D216" s="17" t="n">
        <f aca="false">IF(B216=0,VLOOKUP(A216,Series!$A$2:B1003,2,FALSE()),D215+IF(B215=0,0,7))</f>
        <v>45694</v>
      </c>
    </row>
    <row r="217" customFormat="false" ht="15.75" hidden="false" customHeight="false" outlineLevel="0" collapsed="false">
      <c r="A217" s="20" t="n">
        <f aca="false">FLOOR((ROW()+1)/(COUNTA(Seasons!$A$1:$A1003)+1),1)</f>
        <v>43</v>
      </c>
      <c r="B217" s="20" t="n">
        <f aca="false">MOD(ROW()+1,COUNTA(Seasons!$A$1:$A1003)+1)</f>
        <v>3</v>
      </c>
      <c r="C217" s="20" t="str">
        <f aca="true">"Series "&amp;A217&amp;IF(B217=0,"","/"&amp;INDIRECT(ADDRESS(B217,1,1,TRUE(),"Seasons")))</f>
        <v>Series 43/Winter</v>
      </c>
      <c r="D217" s="17" t="n">
        <f aca="false">IF(B217=0,VLOOKUP(A217,Series!$A$2:B1003,2,FALSE()),D216+IF(B216=0,0,7))</f>
        <v>45701</v>
      </c>
    </row>
    <row r="218" customFormat="false" ht="15.75" hidden="false" customHeight="false" outlineLevel="0" collapsed="false">
      <c r="A218" s="20" t="n">
        <f aca="false">FLOOR((ROW()+1)/(COUNTA(Seasons!$A$1:$A1003)+1),1)</f>
        <v>43</v>
      </c>
      <c r="B218" s="20" t="n">
        <f aca="false">MOD(ROW()+1,COUNTA(Seasons!$A$1:$A1003)+1)</f>
        <v>4</v>
      </c>
      <c r="C218" s="20" t="str">
        <f aca="true">"Series "&amp;A218&amp;IF(B218=0,"","/"&amp;INDIRECT(ADDRESS(B218,1,1,TRUE(),"Seasons")))</f>
        <v>Series 43/Spring</v>
      </c>
      <c r="D218" s="17" t="n">
        <f aca="false">IF(B218=0,VLOOKUP(A218,Series!$A$2:B1003,2,FALSE()),D217+IF(B217=0,0,7))</f>
        <v>45708</v>
      </c>
    </row>
    <row r="219" customFormat="false" ht="15.75" hidden="false" customHeight="false" outlineLevel="0" collapsed="false">
      <c r="A219" s="20" t="n">
        <f aca="false">FLOOR((ROW()+1)/(COUNTA(Seasons!$A$1:$A1003)+1),1)</f>
        <v>44</v>
      </c>
      <c r="B219" s="20" t="n">
        <f aca="false">MOD(ROW()+1,COUNTA(Seasons!$A$1:$A1003)+1)</f>
        <v>0</v>
      </c>
      <c r="C219" s="20" t="str">
        <f aca="true">"Series "&amp;A219&amp;IF(B219=0,"","/"&amp;INDIRECT(ADDRESS(B219,1,1,TRUE(),"Seasons")))</f>
        <v>Series 44</v>
      </c>
      <c r="D219" s="17" t="n">
        <f aca="false">IF(B219=0,VLOOKUP(A219,Series!$A$2:B1003,2,FALSE()),D218+IF(B218=0,0,7))</f>
        <v>45715</v>
      </c>
    </row>
    <row r="220" customFormat="false" ht="15.75" hidden="false" customHeight="false" outlineLevel="0" collapsed="false">
      <c r="A220" s="20" t="n">
        <f aca="false">FLOOR((ROW()+1)/(COUNTA(Seasons!$A$1:$A1003)+1),1)</f>
        <v>44</v>
      </c>
      <c r="B220" s="20" t="n">
        <f aca="false">MOD(ROW()+1,COUNTA(Seasons!$A$1:$A1003)+1)</f>
        <v>1</v>
      </c>
      <c r="C220" s="20" t="str">
        <f aca="true">"Series "&amp;A220&amp;IF(B220=0,"","/"&amp;INDIRECT(ADDRESS(B220,1,1,TRUE(),"Seasons")))</f>
        <v>Series 44/Summer</v>
      </c>
      <c r="D220" s="17" t="n">
        <f aca="false">IF(B220=0,VLOOKUP(A220,Series!$A$2:B1003,2,FALSE()),D219+IF(B219=0,0,7))</f>
        <v>45715</v>
      </c>
    </row>
    <row r="221" customFormat="false" ht="15.75" hidden="false" customHeight="false" outlineLevel="0" collapsed="false">
      <c r="A221" s="20" t="n">
        <f aca="false">FLOOR((ROW()+1)/(COUNTA(Seasons!$A$1:$A1003)+1),1)</f>
        <v>44</v>
      </c>
      <c r="B221" s="20" t="n">
        <f aca="false">MOD(ROW()+1,COUNTA(Seasons!$A$1:$A1003)+1)</f>
        <v>2</v>
      </c>
      <c r="C221" s="20" t="str">
        <f aca="true">"Series "&amp;A221&amp;IF(B221=0,"","/"&amp;INDIRECT(ADDRESS(B221,1,1,TRUE(),"Seasons")))</f>
        <v>Series 44/Autumn</v>
      </c>
      <c r="D221" s="17" t="n">
        <f aca="false">IF(B221=0,VLOOKUP(A221,Series!$A$2:B1003,2,FALSE()),D220+IF(B220=0,0,7))</f>
        <v>45722</v>
      </c>
    </row>
    <row r="222" customFormat="false" ht="15.75" hidden="false" customHeight="false" outlineLevel="0" collapsed="false">
      <c r="A222" s="20" t="n">
        <f aca="false">FLOOR((ROW()+1)/(COUNTA(Seasons!$A$1:$A1003)+1),1)</f>
        <v>44</v>
      </c>
      <c r="B222" s="20" t="n">
        <f aca="false">MOD(ROW()+1,COUNTA(Seasons!$A$1:$A1003)+1)</f>
        <v>3</v>
      </c>
      <c r="C222" s="20" t="str">
        <f aca="true">"Series "&amp;A222&amp;IF(B222=0,"","/"&amp;INDIRECT(ADDRESS(B222,1,1,TRUE(),"Seasons")))</f>
        <v>Series 44/Winter</v>
      </c>
      <c r="D222" s="17" t="n">
        <f aca="false">IF(B222=0,VLOOKUP(A222,Series!$A$2:B1003,2,FALSE()),D221+IF(B221=0,0,7))</f>
        <v>45729</v>
      </c>
    </row>
    <row r="223" customFormat="false" ht="15.75" hidden="false" customHeight="false" outlineLevel="0" collapsed="false">
      <c r="A223" s="20" t="n">
        <f aca="false">FLOOR((ROW()+1)/(COUNTA(Seasons!$A$1:$A1003)+1),1)</f>
        <v>44</v>
      </c>
      <c r="B223" s="20" t="n">
        <f aca="false">MOD(ROW()+1,COUNTA(Seasons!$A$1:$A1003)+1)</f>
        <v>4</v>
      </c>
      <c r="C223" s="20" t="str">
        <f aca="true">"Series "&amp;A223&amp;IF(B223=0,"","/"&amp;INDIRECT(ADDRESS(B223,1,1,TRUE(),"Seasons")))</f>
        <v>Series 44/Spring</v>
      </c>
      <c r="D223" s="17" t="n">
        <f aca="false">IF(B223=0,VLOOKUP(A223,Series!$A$2:B1003,2,FALSE()),D222+IF(B222=0,0,7))</f>
        <v>45736</v>
      </c>
    </row>
    <row r="224" customFormat="false" ht="15.75" hidden="false" customHeight="false" outlineLevel="0" collapsed="false">
      <c r="A224" s="20" t="n">
        <f aca="false">FLOOR((ROW()+1)/(COUNTA(Seasons!$A$1:$A1003)+1),1)</f>
        <v>45</v>
      </c>
      <c r="B224" s="20" t="n">
        <f aca="false">MOD(ROW()+1,COUNTA(Seasons!$A$1:$A1003)+1)</f>
        <v>0</v>
      </c>
      <c r="C224" s="20" t="str">
        <f aca="true">"Series "&amp;A224&amp;IF(B224=0,"","/"&amp;INDIRECT(ADDRESS(B224,1,1,TRUE(),"Seasons")))</f>
        <v>Series 45</v>
      </c>
      <c r="D224" s="17" t="n">
        <f aca="false">IF(B224=0,VLOOKUP(A224,Series!$A$2:B1003,2,FALSE()),D223+IF(B223=0,0,7))</f>
        <v>45743</v>
      </c>
    </row>
    <row r="225" customFormat="false" ht="15.75" hidden="false" customHeight="false" outlineLevel="0" collapsed="false">
      <c r="A225" s="20" t="n">
        <f aca="false">FLOOR((ROW()+1)/(COUNTA(Seasons!$A$1:$A1003)+1),1)</f>
        <v>45</v>
      </c>
      <c r="B225" s="20" t="n">
        <f aca="false">MOD(ROW()+1,COUNTA(Seasons!$A$1:$A1003)+1)</f>
        <v>1</v>
      </c>
      <c r="C225" s="20" t="str">
        <f aca="true">"Series "&amp;A225&amp;IF(B225=0,"","/"&amp;INDIRECT(ADDRESS(B225,1,1,TRUE(),"Seasons")))</f>
        <v>Series 45/Summer</v>
      </c>
      <c r="D225" s="17" t="n">
        <f aca="false">IF(B225=0,VLOOKUP(A225,Series!$A$2:B1003,2,FALSE()),D224+IF(B224=0,0,7))</f>
        <v>45743</v>
      </c>
    </row>
    <row r="226" customFormat="false" ht="15.75" hidden="false" customHeight="false" outlineLevel="0" collapsed="false">
      <c r="A226" s="20" t="n">
        <f aca="false">FLOOR((ROW()+1)/(COUNTA(Seasons!$A$1:$A1003)+1),1)</f>
        <v>45</v>
      </c>
      <c r="B226" s="20" t="n">
        <f aca="false">MOD(ROW()+1,COUNTA(Seasons!$A$1:$A1003)+1)</f>
        <v>2</v>
      </c>
      <c r="C226" s="20" t="str">
        <f aca="true">"Series "&amp;A226&amp;IF(B226=0,"","/"&amp;INDIRECT(ADDRESS(B226,1,1,TRUE(),"Seasons")))</f>
        <v>Series 45/Autumn</v>
      </c>
      <c r="D226" s="17" t="n">
        <f aca="false">IF(B226=0,VLOOKUP(A226,Series!$A$2:B1003,2,FALSE()),D225+IF(B225=0,0,7))</f>
        <v>45750</v>
      </c>
    </row>
    <row r="227" customFormat="false" ht="15.75" hidden="false" customHeight="false" outlineLevel="0" collapsed="false">
      <c r="A227" s="20" t="n">
        <f aca="false">FLOOR((ROW()+1)/(COUNTA(Seasons!$A$1:$A1003)+1),1)</f>
        <v>45</v>
      </c>
      <c r="B227" s="20" t="n">
        <f aca="false">MOD(ROW()+1,COUNTA(Seasons!$A$1:$A1003)+1)</f>
        <v>3</v>
      </c>
      <c r="C227" s="20" t="str">
        <f aca="true">"Series "&amp;A227&amp;IF(B227=0,"","/"&amp;INDIRECT(ADDRESS(B227,1,1,TRUE(),"Seasons")))</f>
        <v>Series 45/Winter</v>
      </c>
      <c r="D227" s="17" t="n">
        <f aca="false">IF(B227=0,VLOOKUP(A227,Series!$A$2:B1003,2,FALSE()),D226+IF(B226=0,0,7))</f>
        <v>45757</v>
      </c>
    </row>
    <row r="228" customFormat="false" ht="15.75" hidden="false" customHeight="false" outlineLevel="0" collapsed="false">
      <c r="A228" s="20" t="n">
        <f aca="false">FLOOR((ROW()+1)/(COUNTA(Seasons!$A$1:$A1003)+1),1)</f>
        <v>45</v>
      </c>
      <c r="B228" s="20" t="n">
        <f aca="false">MOD(ROW()+1,COUNTA(Seasons!$A$1:$A1003)+1)</f>
        <v>4</v>
      </c>
      <c r="C228" s="20" t="str">
        <f aca="true">"Series "&amp;A228&amp;IF(B228=0,"","/"&amp;INDIRECT(ADDRESS(B228,1,1,TRUE(),"Seasons")))</f>
        <v>Series 45/Spring</v>
      </c>
      <c r="D228" s="17" t="n">
        <f aca="false">IF(B228=0,VLOOKUP(A228,Series!$A$2:B1003,2,FALSE()),D227+IF(B227=0,0,7))</f>
        <v>45764</v>
      </c>
    </row>
    <row r="229" customFormat="false" ht="15.75" hidden="false" customHeight="false" outlineLevel="0" collapsed="false">
      <c r="A229" s="20" t="n">
        <f aca="false">FLOOR((ROW()+1)/(COUNTA(Seasons!$A$1:$A1003)+1),1)</f>
        <v>46</v>
      </c>
      <c r="B229" s="20" t="n">
        <f aca="false">MOD(ROW()+1,COUNTA(Seasons!$A$1:$A1003)+1)</f>
        <v>0</v>
      </c>
      <c r="C229" s="20" t="str">
        <f aca="true">"Series "&amp;A229&amp;IF(B229=0,"","/"&amp;INDIRECT(ADDRESS(B229,1,1,TRUE(),"Seasons")))</f>
        <v>Series 46</v>
      </c>
      <c r="D229" s="17" t="n">
        <f aca="false">IF(B229=0,VLOOKUP(A229,Series!$A$2:B1003,2,FALSE()),D228+IF(B228=0,0,7))</f>
        <v>45771</v>
      </c>
    </row>
    <row r="230" customFormat="false" ht="15.75" hidden="false" customHeight="false" outlineLevel="0" collapsed="false">
      <c r="A230" s="20" t="n">
        <f aca="false">FLOOR((ROW()+1)/(COUNTA(Seasons!$A$1:$A1003)+1),1)</f>
        <v>46</v>
      </c>
      <c r="B230" s="20" t="n">
        <f aca="false">MOD(ROW()+1,COUNTA(Seasons!$A$1:$A1003)+1)</f>
        <v>1</v>
      </c>
      <c r="C230" s="20" t="str">
        <f aca="true">"Series "&amp;A230&amp;IF(B230=0,"","/"&amp;INDIRECT(ADDRESS(B230,1,1,TRUE(),"Seasons")))</f>
        <v>Series 46/Summer</v>
      </c>
      <c r="D230" s="17" t="n">
        <f aca="false">IF(B230=0,VLOOKUP(A230,Series!$A$2:B1003,2,FALSE()),D229+IF(B229=0,0,7))</f>
        <v>45771</v>
      </c>
    </row>
    <row r="231" customFormat="false" ht="15.75" hidden="false" customHeight="false" outlineLevel="0" collapsed="false">
      <c r="A231" s="20" t="n">
        <f aca="false">FLOOR((ROW()+1)/(COUNTA(Seasons!$A$1:$A1003)+1),1)</f>
        <v>46</v>
      </c>
      <c r="B231" s="20" t="n">
        <f aca="false">MOD(ROW()+1,COUNTA(Seasons!$A$1:$A1003)+1)</f>
        <v>2</v>
      </c>
      <c r="C231" s="20" t="str">
        <f aca="true">"Series "&amp;A231&amp;IF(B231=0,"","/"&amp;INDIRECT(ADDRESS(B231,1,1,TRUE(),"Seasons")))</f>
        <v>Series 46/Autumn</v>
      </c>
      <c r="D231" s="17" t="n">
        <f aca="false">IF(B231=0,VLOOKUP(A231,Series!$A$2:B1003,2,FALSE()),D230+IF(B230=0,0,7))</f>
        <v>45778</v>
      </c>
    </row>
    <row r="232" customFormat="false" ht="15.75" hidden="false" customHeight="false" outlineLevel="0" collapsed="false">
      <c r="A232" s="20" t="n">
        <f aca="false">FLOOR((ROW()+1)/(COUNTA(Seasons!$A$1:$A1003)+1),1)</f>
        <v>46</v>
      </c>
      <c r="B232" s="20" t="n">
        <f aca="false">MOD(ROW()+1,COUNTA(Seasons!$A$1:$A1003)+1)</f>
        <v>3</v>
      </c>
      <c r="C232" s="20" t="str">
        <f aca="true">"Series "&amp;A232&amp;IF(B232=0,"","/"&amp;INDIRECT(ADDRESS(B232,1,1,TRUE(),"Seasons")))</f>
        <v>Series 46/Winter</v>
      </c>
      <c r="D232" s="17" t="n">
        <f aca="false">IF(B232=0,VLOOKUP(A232,Series!$A$2:B1003,2,FALSE()),D231+IF(B231=0,0,7))</f>
        <v>45785</v>
      </c>
    </row>
    <row r="233" customFormat="false" ht="15.75" hidden="false" customHeight="false" outlineLevel="0" collapsed="false">
      <c r="A233" s="20" t="n">
        <f aca="false">FLOOR((ROW()+1)/(COUNTA(Seasons!$A$1:$A1003)+1),1)</f>
        <v>46</v>
      </c>
      <c r="B233" s="20" t="n">
        <f aca="false">MOD(ROW()+1,COUNTA(Seasons!$A$1:$A1003)+1)</f>
        <v>4</v>
      </c>
      <c r="C233" s="20" t="str">
        <f aca="true">"Series "&amp;A233&amp;IF(B233=0,"","/"&amp;INDIRECT(ADDRESS(B233,1,1,TRUE(),"Seasons")))</f>
        <v>Series 46/Spring</v>
      </c>
      <c r="D233" s="17" t="n">
        <f aca="false">IF(B233=0,VLOOKUP(A233,Series!$A$2:B1003,2,FALSE()),D232+IF(B232=0,0,7))</f>
        <v>45792</v>
      </c>
    </row>
    <row r="234" customFormat="false" ht="15.75" hidden="false" customHeight="false" outlineLevel="0" collapsed="false">
      <c r="A234" s="20" t="n">
        <f aca="false">FLOOR((ROW()+1)/(COUNTA(Seasons!$A$1:$A1003)+1),1)</f>
        <v>47</v>
      </c>
      <c r="B234" s="20" t="n">
        <f aca="false">MOD(ROW()+1,COUNTA(Seasons!$A$1:$A1003)+1)</f>
        <v>0</v>
      </c>
      <c r="C234" s="20" t="str">
        <f aca="true">"Series "&amp;A234&amp;IF(B234=0,"","/"&amp;INDIRECT(ADDRESS(B234,1,1,TRUE(),"Seasons")))</f>
        <v>Series 47</v>
      </c>
      <c r="D234" s="17" t="n">
        <f aca="false">IF(B234=0,VLOOKUP(A234,Series!$A$2:B1003,2,FALSE()),D233+IF(B233=0,0,7))</f>
        <v>45799</v>
      </c>
    </row>
    <row r="235" customFormat="false" ht="15.75" hidden="false" customHeight="false" outlineLevel="0" collapsed="false">
      <c r="A235" s="20" t="n">
        <f aca="false">FLOOR((ROW()+1)/(COUNTA(Seasons!$A$1:$A1003)+1),1)</f>
        <v>47</v>
      </c>
      <c r="B235" s="20" t="n">
        <f aca="false">MOD(ROW()+1,COUNTA(Seasons!$A$1:$A1003)+1)</f>
        <v>1</v>
      </c>
      <c r="C235" s="20" t="str">
        <f aca="true">"Series "&amp;A235&amp;IF(B235=0,"","/"&amp;INDIRECT(ADDRESS(B235,1,1,TRUE(),"Seasons")))</f>
        <v>Series 47/Summer</v>
      </c>
      <c r="D235" s="17" t="n">
        <f aca="false">IF(B235=0,VLOOKUP(A235,Series!$A$2:B1003,2,FALSE()),D234+IF(B234=0,0,7))</f>
        <v>45799</v>
      </c>
    </row>
    <row r="236" customFormat="false" ht="15.75" hidden="false" customHeight="false" outlineLevel="0" collapsed="false">
      <c r="A236" s="20" t="n">
        <f aca="false">FLOOR((ROW()+1)/(COUNTA(Seasons!$A$1:$A1003)+1),1)</f>
        <v>47</v>
      </c>
      <c r="B236" s="20" t="n">
        <f aca="false">MOD(ROW()+1,COUNTA(Seasons!$A$1:$A1003)+1)</f>
        <v>2</v>
      </c>
      <c r="C236" s="20" t="str">
        <f aca="true">"Series "&amp;A236&amp;IF(B236=0,"","/"&amp;INDIRECT(ADDRESS(B236,1,1,TRUE(),"Seasons")))</f>
        <v>Series 47/Autumn</v>
      </c>
      <c r="D236" s="17" t="n">
        <f aca="false">IF(B236=0,VLOOKUP(A236,Series!$A$2:B1003,2,FALSE()),D235+IF(B235=0,0,7))</f>
        <v>45806</v>
      </c>
    </row>
    <row r="237" customFormat="false" ht="15.75" hidden="false" customHeight="false" outlineLevel="0" collapsed="false">
      <c r="A237" s="20" t="n">
        <f aca="false">FLOOR((ROW()+1)/(COUNTA(Seasons!$A$1:$A1003)+1),1)</f>
        <v>47</v>
      </c>
      <c r="B237" s="20" t="n">
        <f aca="false">MOD(ROW()+1,COUNTA(Seasons!$A$1:$A1003)+1)</f>
        <v>3</v>
      </c>
      <c r="C237" s="20" t="str">
        <f aca="true">"Series "&amp;A237&amp;IF(B237=0,"","/"&amp;INDIRECT(ADDRESS(B237,1,1,TRUE(),"Seasons")))</f>
        <v>Series 47/Winter</v>
      </c>
      <c r="D237" s="17" t="n">
        <f aca="false">IF(B237=0,VLOOKUP(A237,Series!$A$2:B1003,2,FALSE()),D236+IF(B236=0,0,7))</f>
        <v>45813</v>
      </c>
    </row>
    <row r="238" customFormat="false" ht="15.75" hidden="false" customHeight="false" outlineLevel="0" collapsed="false">
      <c r="A238" s="20" t="n">
        <f aca="false">FLOOR((ROW()+1)/(COUNTA(Seasons!$A$1:$A1003)+1),1)</f>
        <v>47</v>
      </c>
      <c r="B238" s="20" t="n">
        <f aca="false">MOD(ROW()+1,COUNTA(Seasons!$A$1:$A1003)+1)</f>
        <v>4</v>
      </c>
      <c r="C238" s="20" t="str">
        <f aca="true">"Series "&amp;A238&amp;IF(B238=0,"","/"&amp;INDIRECT(ADDRESS(B238,1,1,TRUE(),"Seasons")))</f>
        <v>Series 47/Spring</v>
      </c>
      <c r="D238" s="17" t="n">
        <f aca="false">IF(B238=0,VLOOKUP(A238,Series!$A$2:B1003,2,FALSE()),D237+IF(B237=0,0,7))</f>
        <v>45820</v>
      </c>
    </row>
    <row r="239" customFormat="false" ht="15.75" hidden="false" customHeight="false" outlineLevel="0" collapsed="false">
      <c r="A239" s="20" t="n">
        <f aca="false">FLOOR((ROW()+1)/(COUNTA(Seasons!$A$1:$A1003)+1),1)</f>
        <v>48</v>
      </c>
      <c r="B239" s="20" t="n">
        <f aca="false">MOD(ROW()+1,COUNTA(Seasons!$A$1:$A1003)+1)</f>
        <v>0</v>
      </c>
      <c r="C239" s="20" t="str">
        <f aca="true">"Series "&amp;A239&amp;IF(B239=0,"","/"&amp;INDIRECT(ADDRESS(B239,1,1,TRUE(),"Seasons")))</f>
        <v>Series 48</v>
      </c>
      <c r="D239" s="17" t="n">
        <f aca="false">IF(B239=0,VLOOKUP(A239,Series!$A$2:B1003,2,FALSE()),D238+IF(B238=0,0,7))</f>
        <v>45827</v>
      </c>
    </row>
    <row r="240" customFormat="false" ht="15.75" hidden="false" customHeight="false" outlineLevel="0" collapsed="false">
      <c r="A240" s="20" t="n">
        <f aca="false">FLOOR((ROW()+1)/(COUNTA(Seasons!$A$1:$A1003)+1),1)</f>
        <v>48</v>
      </c>
      <c r="B240" s="20" t="n">
        <f aca="false">MOD(ROW()+1,COUNTA(Seasons!$A$1:$A1003)+1)</f>
        <v>1</v>
      </c>
      <c r="C240" s="20" t="str">
        <f aca="true">"Series "&amp;A240&amp;IF(B240=0,"","/"&amp;INDIRECT(ADDRESS(B240,1,1,TRUE(),"Seasons")))</f>
        <v>Series 48/Summer</v>
      </c>
      <c r="D240" s="17" t="n">
        <f aca="false">IF(B240=0,VLOOKUP(A240,Series!$A$2:B1003,2,FALSE()),D239+IF(B239=0,0,7))</f>
        <v>45827</v>
      </c>
    </row>
    <row r="241" customFormat="false" ht="15.75" hidden="false" customHeight="false" outlineLevel="0" collapsed="false">
      <c r="A241" s="20" t="n">
        <f aca="false">FLOOR((ROW()+1)/(COUNTA(Seasons!$A$1:$A1003)+1),1)</f>
        <v>48</v>
      </c>
      <c r="B241" s="20" t="n">
        <f aca="false">MOD(ROW()+1,COUNTA(Seasons!$A$1:$A1003)+1)</f>
        <v>2</v>
      </c>
      <c r="C241" s="20" t="str">
        <f aca="true">"Series "&amp;A241&amp;IF(B241=0,"","/"&amp;INDIRECT(ADDRESS(B241,1,1,TRUE(),"Seasons")))</f>
        <v>Series 48/Autumn</v>
      </c>
      <c r="D241" s="17" t="n">
        <f aca="false">IF(B241=0,VLOOKUP(A241,Series!$A$2:B1003,2,FALSE()),D240+IF(B240=0,0,7))</f>
        <v>45834</v>
      </c>
    </row>
    <row r="242" customFormat="false" ht="15.75" hidden="false" customHeight="false" outlineLevel="0" collapsed="false">
      <c r="A242" s="20" t="n">
        <f aca="false">FLOOR((ROW()+1)/(COUNTA(Seasons!$A$1:$A1003)+1),1)</f>
        <v>48</v>
      </c>
      <c r="B242" s="20" t="n">
        <f aca="false">MOD(ROW()+1,COUNTA(Seasons!$A$1:$A1003)+1)</f>
        <v>3</v>
      </c>
      <c r="C242" s="20" t="str">
        <f aca="true">"Series "&amp;A242&amp;IF(B242=0,"","/"&amp;INDIRECT(ADDRESS(B242,1,1,TRUE(),"Seasons")))</f>
        <v>Series 48/Winter</v>
      </c>
      <c r="D242" s="17" t="n">
        <f aca="false">IF(B242=0,VLOOKUP(A242,Series!$A$2:B1003,2,FALSE()),D241+IF(B241=0,0,7))</f>
        <v>45841</v>
      </c>
    </row>
    <row r="243" customFormat="false" ht="15.75" hidden="false" customHeight="false" outlineLevel="0" collapsed="false">
      <c r="A243" s="20" t="n">
        <f aca="false">FLOOR((ROW()+1)/(COUNTA(Seasons!$A$1:$A1003)+1),1)</f>
        <v>48</v>
      </c>
      <c r="B243" s="20" t="n">
        <f aca="false">MOD(ROW()+1,COUNTA(Seasons!$A$1:$A1003)+1)</f>
        <v>4</v>
      </c>
      <c r="C243" s="20" t="str">
        <f aca="true">"Series "&amp;A243&amp;IF(B243=0,"","/"&amp;INDIRECT(ADDRESS(B243,1,1,TRUE(),"Seasons")))</f>
        <v>Series 48/Spring</v>
      </c>
      <c r="D243" s="17" t="n">
        <f aca="false">IF(B243=0,VLOOKUP(A243,Series!$A$2:B1003,2,FALSE()),D242+IF(B242=0,0,7))</f>
        <v>45848</v>
      </c>
    </row>
    <row r="244" customFormat="false" ht="15.75" hidden="false" customHeight="false" outlineLevel="0" collapsed="false">
      <c r="A244" s="20" t="n">
        <f aca="false">FLOOR((ROW()+1)/(COUNTA(Seasons!$A$1:$A1003)+1),1)</f>
        <v>49</v>
      </c>
      <c r="B244" s="20" t="n">
        <f aca="false">MOD(ROW()+1,COUNTA(Seasons!$A$1:$A1003)+1)</f>
        <v>0</v>
      </c>
      <c r="C244" s="20" t="str">
        <f aca="true">"Series "&amp;A244&amp;IF(B244=0,"","/"&amp;INDIRECT(ADDRESS(B244,1,1,TRUE(),"Seasons")))</f>
        <v>Series 49</v>
      </c>
      <c r="D244" s="17" t="n">
        <f aca="false">IF(B244=0,VLOOKUP(A244,Series!$A$2:B1003,2,FALSE()),D243+IF(B243=0,0,7))</f>
        <v>45855</v>
      </c>
    </row>
    <row r="245" customFormat="false" ht="15.75" hidden="false" customHeight="false" outlineLevel="0" collapsed="false">
      <c r="A245" s="20" t="n">
        <f aca="false">FLOOR((ROW()+1)/(COUNTA(Seasons!$A$1:$A1003)+1),1)</f>
        <v>49</v>
      </c>
      <c r="B245" s="20" t="n">
        <f aca="false">MOD(ROW()+1,COUNTA(Seasons!$A$1:$A1003)+1)</f>
        <v>1</v>
      </c>
      <c r="C245" s="20" t="str">
        <f aca="true">"Series "&amp;A245&amp;IF(B245=0,"","/"&amp;INDIRECT(ADDRESS(B245,1,1,TRUE(),"Seasons")))</f>
        <v>Series 49/Summer</v>
      </c>
      <c r="D245" s="17" t="n">
        <f aca="false">IF(B245=0,VLOOKUP(A245,Series!$A$2:B1003,2,FALSE()),D244+IF(B244=0,0,7))</f>
        <v>45855</v>
      </c>
    </row>
    <row r="246" customFormat="false" ht="15.75" hidden="false" customHeight="false" outlineLevel="0" collapsed="false">
      <c r="A246" s="20" t="n">
        <f aca="false">FLOOR((ROW()+1)/(COUNTA(Seasons!$A$1:$A1003)+1),1)</f>
        <v>49</v>
      </c>
      <c r="B246" s="20" t="n">
        <f aca="false">MOD(ROW()+1,COUNTA(Seasons!$A$1:$A1003)+1)</f>
        <v>2</v>
      </c>
      <c r="C246" s="20" t="str">
        <f aca="true">"Series "&amp;A246&amp;IF(B246=0,"","/"&amp;INDIRECT(ADDRESS(B246,1,1,TRUE(),"Seasons")))</f>
        <v>Series 49/Autumn</v>
      </c>
      <c r="D246" s="17" t="n">
        <f aca="false">IF(B246=0,VLOOKUP(A246,Series!$A$2:B1003,2,FALSE()),D245+IF(B245=0,0,7))</f>
        <v>45862</v>
      </c>
    </row>
    <row r="247" customFormat="false" ht="15.75" hidden="false" customHeight="false" outlineLevel="0" collapsed="false">
      <c r="A247" s="20" t="n">
        <f aca="false">FLOOR((ROW()+1)/(COUNTA(Seasons!$A$1:$A1003)+1),1)</f>
        <v>49</v>
      </c>
      <c r="B247" s="20" t="n">
        <f aca="false">MOD(ROW()+1,COUNTA(Seasons!$A$1:$A1003)+1)</f>
        <v>3</v>
      </c>
      <c r="C247" s="20" t="str">
        <f aca="true">"Series "&amp;A247&amp;IF(B247=0,"","/"&amp;INDIRECT(ADDRESS(B247,1,1,TRUE(),"Seasons")))</f>
        <v>Series 49/Winter</v>
      </c>
      <c r="D247" s="17" t="n">
        <f aca="false">IF(B247=0,VLOOKUP(A247,Series!$A$2:B1003,2,FALSE()),D246+IF(B246=0,0,7))</f>
        <v>45869</v>
      </c>
    </row>
    <row r="248" customFormat="false" ht="15.75" hidden="false" customHeight="false" outlineLevel="0" collapsed="false">
      <c r="A248" s="20" t="n">
        <f aca="false">FLOOR((ROW()+1)/(COUNTA(Seasons!$A$1:$A1003)+1),1)</f>
        <v>49</v>
      </c>
      <c r="B248" s="20" t="n">
        <f aca="false">MOD(ROW()+1,COUNTA(Seasons!$A$1:$A1003)+1)</f>
        <v>4</v>
      </c>
      <c r="C248" s="20" t="str">
        <f aca="true">"Series "&amp;A248&amp;IF(B248=0,"","/"&amp;INDIRECT(ADDRESS(B248,1,1,TRUE(),"Seasons")))</f>
        <v>Series 49/Spring</v>
      </c>
      <c r="D248" s="17" t="n">
        <f aca="false">IF(B248=0,VLOOKUP(A248,Series!$A$2:B1003,2,FALSE()),D247+IF(B247=0,0,7))</f>
        <v>45876</v>
      </c>
    </row>
    <row r="249" customFormat="false" ht="15.75" hidden="false" customHeight="false" outlineLevel="0" collapsed="false">
      <c r="A249" s="20" t="n">
        <f aca="false">FLOOR((ROW()+1)/(COUNTA(Seasons!$A$1:$A1003)+1),1)</f>
        <v>50</v>
      </c>
      <c r="B249" s="20" t="n">
        <f aca="false">MOD(ROW()+1,COUNTA(Seasons!$A$1:$A1003)+1)</f>
        <v>0</v>
      </c>
      <c r="C249" s="20" t="str">
        <f aca="true">"Series "&amp;A249&amp;IF(B249=0,"","/"&amp;INDIRECT(ADDRESS(B249,1,1,TRUE(),"Seasons")))</f>
        <v>Series 50</v>
      </c>
      <c r="D249" s="17" t="n">
        <f aca="false">IF(B249=0,VLOOKUP(A249,Series!$A$2:B1003,2,FALSE()),D248+IF(B248=0,0,7))</f>
        <v>45883</v>
      </c>
    </row>
    <row r="250" customFormat="false" ht="15.75" hidden="false" customHeight="false" outlineLevel="0" collapsed="false">
      <c r="A250" s="20" t="n">
        <f aca="false">FLOOR((ROW()+1)/(COUNTA(Seasons!$A$1:$A1003)+1),1)</f>
        <v>50</v>
      </c>
      <c r="B250" s="20" t="n">
        <f aca="false">MOD(ROW()+1,COUNTA(Seasons!$A$1:$A1003)+1)</f>
        <v>1</v>
      </c>
      <c r="C250" s="20" t="str">
        <f aca="true">"Series "&amp;A250&amp;IF(B250=0,"","/"&amp;INDIRECT(ADDRESS(B250,1,1,TRUE(),"Seasons")))</f>
        <v>Series 50/Summer</v>
      </c>
      <c r="D250" s="17" t="n">
        <f aca="false">IF(B250=0,VLOOKUP(A250,Series!$A$2:B1003,2,FALSE()),D249+IF(B249=0,0,7))</f>
        <v>45883</v>
      </c>
    </row>
    <row r="251" customFormat="false" ht="15.75" hidden="false" customHeight="false" outlineLevel="0" collapsed="false">
      <c r="A251" s="20" t="n">
        <f aca="false">FLOOR((ROW()+1)/(COUNTA(Seasons!$A$1:$A1003)+1),1)</f>
        <v>50</v>
      </c>
      <c r="B251" s="20" t="n">
        <f aca="false">MOD(ROW()+1,COUNTA(Seasons!$A$1:$A1003)+1)</f>
        <v>2</v>
      </c>
      <c r="C251" s="20" t="str">
        <f aca="true">"Series "&amp;A251&amp;IF(B251=0,"","/"&amp;INDIRECT(ADDRESS(B251,1,1,TRUE(),"Seasons")))</f>
        <v>Series 50/Autumn</v>
      </c>
      <c r="D251" s="17" t="n">
        <f aca="false">IF(B251=0,VLOOKUP(A251,Series!$A$2:B1003,2,FALSE()),D250+IF(B250=0,0,7))</f>
        <v>45890</v>
      </c>
    </row>
    <row r="252" customFormat="false" ht="15.75" hidden="false" customHeight="false" outlineLevel="0" collapsed="false">
      <c r="A252" s="20" t="n">
        <f aca="false">FLOOR((ROW()+1)/(COUNTA(Seasons!$A$1:$A1003)+1),1)</f>
        <v>50</v>
      </c>
      <c r="B252" s="20" t="n">
        <f aca="false">MOD(ROW()+1,COUNTA(Seasons!$A$1:$A1003)+1)</f>
        <v>3</v>
      </c>
      <c r="C252" s="20" t="str">
        <f aca="true">"Series "&amp;A252&amp;IF(B252=0,"","/"&amp;INDIRECT(ADDRESS(B252,1,1,TRUE(),"Seasons")))</f>
        <v>Series 50/Winter</v>
      </c>
      <c r="D252" s="17" t="n">
        <f aca="false">IF(B252=0,VLOOKUP(A252,Series!$A$2:B1003,2,FALSE()),D251+IF(B251=0,0,7))</f>
        <v>45897</v>
      </c>
    </row>
    <row r="253" customFormat="false" ht="15.75" hidden="false" customHeight="false" outlineLevel="0" collapsed="false">
      <c r="A253" s="20" t="n">
        <f aca="false">FLOOR((ROW()+1)/(COUNTA(Seasons!$A$1:$A1003)+1),1)</f>
        <v>50</v>
      </c>
      <c r="B253" s="20" t="n">
        <f aca="false">MOD(ROW()+1,COUNTA(Seasons!$A$1:$A1003)+1)</f>
        <v>4</v>
      </c>
      <c r="C253" s="20" t="str">
        <f aca="true">"Series "&amp;A253&amp;IF(B253=0,"","/"&amp;INDIRECT(ADDRESS(B253,1,1,TRUE(),"Seasons")))</f>
        <v>Series 50/Spring</v>
      </c>
      <c r="D253" s="17" t="n">
        <f aca="false">IF(B253=0,VLOOKUP(A253,Series!$A$2:B1003,2,FALSE()),D252+IF(B252=0,0,7))</f>
        <v>45904</v>
      </c>
    </row>
    <row r="254" customFormat="false" ht="15.75" hidden="false" customHeight="false" outlineLevel="0" collapsed="false">
      <c r="A254" s="20" t="n">
        <f aca="false">FLOOR((ROW()+1)/(COUNTA(Seasons!$A$1:$A1003)+1),1)</f>
        <v>51</v>
      </c>
      <c r="B254" s="20" t="n">
        <f aca="false">MOD(ROW()+1,COUNTA(Seasons!$A$1:$A1003)+1)</f>
        <v>0</v>
      </c>
      <c r="C254" s="20" t="str">
        <f aca="true">"Series "&amp;A254&amp;IF(B254=0,"","/"&amp;INDIRECT(ADDRESS(B254,1,1,TRUE(),"Seasons")))</f>
        <v>Series 51</v>
      </c>
      <c r="D254" s="17" t="n">
        <f aca="false">IF(B254=0,VLOOKUP(A254,Series!$A$2:B1003,2,FALSE()),D253+IF(B253=0,0,7))</f>
        <v>45911</v>
      </c>
    </row>
    <row r="255" customFormat="false" ht="15.75" hidden="false" customHeight="false" outlineLevel="0" collapsed="false">
      <c r="A255" s="20" t="n">
        <f aca="false">FLOOR((ROW()+1)/(COUNTA(Seasons!$A$1:$A1003)+1),1)</f>
        <v>51</v>
      </c>
      <c r="B255" s="20" t="n">
        <f aca="false">MOD(ROW()+1,COUNTA(Seasons!$A$1:$A1003)+1)</f>
        <v>1</v>
      </c>
      <c r="C255" s="20" t="str">
        <f aca="true">"Series "&amp;A255&amp;IF(B255=0,"","/"&amp;INDIRECT(ADDRESS(B255,1,1,TRUE(),"Seasons")))</f>
        <v>Series 51/Summer</v>
      </c>
      <c r="D255" s="17" t="n">
        <f aca="false">IF(B255=0,VLOOKUP(A255,Series!$A$2:B1003,2,FALSE()),D254+IF(B254=0,0,7))</f>
        <v>45911</v>
      </c>
    </row>
    <row r="256" customFormat="false" ht="15.75" hidden="false" customHeight="false" outlineLevel="0" collapsed="false">
      <c r="A256" s="20" t="n">
        <f aca="false">FLOOR((ROW()+1)/(COUNTA(Seasons!$A$1:$A1003)+1),1)</f>
        <v>51</v>
      </c>
      <c r="B256" s="20" t="n">
        <f aca="false">MOD(ROW()+1,COUNTA(Seasons!$A$1:$A1003)+1)</f>
        <v>2</v>
      </c>
      <c r="C256" s="20" t="str">
        <f aca="true">"Series "&amp;A256&amp;IF(B256=0,"","/"&amp;INDIRECT(ADDRESS(B256,1,1,TRUE(),"Seasons")))</f>
        <v>Series 51/Autumn</v>
      </c>
      <c r="D256" s="17" t="n">
        <f aca="false">IF(B256=0,VLOOKUP(A256,Series!$A$2:B1003,2,FALSE()),D255+IF(B255=0,0,7))</f>
        <v>45918</v>
      </c>
    </row>
    <row r="257" customFormat="false" ht="15.75" hidden="false" customHeight="false" outlineLevel="0" collapsed="false">
      <c r="A257" s="20" t="n">
        <f aca="false">FLOOR((ROW()+1)/(COUNTA(Seasons!$A$1:$A1003)+1),1)</f>
        <v>51</v>
      </c>
      <c r="B257" s="20" t="n">
        <f aca="false">MOD(ROW()+1,COUNTA(Seasons!$A$1:$A1003)+1)</f>
        <v>3</v>
      </c>
      <c r="C257" s="20" t="str">
        <f aca="true">"Series "&amp;A257&amp;IF(B257=0,"","/"&amp;INDIRECT(ADDRESS(B257,1,1,TRUE(),"Seasons")))</f>
        <v>Series 51/Winter</v>
      </c>
      <c r="D257" s="17" t="n">
        <f aca="false">IF(B257=0,VLOOKUP(A257,Series!$A$2:B1003,2,FALSE()),D256+IF(B256=0,0,7))</f>
        <v>45925</v>
      </c>
    </row>
    <row r="258" customFormat="false" ht="15.75" hidden="false" customHeight="false" outlineLevel="0" collapsed="false">
      <c r="A258" s="20" t="n">
        <f aca="false">FLOOR((ROW()+1)/(COUNTA(Seasons!$A$1:$A1003)+1),1)</f>
        <v>51</v>
      </c>
      <c r="B258" s="20" t="n">
        <f aca="false">MOD(ROW()+1,COUNTA(Seasons!$A$1:$A1003)+1)</f>
        <v>4</v>
      </c>
      <c r="C258" s="20" t="str">
        <f aca="true">"Series "&amp;A258&amp;IF(B258=0,"","/"&amp;INDIRECT(ADDRESS(B258,1,1,TRUE(),"Seasons")))</f>
        <v>Series 51/Spring</v>
      </c>
      <c r="D258" s="17" t="n">
        <f aca="false">IF(B258=0,VLOOKUP(A258,Series!$A$2:B1003,2,FALSE()),D257+IF(B257=0,0,7))</f>
        <v>45932</v>
      </c>
    </row>
    <row r="259" customFormat="false" ht="15.75" hidden="false" customHeight="false" outlineLevel="0" collapsed="false">
      <c r="A259" s="20" t="n">
        <f aca="false">FLOOR((ROW()+1)/(COUNTA(Seasons!$A$1:$A1003)+1),1)</f>
        <v>52</v>
      </c>
      <c r="B259" s="20" t="n">
        <f aca="false">MOD(ROW()+1,COUNTA(Seasons!$A$1:$A1003)+1)</f>
        <v>0</v>
      </c>
      <c r="C259" s="20" t="str">
        <f aca="true">"Series "&amp;A259&amp;IF(B259=0,"","/"&amp;INDIRECT(ADDRESS(B259,1,1,TRUE(),"Seasons")))</f>
        <v>Series 52</v>
      </c>
      <c r="D259" s="17" t="n">
        <f aca="false">IF(B259=0,VLOOKUP(A259,Series!$A$2:B1003,2,FALSE()),D258+IF(B258=0,0,7))</f>
        <v>45939</v>
      </c>
    </row>
    <row r="260" customFormat="false" ht="15.75" hidden="false" customHeight="false" outlineLevel="0" collapsed="false">
      <c r="A260" s="20" t="n">
        <f aca="false">FLOOR((ROW()+1)/(COUNTA(Seasons!$A$1:$A1003)+1),1)</f>
        <v>52</v>
      </c>
      <c r="B260" s="20" t="n">
        <f aca="false">MOD(ROW()+1,COUNTA(Seasons!$A$1:$A1003)+1)</f>
        <v>1</v>
      </c>
      <c r="C260" s="20" t="str">
        <f aca="true">"Series "&amp;A260&amp;IF(B260=0,"","/"&amp;INDIRECT(ADDRESS(B260,1,1,TRUE(),"Seasons")))</f>
        <v>Series 52/Summer</v>
      </c>
      <c r="D260" s="17" t="n">
        <f aca="false">IF(B260=0,VLOOKUP(A260,Series!$A$2:B1003,2,FALSE()),D259+IF(B259=0,0,7))</f>
        <v>45939</v>
      </c>
    </row>
    <row r="261" customFormat="false" ht="15.75" hidden="false" customHeight="false" outlineLevel="0" collapsed="false">
      <c r="A261" s="20" t="n">
        <f aca="false">FLOOR((ROW()+1)/(COUNTA(Seasons!$A$1:$A1003)+1),1)</f>
        <v>52</v>
      </c>
      <c r="B261" s="20" t="n">
        <f aca="false">MOD(ROW()+1,COUNTA(Seasons!$A$1:$A1003)+1)</f>
        <v>2</v>
      </c>
      <c r="C261" s="20" t="str">
        <f aca="true">"Series "&amp;A261&amp;IF(B261=0,"","/"&amp;INDIRECT(ADDRESS(B261,1,1,TRUE(),"Seasons")))</f>
        <v>Series 52/Autumn</v>
      </c>
      <c r="D261" s="17" t="n">
        <f aca="false">IF(B261=0,VLOOKUP(A261,Series!$A$2:B1003,2,FALSE()),D260+IF(B260=0,0,7))</f>
        <v>45946</v>
      </c>
    </row>
    <row r="262" customFormat="false" ht="15.75" hidden="false" customHeight="false" outlineLevel="0" collapsed="false">
      <c r="A262" s="20" t="n">
        <f aca="false">FLOOR((ROW()+1)/(COUNTA(Seasons!$A$1:$A1003)+1),1)</f>
        <v>52</v>
      </c>
      <c r="B262" s="20" t="n">
        <f aca="false">MOD(ROW()+1,COUNTA(Seasons!$A$1:$A1003)+1)</f>
        <v>3</v>
      </c>
      <c r="C262" s="20" t="str">
        <f aca="true">"Series "&amp;A262&amp;IF(B262=0,"","/"&amp;INDIRECT(ADDRESS(B262,1,1,TRUE(),"Seasons")))</f>
        <v>Series 52/Winter</v>
      </c>
      <c r="D262" s="17" t="n">
        <f aca="false">IF(B262=0,VLOOKUP(A262,Series!$A$2:B1003,2,FALSE()),D261+IF(B261=0,0,7))</f>
        <v>45953</v>
      </c>
    </row>
    <row r="263" customFormat="false" ht="15.75" hidden="false" customHeight="false" outlineLevel="0" collapsed="false">
      <c r="A263" s="20" t="n">
        <f aca="false">FLOOR((ROW()+1)/(COUNTA(Seasons!$A$1:$A1003)+1),1)</f>
        <v>52</v>
      </c>
      <c r="B263" s="20" t="n">
        <f aca="false">MOD(ROW()+1,COUNTA(Seasons!$A$1:$A1003)+1)</f>
        <v>4</v>
      </c>
      <c r="C263" s="20" t="str">
        <f aca="true">"Series "&amp;A263&amp;IF(B263=0,"","/"&amp;INDIRECT(ADDRESS(B263,1,1,TRUE(),"Seasons")))</f>
        <v>Series 52/Spring</v>
      </c>
      <c r="D263" s="17" t="n">
        <f aca="false">IF(B263=0,VLOOKUP(A263,Series!$A$2:B1003,2,FALSE()),D262+IF(B262=0,0,7))</f>
        <v>45960</v>
      </c>
    </row>
    <row r="264" customFormat="false" ht="15.75" hidden="false" customHeight="false" outlineLevel="0" collapsed="false">
      <c r="A264" s="20" t="n">
        <f aca="false">FLOOR((ROW()+1)/(COUNTA(Seasons!$A$1:$A1003)+1),1)</f>
        <v>53</v>
      </c>
      <c r="B264" s="20" t="n">
        <f aca="false">MOD(ROW()+1,COUNTA(Seasons!$A$1:$A1003)+1)</f>
        <v>0</v>
      </c>
      <c r="C264" s="20" t="str">
        <f aca="true">"Series "&amp;A264&amp;IF(B264=0,"","/"&amp;INDIRECT(ADDRESS(B264,1,1,TRUE(),"Seasons")))</f>
        <v>Series 53</v>
      </c>
      <c r="D264" s="17" t="n">
        <f aca="false">IF(B264=0,VLOOKUP(A264,Series!$A$2:B1003,2,FALSE()),D263+IF(B263=0,0,7))</f>
        <v>45967</v>
      </c>
    </row>
    <row r="265" customFormat="false" ht="15.75" hidden="false" customHeight="false" outlineLevel="0" collapsed="false">
      <c r="A265" s="20" t="n">
        <f aca="false">FLOOR((ROW()+1)/(COUNTA(Seasons!$A$1:$A1003)+1),1)</f>
        <v>53</v>
      </c>
      <c r="B265" s="20" t="n">
        <f aca="false">MOD(ROW()+1,COUNTA(Seasons!$A$1:$A1003)+1)</f>
        <v>1</v>
      </c>
      <c r="C265" s="20" t="str">
        <f aca="true">"Series "&amp;A265&amp;IF(B265=0,"","/"&amp;INDIRECT(ADDRESS(B265,1,1,TRUE(),"Seasons")))</f>
        <v>Series 53/Summer</v>
      </c>
      <c r="D265" s="17" t="n">
        <f aca="false">IF(B265=0,VLOOKUP(A265,Series!$A$2:B1003,2,FALSE()),D264+IF(B264=0,0,7))</f>
        <v>45967</v>
      </c>
    </row>
    <row r="266" customFormat="false" ht="15.75" hidden="false" customHeight="false" outlineLevel="0" collapsed="false">
      <c r="A266" s="20" t="n">
        <f aca="false">FLOOR((ROW()+1)/(COUNTA(Seasons!$A$1:$A1003)+1),1)</f>
        <v>53</v>
      </c>
      <c r="B266" s="20" t="n">
        <f aca="false">MOD(ROW()+1,COUNTA(Seasons!$A$1:$A1003)+1)</f>
        <v>2</v>
      </c>
      <c r="C266" s="20" t="str">
        <f aca="true">"Series "&amp;A266&amp;IF(B266=0,"","/"&amp;INDIRECT(ADDRESS(B266,1,1,TRUE(),"Seasons")))</f>
        <v>Series 53/Autumn</v>
      </c>
      <c r="D266" s="17" t="n">
        <f aca="false">IF(B266=0,VLOOKUP(A266,Series!$A$2:B1003,2,FALSE()),D265+IF(B265=0,0,7))</f>
        <v>45974</v>
      </c>
    </row>
    <row r="267" customFormat="false" ht="15.75" hidden="false" customHeight="false" outlineLevel="0" collapsed="false">
      <c r="A267" s="20" t="n">
        <f aca="false">FLOOR((ROW()+1)/(COUNTA(Seasons!$A$1:$A1003)+1),1)</f>
        <v>53</v>
      </c>
      <c r="B267" s="20" t="n">
        <f aca="false">MOD(ROW()+1,COUNTA(Seasons!$A$1:$A1003)+1)</f>
        <v>3</v>
      </c>
      <c r="C267" s="20" t="str">
        <f aca="true">"Series "&amp;A267&amp;IF(B267=0,"","/"&amp;INDIRECT(ADDRESS(B267,1,1,TRUE(),"Seasons")))</f>
        <v>Series 53/Winter</v>
      </c>
      <c r="D267" s="17" t="n">
        <f aca="false">IF(B267=0,VLOOKUP(A267,Series!$A$2:B1003,2,FALSE()),D266+IF(B266=0,0,7))</f>
        <v>45981</v>
      </c>
    </row>
    <row r="268" customFormat="false" ht="15.75" hidden="false" customHeight="false" outlineLevel="0" collapsed="false">
      <c r="A268" s="20" t="n">
        <f aca="false">FLOOR((ROW()+1)/(COUNTA(Seasons!$A$1:$A1003)+1),1)</f>
        <v>53</v>
      </c>
      <c r="B268" s="20" t="n">
        <f aca="false">MOD(ROW()+1,COUNTA(Seasons!$A$1:$A1003)+1)</f>
        <v>4</v>
      </c>
      <c r="C268" s="20" t="str">
        <f aca="true">"Series "&amp;A268&amp;IF(B268=0,"","/"&amp;INDIRECT(ADDRESS(B268,1,1,TRUE(),"Seasons")))</f>
        <v>Series 53/Spring</v>
      </c>
      <c r="D268" s="17" t="n">
        <f aca="false">IF(B268=0,VLOOKUP(A268,Series!$A$2:B1003,2,FALSE()),D267+IF(B267=0,0,7))</f>
        <v>45988</v>
      </c>
    </row>
    <row r="269" customFormat="false" ht="15.75" hidden="false" customHeight="false" outlineLevel="0" collapsed="false">
      <c r="A269" s="20" t="n">
        <f aca="false">FLOOR((ROW()+1)/(COUNTA(Seasons!$A$1:$A1003)+1),1)</f>
        <v>54</v>
      </c>
      <c r="B269" s="20" t="n">
        <f aca="false">MOD(ROW()+1,COUNTA(Seasons!$A$1:$A1003)+1)</f>
        <v>0</v>
      </c>
      <c r="C269" s="20" t="str">
        <f aca="true">"Series "&amp;A269&amp;IF(B269=0,"","/"&amp;INDIRECT(ADDRESS(B269,1,1,TRUE(),"Seasons")))</f>
        <v>Series 54</v>
      </c>
      <c r="D269" s="17" t="n">
        <f aca="false">IF(B269=0,VLOOKUP(A269,Series!$A$2:B1003,2,FALSE()),D268+IF(B268=0,0,7))</f>
        <v>45995</v>
      </c>
    </row>
    <row r="270" customFormat="false" ht="15.75" hidden="false" customHeight="false" outlineLevel="0" collapsed="false">
      <c r="A270" s="20" t="n">
        <f aca="false">FLOOR((ROW()+1)/(COUNTA(Seasons!$A$1:$A1003)+1),1)</f>
        <v>54</v>
      </c>
      <c r="B270" s="20" t="n">
        <f aca="false">MOD(ROW()+1,COUNTA(Seasons!$A$1:$A1003)+1)</f>
        <v>1</v>
      </c>
      <c r="C270" s="20" t="str">
        <f aca="true">"Series "&amp;A270&amp;IF(B270=0,"","/"&amp;INDIRECT(ADDRESS(B270,1,1,TRUE(),"Seasons")))</f>
        <v>Series 54/Summer</v>
      </c>
      <c r="D270" s="17" t="n">
        <f aca="false">IF(B270=0,VLOOKUP(A270,Series!$A$2:B1003,2,FALSE()),D269+IF(B269=0,0,7))</f>
        <v>45995</v>
      </c>
    </row>
    <row r="271" customFormat="false" ht="15.75" hidden="false" customHeight="false" outlineLevel="0" collapsed="false">
      <c r="A271" s="20" t="n">
        <f aca="false">FLOOR((ROW()+1)/(COUNTA(Seasons!$A$1:$A1003)+1),1)</f>
        <v>54</v>
      </c>
      <c r="B271" s="20" t="n">
        <f aca="false">MOD(ROW()+1,COUNTA(Seasons!$A$1:$A1003)+1)</f>
        <v>2</v>
      </c>
      <c r="C271" s="20" t="str">
        <f aca="true">"Series "&amp;A271&amp;IF(B271=0,"","/"&amp;INDIRECT(ADDRESS(B271,1,1,TRUE(),"Seasons")))</f>
        <v>Series 54/Autumn</v>
      </c>
      <c r="D271" s="17" t="n">
        <f aca="false">IF(B271=0,VLOOKUP(A271,Series!$A$2:B1003,2,FALSE()),D270+IF(B270=0,0,7))</f>
        <v>46002</v>
      </c>
    </row>
    <row r="272" customFormat="false" ht="15.75" hidden="false" customHeight="false" outlineLevel="0" collapsed="false">
      <c r="A272" s="20" t="n">
        <f aca="false">FLOOR((ROW()+1)/(COUNTA(Seasons!$A$1:$A1003)+1),1)</f>
        <v>54</v>
      </c>
      <c r="B272" s="20" t="n">
        <f aca="false">MOD(ROW()+1,COUNTA(Seasons!$A$1:$A1003)+1)</f>
        <v>3</v>
      </c>
      <c r="C272" s="20" t="str">
        <f aca="true">"Series "&amp;A272&amp;IF(B272=0,"","/"&amp;INDIRECT(ADDRESS(B272,1,1,TRUE(),"Seasons")))</f>
        <v>Series 54/Winter</v>
      </c>
      <c r="D272" s="17" t="n">
        <f aca="false">IF(B272=0,VLOOKUP(A272,Series!$A$2:B1003,2,FALSE()),D271+IF(B271=0,0,7))</f>
        <v>46009</v>
      </c>
    </row>
    <row r="273" customFormat="false" ht="15.75" hidden="false" customHeight="false" outlineLevel="0" collapsed="false">
      <c r="A273" s="20" t="n">
        <f aca="false">FLOOR((ROW()+1)/(COUNTA(Seasons!$A$1:$A1003)+1),1)</f>
        <v>54</v>
      </c>
      <c r="B273" s="20" t="n">
        <f aca="false">MOD(ROW()+1,COUNTA(Seasons!$A$1:$A1003)+1)</f>
        <v>4</v>
      </c>
      <c r="C273" s="20" t="str">
        <f aca="true">"Series "&amp;A273&amp;IF(B273=0,"","/"&amp;INDIRECT(ADDRESS(B273,1,1,TRUE(),"Seasons")))</f>
        <v>Series 54/Spring</v>
      </c>
      <c r="D273" s="17" t="n">
        <f aca="false">IF(B273=0,VLOOKUP(A273,Series!$A$2:B1003,2,FALSE()),D272+IF(B272=0,0,7))</f>
        <v>46016</v>
      </c>
    </row>
    <row r="274" customFormat="false" ht="15.75" hidden="false" customHeight="false" outlineLevel="0" collapsed="false">
      <c r="A274" s="20" t="n">
        <f aca="false">FLOOR((ROW()+1)/(COUNTA(Seasons!$A$1:$A1003)+1),1)</f>
        <v>55</v>
      </c>
      <c r="B274" s="20" t="n">
        <f aca="false">MOD(ROW()+1,COUNTA(Seasons!$A$1:$A1003)+1)</f>
        <v>0</v>
      </c>
      <c r="C274" s="20" t="str">
        <f aca="true">"Series "&amp;A274&amp;IF(B274=0,"","/"&amp;INDIRECT(ADDRESS(B274,1,1,TRUE(),"Seasons")))</f>
        <v>Series 55</v>
      </c>
      <c r="D274" s="17" t="n">
        <f aca="false">IF(B274=0,VLOOKUP(A274,Series!$A$2:B1003,2,FALSE()),D273+IF(B273=0,0,7))</f>
        <v>46023</v>
      </c>
    </row>
    <row r="275" customFormat="false" ht="15.75" hidden="false" customHeight="false" outlineLevel="0" collapsed="false">
      <c r="A275" s="20" t="n">
        <f aca="false">FLOOR((ROW()+1)/(COUNTA(Seasons!$A$1:$A1003)+1),1)</f>
        <v>55</v>
      </c>
      <c r="B275" s="20" t="n">
        <f aca="false">MOD(ROW()+1,COUNTA(Seasons!$A$1:$A1003)+1)</f>
        <v>1</v>
      </c>
      <c r="C275" s="20" t="str">
        <f aca="true">"Series "&amp;A275&amp;IF(B275=0,"","/"&amp;INDIRECT(ADDRESS(B275,1,1,TRUE(),"Seasons")))</f>
        <v>Series 55/Summer</v>
      </c>
      <c r="D275" s="17" t="n">
        <f aca="false">IF(B275=0,VLOOKUP(A275,Series!$A$2:B1003,2,FALSE()),D274+IF(B274=0,0,7))</f>
        <v>46023</v>
      </c>
    </row>
    <row r="276" customFormat="false" ht="15.75" hidden="false" customHeight="false" outlineLevel="0" collapsed="false">
      <c r="A276" s="20" t="n">
        <f aca="false">FLOOR((ROW()+1)/(COUNTA(Seasons!$A$1:$A1003)+1),1)</f>
        <v>55</v>
      </c>
      <c r="B276" s="20" t="n">
        <f aca="false">MOD(ROW()+1,COUNTA(Seasons!$A$1:$A1003)+1)</f>
        <v>2</v>
      </c>
      <c r="C276" s="20" t="str">
        <f aca="true">"Series "&amp;A276&amp;IF(B276=0,"","/"&amp;INDIRECT(ADDRESS(B276,1,1,TRUE(),"Seasons")))</f>
        <v>Series 55/Autumn</v>
      </c>
      <c r="D276" s="17" t="n">
        <f aca="false">IF(B276=0,VLOOKUP(A276,Series!$A$2:B1003,2,FALSE()),D275+IF(B275=0,0,7))</f>
        <v>46030</v>
      </c>
    </row>
    <row r="277" customFormat="false" ht="15.75" hidden="false" customHeight="false" outlineLevel="0" collapsed="false">
      <c r="A277" s="20" t="n">
        <f aca="false">FLOOR((ROW()+1)/(COUNTA(Seasons!$A$1:$A1003)+1),1)</f>
        <v>55</v>
      </c>
      <c r="B277" s="20" t="n">
        <f aca="false">MOD(ROW()+1,COUNTA(Seasons!$A$1:$A1003)+1)</f>
        <v>3</v>
      </c>
      <c r="C277" s="20" t="str">
        <f aca="true">"Series "&amp;A277&amp;IF(B277=0,"","/"&amp;INDIRECT(ADDRESS(B277,1,1,TRUE(),"Seasons")))</f>
        <v>Series 55/Winter</v>
      </c>
      <c r="D277" s="17" t="n">
        <f aca="false">IF(B277=0,VLOOKUP(A277,Series!$A$2:B1003,2,FALSE()),D276+IF(B276=0,0,7))</f>
        <v>46037</v>
      </c>
    </row>
    <row r="278" customFormat="false" ht="15.75" hidden="false" customHeight="false" outlineLevel="0" collapsed="false">
      <c r="A278" s="20" t="n">
        <f aca="false">FLOOR((ROW()+1)/(COUNTA(Seasons!$A$1:$A1003)+1),1)</f>
        <v>55</v>
      </c>
      <c r="B278" s="20" t="n">
        <f aca="false">MOD(ROW()+1,COUNTA(Seasons!$A$1:$A1003)+1)</f>
        <v>4</v>
      </c>
      <c r="C278" s="20" t="str">
        <f aca="true">"Series "&amp;A278&amp;IF(B278=0,"","/"&amp;INDIRECT(ADDRESS(B278,1,1,TRUE(),"Seasons")))</f>
        <v>Series 55/Spring</v>
      </c>
      <c r="D278" s="17" t="n">
        <f aca="false">IF(B278=0,VLOOKUP(A278,Series!$A$2:B1003,2,FALSE()),D277+IF(B277=0,0,7))</f>
        <v>46044</v>
      </c>
    </row>
    <row r="279" customFormat="false" ht="15.75" hidden="false" customHeight="false" outlineLevel="0" collapsed="false">
      <c r="A279" s="20" t="n">
        <f aca="false">FLOOR((ROW()+1)/(COUNTA(Seasons!$A$1:$A1003)+1),1)</f>
        <v>56</v>
      </c>
      <c r="B279" s="20" t="n">
        <f aca="false">MOD(ROW()+1,COUNTA(Seasons!$A$1:$A1003)+1)</f>
        <v>0</v>
      </c>
      <c r="C279" s="20" t="str">
        <f aca="true">"Series "&amp;A279&amp;IF(B279=0,"","/"&amp;INDIRECT(ADDRESS(B279,1,1,TRUE(),"Seasons")))</f>
        <v>Series 56</v>
      </c>
      <c r="D279" s="17" t="n">
        <f aca="false">IF(B279=0,VLOOKUP(A279,Series!$A$2:B1003,2,FALSE()),D278+IF(B278=0,0,7))</f>
        <v>46051</v>
      </c>
    </row>
    <row r="280" customFormat="false" ht="15.75" hidden="false" customHeight="false" outlineLevel="0" collapsed="false">
      <c r="A280" s="20" t="n">
        <f aca="false">FLOOR((ROW()+1)/(COUNTA(Seasons!$A$1:$A1003)+1),1)</f>
        <v>56</v>
      </c>
      <c r="B280" s="20" t="n">
        <f aca="false">MOD(ROW()+1,COUNTA(Seasons!$A$1:$A1003)+1)</f>
        <v>1</v>
      </c>
      <c r="C280" s="20" t="str">
        <f aca="true">"Series "&amp;A280&amp;IF(B280=0,"","/"&amp;INDIRECT(ADDRESS(B280,1,1,TRUE(),"Seasons")))</f>
        <v>Series 56/Summer</v>
      </c>
      <c r="D280" s="17" t="n">
        <f aca="false">IF(B280=0,VLOOKUP(A280,Series!$A$2:B1003,2,FALSE()),D279+IF(B279=0,0,7))</f>
        <v>46051</v>
      </c>
    </row>
    <row r="281" customFormat="false" ht="15.75" hidden="false" customHeight="false" outlineLevel="0" collapsed="false">
      <c r="A281" s="20" t="n">
        <f aca="false">FLOOR((ROW()+1)/(COUNTA(Seasons!$A$1:$A1003)+1),1)</f>
        <v>56</v>
      </c>
      <c r="B281" s="20" t="n">
        <f aca="false">MOD(ROW()+1,COUNTA(Seasons!$A$1:$A1003)+1)</f>
        <v>2</v>
      </c>
      <c r="C281" s="20" t="str">
        <f aca="true">"Series "&amp;A281&amp;IF(B281=0,"","/"&amp;INDIRECT(ADDRESS(B281,1,1,TRUE(),"Seasons")))</f>
        <v>Series 56/Autumn</v>
      </c>
      <c r="D281" s="17" t="n">
        <f aca="false">IF(B281=0,VLOOKUP(A281,Series!$A$2:B1003,2,FALSE()),D280+IF(B280=0,0,7))</f>
        <v>46058</v>
      </c>
    </row>
    <row r="282" customFormat="false" ht="15.75" hidden="false" customHeight="false" outlineLevel="0" collapsed="false">
      <c r="A282" s="20" t="n">
        <f aca="false">FLOOR((ROW()+1)/(COUNTA(Seasons!$A$1:$A1003)+1),1)</f>
        <v>56</v>
      </c>
      <c r="B282" s="20" t="n">
        <f aca="false">MOD(ROW()+1,COUNTA(Seasons!$A$1:$A1003)+1)</f>
        <v>3</v>
      </c>
      <c r="C282" s="20" t="str">
        <f aca="true">"Series "&amp;A282&amp;IF(B282=0,"","/"&amp;INDIRECT(ADDRESS(B282,1,1,TRUE(),"Seasons")))</f>
        <v>Series 56/Winter</v>
      </c>
      <c r="D282" s="17" t="n">
        <f aca="false">IF(B282=0,VLOOKUP(A282,Series!$A$2:B1003,2,FALSE()),D281+IF(B281=0,0,7))</f>
        <v>46065</v>
      </c>
    </row>
    <row r="283" customFormat="false" ht="15.75" hidden="false" customHeight="false" outlineLevel="0" collapsed="false">
      <c r="A283" s="20" t="n">
        <f aca="false">FLOOR((ROW()+1)/(COUNTA(Seasons!$A$1:$A1003)+1),1)</f>
        <v>56</v>
      </c>
      <c r="B283" s="20" t="n">
        <f aca="false">MOD(ROW()+1,COUNTA(Seasons!$A$1:$A1003)+1)</f>
        <v>4</v>
      </c>
      <c r="C283" s="20" t="str">
        <f aca="true">"Series "&amp;A283&amp;IF(B283=0,"","/"&amp;INDIRECT(ADDRESS(B283,1,1,TRUE(),"Seasons")))</f>
        <v>Series 56/Spring</v>
      </c>
      <c r="D283" s="17" t="n">
        <f aca="false">IF(B283=0,VLOOKUP(A283,Series!$A$2:B1003,2,FALSE()),D282+IF(B282=0,0,7))</f>
        <v>46072</v>
      </c>
    </row>
    <row r="284" customFormat="false" ht="15.75" hidden="false" customHeight="false" outlineLevel="0" collapsed="false">
      <c r="A284" s="20" t="n">
        <f aca="false">FLOOR((ROW()+1)/(COUNTA(Seasons!$A$1:$A1003)+1),1)</f>
        <v>57</v>
      </c>
      <c r="B284" s="20" t="n">
        <f aca="false">MOD(ROW()+1,COUNTA(Seasons!$A$1:$A1003)+1)</f>
        <v>0</v>
      </c>
      <c r="C284" s="20" t="str">
        <f aca="true">"Series "&amp;A284&amp;IF(B284=0,"","/"&amp;INDIRECT(ADDRESS(B284,1,1,TRUE(),"Seasons")))</f>
        <v>Series 57</v>
      </c>
      <c r="D284" s="17" t="n">
        <f aca="false">IF(B284=0,VLOOKUP(A284,Series!$A$2:B1003,2,FALSE()),D283+IF(B283=0,0,7))</f>
        <v>46079</v>
      </c>
    </row>
    <row r="285" customFormat="false" ht="15.75" hidden="false" customHeight="false" outlineLevel="0" collapsed="false">
      <c r="A285" s="20" t="n">
        <f aca="false">FLOOR((ROW()+1)/(COUNTA(Seasons!$A$1:$A1003)+1),1)</f>
        <v>57</v>
      </c>
      <c r="B285" s="20" t="n">
        <f aca="false">MOD(ROW()+1,COUNTA(Seasons!$A$1:$A1003)+1)</f>
        <v>1</v>
      </c>
      <c r="C285" s="20" t="str">
        <f aca="true">"Series "&amp;A285&amp;IF(B285=0,"","/"&amp;INDIRECT(ADDRESS(B285,1,1,TRUE(),"Seasons")))</f>
        <v>Series 57/Summer</v>
      </c>
      <c r="D285" s="17" t="n">
        <f aca="false">IF(B285=0,VLOOKUP(A285,Series!$A$2:B1003,2,FALSE()),D284+IF(B284=0,0,7))</f>
        <v>46079</v>
      </c>
    </row>
    <row r="286" customFormat="false" ht="15.75" hidden="false" customHeight="false" outlineLevel="0" collapsed="false">
      <c r="A286" s="20" t="n">
        <f aca="false">FLOOR((ROW()+1)/(COUNTA(Seasons!$A$1:$A1003)+1),1)</f>
        <v>57</v>
      </c>
      <c r="B286" s="20" t="n">
        <f aca="false">MOD(ROW()+1,COUNTA(Seasons!$A$1:$A1003)+1)</f>
        <v>2</v>
      </c>
      <c r="C286" s="20" t="str">
        <f aca="true">"Series "&amp;A286&amp;IF(B286=0,"","/"&amp;INDIRECT(ADDRESS(B286,1,1,TRUE(),"Seasons")))</f>
        <v>Series 57/Autumn</v>
      </c>
      <c r="D286" s="17" t="n">
        <f aca="false">IF(B286=0,VLOOKUP(A286,Series!$A$2:B1003,2,FALSE()),D285+IF(B285=0,0,7))</f>
        <v>46086</v>
      </c>
    </row>
    <row r="287" customFormat="false" ht="15.75" hidden="false" customHeight="false" outlineLevel="0" collapsed="false">
      <c r="A287" s="20" t="n">
        <f aca="false">FLOOR((ROW()+1)/(COUNTA(Seasons!$A$1:$A1003)+1),1)</f>
        <v>57</v>
      </c>
      <c r="B287" s="20" t="n">
        <f aca="false">MOD(ROW()+1,COUNTA(Seasons!$A$1:$A1003)+1)</f>
        <v>3</v>
      </c>
      <c r="C287" s="20" t="str">
        <f aca="true">"Series "&amp;A287&amp;IF(B287=0,"","/"&amp;INDIRECT(ADDRESS(B287,1,1,TRUE(),"Seasons")))</f>
        <v>Series 57/Winter</v>
      </c>
      <c r="D287" s="17" t="n">
        <f aca="false">IF(B287=0,VLOOKUP(A287,Series!$A$2:B1003,2,FALSE()),D286+IF(B286=0,0,7))</f>
        <v>46093</v>
      </c>
    </row>
    <row r="288" customFormat="false" ht="15.75" hidden="false" customHeight="false" outlineLevel="0" collapsed="false">
      <c r="A288" s="20" t="n">
        <f aca="false">FLOOR((ROW()+1)/(COUNTA(Seasons!$A$1:$A1003)+1),1)</f>
        <v>57</v>
      </c>
      <c r="B288" s="20" t="n">
        <f aca="false">MOD(ROW()+1,COUNTA(Seasons!$A$1:$A1003)+1)</f>
        <v>4</v>
      </c>
      <c r="C288" s="20" t="str">
        <f aca="true">"Series "&amp;A288&amp;IF(B288=0,"","/"&amp;INDIRECT(ADDRESS(B288,1,1,TRUE(),"Seasons")))</f>
        <v>Series 57/Spring</v>
      </c>
      <c r="D288" s="17" t="n">
        <f aca="false">IF(B288=0,VLOOKUP(A288,Series!$A$2:B1003,2,FALSE()),D287+IF(B287=0,0,7))</f>
        <v>46100</v>
      </c>
    </row>
    <row r="289" customFormat="false" ht="15.75" hidden="false" customHeight="false" outlineLevel="0" collapsed="false">
      <c r="A289" s="20" t="n">
        <f aca="false">FLOOR((ROW()+1)/(COUNTA(Seasons!$A$1:$A1003)+1),1)</f>
        <v>58</v>
      </c>
      <c r="B289" s="20" t="n">
        <f aca="false">MOD(ROW()+1,COUNTA(Seasons!$A$1:$A1003)+1)</f>
        <v>0</v>
      </c>
      <c r="C289" s="20" t="str">
        <f aca="true">"Series "&amp;A289&amp;IF(B289=0,"","/"&amp;INDIRECT(ADDRESS(B289,1,1,TRUE(),"Seasons")))</f>
        <v>Series 58</v>
      </c>
      <c r="D289" s="17" t="n">
        <f aca="false">IF(B289=0,VLOOKUP(A289,Series!$A$2:B1003,2,FALSE()),D288+IF(B288=0,0,7))</f>
        <v>46107</v>
      </c>
    </row>
    <row r="290" customFormat="false" ht="15.75" hidden="false" customHeight="false" outlineLevel="0" collapsed="false">
      <c r="A290" s="20" t="n">
        <f aca="false">FLOOR((ROW()+1)/(COUNTA(Seasons!$A$1:$A1003)+1),1)</f>
        <v>58</v>
      </c>
      <c r="B290" s="20" t="n">
        <f aca="false">MOD(ROW()+1,COUNTA(Seasons!$A$1:$A1003)+1)</f>
        <v>1</v>
      </c>
      <c r="C290" s="20" t="str">
        <f aca="true">"Series "&amp;A290&amp;IF(B290=0,"","/"&amp;INDIRECT(ADDRESS(B290,1,1,TRUE(),"Seasons")))</f>
        <v>Series 58/Summer</v>
      </c>
      <c r="D290" s="17" t="n">
        <f aca="false">IF(B290=0,VLOOKUP(A290,Series!$A$2:B1003,2,FALSE()),D289+IF(B289=0,0,7))</f>
        <v>46107</v>
      </c>
    </row>
    <row r="291" customFormat="false" ht="15.75" hidden="false" customHeight="false" outlineLevel="0" collapsed="false">
      <c r="A291" s="20" t="n">
        <f aca="false">FLOOR((ROW()+1)/(COUNTA(Seasons!$A$1:$A1003)+1),1)</f>
        <v>58</v>
      </c>
      <c r="B291" s="20" t="n">
        <f aca="false">MOD(ROW()+1,COUNTA(Seasons!$A$1:$A1003)+1)</f>
        <v>2</v>
      </c>
      <c r="C291" s="20" t="str">
        <f aca="true">"Series "&amp;A291&amp;IF(B291=0,"","/"&amp;INDIRECT(ADDRESS(B291,1,1,TRUE(),"Seasons")))</f>
        <v>Series 58/Autumn</v>
      </c>
      <c r="D291" s="17" t="n">
        <f aca="false">IF(B291=0,VLOOKUP(A291,Series!$A$2:B1003,2,FALSE()),D290+IF(B290=0,0,7))</f>
        <v>46114</v>
      </c>
    </row>
    <row r="292" customFormat="false" ht="15.75" hidden="false" customHeight="false" outlineLevel="0" collapsed="false">
      <c r="A292" s="20" t="n">
        <f aca="false">FLOOR((ROW()+1)/(COUNTA(Seasons!$A$1:$A1003)+1),1)</f>
        <v>58</v>
      </c>
      <c r="B292" s="20" t="n">
        <f aca="false">MOD(ROW()+1,COUNTA(Seasons!$A$1:$A1003)+1)</f>
        <v>3</v>
      </c>
      <c r="C292" s="20" t="str">
        <f aca="true">"Series "&amp;A292&amp;IF(B292=0,"","/"&amp;INDIRECT(ADDRESS(B292,1,1,TRUE(),"Seasons")))</f>
        <v>Series 58/Winter</v>
      </c>
      <c r="D292" s="17" t="n">
        <f aca="false">IF(B292=0,VLOOKUP(A292,Series!$A$2:B1003,2,FALSE()),D291+IF(B291=0,0,7))</f>
        <v>46121</v>
      </c>
    </row>
    <row r="293" customFormat="false" ht="15.75" hidden="false" customHeight="false" outlineLevel="0" collapsed="false">
      <c r="A293" s="20" t="n">
        <f aca="false">FLOOR((ROW()+1)/(COUNTA(Seasons!$A$1:$A1003)+1),1)</f>
        <v>58</v>
      </c>
      <c r="B293" s="20" t="n">
        <f aca="false">MOD(ROW()+1,COUNTA(Seasons!$A$1:$A1003)+1)</f>
        <v>4</v>
      </c>
      <c r="C293" s="20" t="str">
        <f aca="true">"Series "&amp;A293&amp;IF(B293=0,"","/"&amp;INDIRECT(ADDRESS(B293,1,1,TRUE(),"Seasons")))</f>
        <v>Series 58/Spring</v>
      </c>
      <c r="D293" s="17" t="n">
        <f aca="false">IF(B293=0,VLOOKUP(A293,Series!$A$2:B1003,2,FALSE()),D292+IF(B292=0,0,7))</f>
        <v>46128</v>
      </c>
    </row>
    <row r="294" customFormat="false" ht="15.75" hidden="false" customHeight="false" outlineLevel="0" collapsed="false">
      <c r="A294" s="20" t="n">
        <f aca="false">FLOOR((ROW()+1)/(COUNTA(Seasons!$A$1:$A1003)+1),1)</f>
        <v>59</v>
      </c>
      <c r="B294" s="20" t="n">
        <f aca="false">MOD(ROW()+1,COUNTA(Seasons!$A$1:$A1003)+1)</f>
        <v>0</v>
      </c>
      <c r="C294" s="20" t="str">
        <f aca="true">"Series "&amp;A294&amp;IF(B294=0,"","/"&amp;INDIRECT(ADDRESS(B294,1,1,TRUE(),"Seasons")))</f>
        <v>Series 59</v>
      </c>
      <c r="D294" s="17" t="n">
        <f aca="false">IF(B294=0,VLOOKUP(A294,Series!$A$2:B1003,2,FALSE()),D293+IF(B293=0,0,7))</f>
        <v>46135</v>
      </c>
    </row>
    <row r="295" customFormat="false" ht="15.75" hidden="false" customHeight="false" outlineLevel="0" collapsed="false">
      <c r="A295" s="20" t="n">
        <f aca="false">FLOOR((ROW()+1)/(COUNTA(Seasons!$A$1:$A1003)+1),1)</f>
        <v>59</v>
      </c>
      <c r="B295" s="20" t="n">
        <f aca="false">MOD(ROW()+1,COUNTA(Seasons!$A$1:$A1003)+1)</f>
        <v>1</v>
      </c>
      <c r="C295" s="20" t="str">
        <f aca="true">"Series "&amp;A295&amp;IF(B295=0,"","/"&amp;INDIRECT(ADDRESS(B295,1,1,TRUE(),"Seasons")))</f>
        <v>Series 59/Summer</v>
      </c>
      <c r="D295" s="17" t="n">
        <f aca="false">IF(B295=0,VLOOKUP(A295,Series!$A$2:B1003,2,FALSE()),D294+IF(B294=0,0,7))</f>
        <v>46135</v>
      </c>
    </row>
    <row r="296" customFormat="false" ht="15.75" hidden="false" customHeight="false" outlineLevel="0" collapsed="false">
      <c r="A296" s="20" t="n">
        <f aca="false">FLOOR((ROW()+1)/(COUNTA(Seasons!$A$1:$A1003)+1),1)</f>
        <v>59</v>
      </c>
      <c r="B296" s="20" t="n">
        <f aca="false">MOD(ROW()+1,COUNTA(Seasons!$A$1:$A1003)+1)</f>
        <v>2</v>
      </c>
      <c r="C296" s="20" t="str">
        <f aca="true">"Series "&amp;A296&amp;IF(B296=0,"","/"&amp;INDIRECT(ADDRESS(B296,1,1,TRUE(),"Seasons")))</f>
        <v>Series 59/Autumn</v>
      </c>
      <c r="D296" s="17" t="n">
        <f aca="false">IF(B296=0,VLOOKUP(A296,Series!$A$2:B1003,2,FALSE()),D295+IF(B295=0,0,7))</f>
        <v>46142</v>
      </c>
    </row>
    <row r="297" customFormat="false" ht="15.75" hidden="false" customHeight="false" outlineLevel="0" collapsed="false">
      <c r="A297" s="20" t="n">
        <f aca="false">FLOOR((ROW()+1)/(COUNTA(Seasons!$A$1:$A1003)+1),1)</f>
        <v>59</v>
      </c>
      <c r="B297" s="20" t="n">
        <f aca="false">MOD(ROW()+1,COUNTA(Seasons!$A$1:$A1003)+1)</f>
        <v>3</v>
      </c>
      <c r="C297" s="20" t="str">
        <f aca="true">"Series "&amp;A297&amp;IF(B297=0,"","/"&amp;INDIRECT(ADDRESS(B297,1,1,TRUE(),"Seasons")))</f>
        <v>Series 59/Winter</v>
      </c>
      <c r="D297" s="17" t="n">
        <f aca="false">IF(B297=0,VLOOKUP(A297,Series!$A$2:B1003,2,FALSE()),D296+IF(B296=0,0,7))</f>
        <v>46149</v>
      </c>
    </row>
    <row r="298" customFormat="false" ht="15.75" hidden="false" customHeight="false" outlineLevel="0" collapsed="false">
      <c r="A298" s="20" t="n">
        <f aca="false">FLOOR((ROW()+1)/(COUNTA(Seasons!$A$1:$A1003)+1),1)</f>
        <v>59</v>
      </c>
      <c r="B298" s="20" t="n">
        <f aca="false">MOD(ROW()+1,COUNTA(Seasons!$A$1:$A1003)+1)</f>
        <v>4</v>
      </c>
      <c r="C298" s="20" t="str">
        <f aca="true">"Series "&amp;A298&amp;IF(B298=0,"","/"&amp;INDIRECT(ADDRESS(B298,1,1,TRUE(),"Seasons")))</f>
        <v>Series 59/Spring</v>
      </c>
      <c r="D298" s="17" t="n">
        <f aca="false">IF(B298=0,VLOOKUP(A298,Series!$A$2:B1003,2,FALSE()),D297+IF(B297=0,0,7))</f>
        <v>46156</v>
      </c>
    </row>
    <row r="299" customFormat="false" ht="15.75" hidden="false" customHeight="false" outlineLevel="0" collapsed="false">
      <c r="A299" s="20" t="n">
        <f aca="false">FLOOR((ROW()+1)/(COUNTA(Seasons!$A$1:$A1003)+1),1)</f>
        <v>60</v>
      </c>
      <c r="B299" s="20" t="n">
        <f aca="false">MOD(ROW()+1,COUNTA(Seasons!$A$1:$A1003)+1)</f>
        <v>0</v>
      </c>
      <c r="C299" s="20" t="str">
        <f aca="true">"Series "&amp;A299&amp;IF(B299=0,"","/"&amp;INDIRECT(ADDRESS(B299,1,1,TRUE(),"Seasons")))</f>
        <v>Series 60</v>
      </c>
      <c r="D299" s="17" t="n">
        <f aca="false">IF(B299=0,VLOOKUP(A299,Series!$A$2:B1003,2,FALSE()),D298+IF(B298=0,0,7))</f>
        <v>46163</v>
      </c>
    </row>
    <row r="300" customFormat="false" ht="15.75" hidden="false" customHeight="false" outlineLevel="0" collapsed="false">
      <c r="A300" s="20" t="n">
        <f aca="false">FLOOR((ROW()+1)/(COUNTA(Seasons!$A$1:$A1003)+1),1)</f>
        <v>60</v>
      </c>
      <c r="B300" s="20" t="n">
        <f aca="false">MOD(ROW()+1,COUNTA(Seasons!$A$1:$A1003)+1)</f>
        <v>1</v>
      </c>
      <c r="C300" s="20" t="str">
        <f aca="true">"Series "&amp;A300&amp;IF(B300=0,"","/"&amp;INDIRECT(ADDRESS(B300,1,1,TRUE(),"Seasons")))</f>
        <v>Series 60/Summer</v>
      </c>
      <c r="D300" s="17" t="n">
        <f aca="false">IF(B300=0,VLOOKUP(A300,Series!$A$2:B1003,2,FALSE()),D299+IF(B299=0,0,7))</f>
        <v>46163</v>
      </c>
    </row>
    <row r="301" customFormat="false" ht="15.75" hidden="false" customHeight="false" outlineLevel="0" collapsed="false">
      <c r="A301" s="20" t="n">
        <f aca="false">FLOOR((ROW()+1)/(COUNTA(Seasons!$A$1:$A1003)+1),1)</f>
        <v>60</v>
      </c>
      <c r="B301" s="20" t="n">
        <f aca="false">MOD(ROW()+1,COUNTA(Seasons!$A$1:$A1003)+1)</f>
        <v>2</v>
      </c>
      <c r="C301" s="20" t="str">
        <f aca="true">"Series "&amp;A301&amp;IF(B301=0,"","/"&amp;INDIRECT(ADDRESS(B301,1,1,TRUE(),"Seasons")))</f>
        <v>Series 60/Autumn</v>
      </c>
      <c r="D301" s="17" t="n">
        <f aca="false">IF(B301=0,VLOOKUP(A301,Series!$A$2:B1003,2,FALSE()),D300+IF(B300=0,0,7))</f>
        <v>46170</v>
      </c>
    </row>
    <row r="302" customFormat="false" ht="15.75" hidden="false" customHeight="false" outlineLevel="0" collapsed="false">
      <c r="A302" s="20" t="n">
        <f aca="false">FLOOR((ROW()+1)/(COUNTA(Seasons!$A$1:$A1003)+1),1)</f>
        <v>60</v>
      </c>
      <c r="B302" s="20" t="n">
        <f aca="false">MOD(ROW()+1,COUNTA(Seasons!$A$1:$A1003)+1)</f>
        <v>3</v>
      </c>
      <c r="C302" s="20" t="str">
        <f aca="true">"Series "&amp;A302&amp;IF(B302=0,"","/"&amp;INDIRECT(ADDRESS(B302,1,1,TRUE(),"Seasons")))</f>
        <v>Series 60/Winter</v>
      </c>
      <c r="D302" s="17" t="n">
        <f aca="false">IF(B302=0,VLOOKUP(A302,Series!$A$2:B1003,2,FALSE()),D301+IF(B301=0,0,7))</f>
        <v>46177</v>
      </c>
    </row>
    <row r="303" customFormat="false" ht="15.75" hidden="false" customHeight="false" outlineLevel="0" collapsed="false">
      <c r="A303" s="20" t="n">
        <f aca="false">FLOOR((ROW()+1)/(COUNTA(Seasons!$A$1:$A1003)+1),1)</f>
        <v>60</v>
      </c>
      <c r="B303" s="20" t="n">
        <f aca="false">MOD(ROW()+1,COUNTA(Seasons!$A$1:$A1003)+1)</f>
        <v>4</v>
      </c>
      <c r="C303" s="20" t="str">
        <f aca="true">"Series "&amp;A303&amp;IF(B303=0,"","/"&amp;INDIRECT(ADDRESS(B303,1,1,TRUE(),"Seasons")))</f>
        <v>Series 60/Spring</v>
      </c>
      <c r="D303" s="17" t="n">
        <f aca="false">IF(B303=0,VLOOKUP(A303,Series!$A$2:B1003,2,FALSE()),D302+IF(B302=0,0,7))</f>
        <v>46184</v>
      </c>
    </row>
    <row r="304" customFormat="false" ht="15.75" hidden="false" customHeight="false" outlineLevel="0" collapsed="false">
      <c r="A304" s="20" t="n">
        <f aca="false">FLOOR((ROW()+1)/(COUNTA(Seasons!$A$1:$A1003)+1),1)</f>
        <v>61</v>
      </c>
      <c r="B304" s="20" t="n">
        <f aca="false">MOD(ROW()+1,COUNTA(Seasons!$A$1:$A1003)+1)</f>
        <v>0</v>
      </c>
      <c r="C304" s="20" t="str">
        <f aca="true">"Series "&amp;A304&amp;IF(B304=0,"","/"&amp;INDIRECT(ADDRESS(B304,1,1,TRUE(),"Seasons")))</f>
        <v>Series 61</v>
      </c>
      <c r="D304" s="17" t="n">
        <f aca="false">IF(B304=0,VLOOKUP(A304,Series!$A$2:B1003,2,FALSE()),D303+IF(B303=0,0,7))</f>
        <v>46191</v>
      </c>
    </row>
    <row r="305" customFormat="false" ht="15.75" hidden="false" customHeight="false" outlineLevel="0" collapsed="false">
      <c r="A305" s="20" t="n">
        <f aca="false">FLOOR((ROW()+1)/(COUNTA(Seasons!$A$1:$A1003)+1),1)</f>
        <v>61</v>
      </c>
      <c r="B305" s="20" t="n">
        <f aca="false">MOD(ROW()+1,COUNTA(Seasons!$A$1:$A1003)+1)</f>
        <v>1</v>
      </c>
      <c r="C305" s="20" t="str">
        <f aca="true">"Series "&amp;A305&amp;IF(B305=0,"","/"&amp;INDIRECT(ADDRESS(B305,1,1,TRUE(),"Seasons")))</f>
        <v>Series 61/Summer</v>
      </c>
      <c r="D305" s="17" t="n">
        <f aca="false">IF(B305=0,VLOOKUP(A305,Series!$A$2:B1003,2,FALSE()),D304+IF(B304=0,0,7))</f>
        <v>46191</v>
      </c>
    </row>
    <row r="306" customFormat="false" ht="15.75" hidden="false" customHeight="false" outlineLevel="0" collapsed="false">
      <c r="A306" s="20" t="n">
        <f aca="false">FLOOR((ROW()+1)/(COUNTA(Seasons!$A$1:$A1003)+1),1)</f>
        <v>61</v>
      </c>
      <c r="B306" s="20" t="n">
        <f aca="false">MOD(ROW()+1,COUNTA(Seasons!$A$1:$A1003)+1)</f>
        <v>2</v>
      </c>
      <c r="C306" s="20" t="str">
        <f aca="true">"Series "&amp;A306&amp;IF(B306=0,"","/"&amp;INDIRECT(ADDRESS(B306,1,1,TRUE(),"Seasons")))</f>
        <v>Series 61/Autumn</v>
      </c>
      <c r="D306" s="17" t="n">
        <f aca="false">IF(B306=0,VLOOKUP(A306,Series!$A$2:B1003,2,FALSE()),D305+IF(B305=0,0,7))</f>
        <v>46198</v>
      </c>
    </row>
    <row r="307" customFormat="false" ht="15.75" hidden="false" customHeight="false" outlineLevel="0" collapsed="false">
      <c r="A307" s="20" t="n">
        <f aca="false">FLOOR((ROW()+1)/(COUNTA(Seasons!$A$1:$A1003)+1),1)</f>
        <v>61</v>
      </c>
      <c r="B307" s="20" t="n">
        <f aca="false">MOD(ROW()+1,COUNTA(Seasons!$A$1:$A1003)+1)</f>
        <v>3</v>
      </c>
      <c r="C307" s="20" t="str">
        <f aca="true">"Series "&amp;A307&amp;IF(B307=0,"","/"&amp;INDIRECT(ADDRESS(B307,1,1,TRUE(),"Seasons")))</f>
        <v>Series 61/Winter</v>
      </c>
      <c r="D307" s="17" t="n">
        <f aca="false">IF(B307=0,VLOOKUP(A307,Series!$A$2:B1003,2,FALSE()),D306+IF(B306=0,0,7))</f>
        <v>46205</v>
      </c>
    </row>
    <row r="308" customFormat="false" ht="15.75" hidden="false" customHeight="false" outlineLevel="0" collapsed="false">
      <c r="A308" s="20" t="n">
        <f aca="false">FLOOR((ROW()+1)/(COUNTA(Seasons!$A$1:$A1003)+1),1)</f>
        <v>61</v>
      </c>
      <c r="B308" s="20" t="n">
        <f aca="false">MOD(ROW()+1,COUNTA(Seasons!$A$1:$A1003)+1)</f>
        <v>4</v>
      </c>
      <c r="C308" s="20" t="str">
        <f aca="true">"Series "&amp;A308&amp;IF(B308=0,"","/"&amp;INDIRECT(ADDRESS(B308,1,1,TRUE(),"Seasons")))</f>
        <v>Series 61/Spring</v>
      </c>
      <c r="D308" s="17" t="n">
        <f aca="false">IF(B308=0,VLOOKUP(A308,Series!$A$2:B1003,2,FALSE()),D307+IF(B307=0,0,7))</f>
        <v>46212</v>
      </c>
    </row>
    <row r="309" customFormat="false" ht="15.75" hidden="false" customHeight="false" outlineLevel="0" collapsed="false">
      <c r="A309" s="20" t="n">
        <f aca="false">FLOOR((ROW()+1)/(COUNTA(Seasons!$A$1:$A1003)+1),1)</f>
        <v>62</v>
      </c>
      <c r="B309" s="20" t="n">
        <f aca="false">MOD(ROW()+1,COUNTA(Seasons!$A$1:$A1003)+1)</f>
        <v>0</v>
      </c>
      <c r="C309" s="20" t="str">
        <f aca="true">"Series "&amp;A309&amp;IF(B309=0,"","/"&amp;INDIRECT(ADDRESS(B309,1,1,TRUE(),"Seasons")))</f>
        <v>Series 62</v>
      </c>
      <c r="D309" s="17" t="n">
        <f aca="false">IF(B309=0,VLOOKUP(A309,Series!$A$2:B1003,2,FALSE()),D308+IF(B308=0,0,7))</f>
        <v>46219</v>
      </c>
    </row>
    <row r="310" customFormat="false" ht="15.75" hidden="false" customHeight="false" outlineLevel="0" collapsed="false">
      <c r="A310" s="20" t="n">
        <f aca="false">FLOOR((ROW()+1)/(COUNTA(Seasons!$A$1:$A1003)+1),1)</f>
        <v>62</v>
      </c>
      <c r="B310" s="20" t="n">
        <f aca="false">MOD(ROW()+1,COUNTA(Seasons!$A$1:$A1003)+1)</f>
        <v>1</v>
      </c>
      <c r="C310" s="20" t="str">
        <f aca="true">"Series "&amp;A310&amp;IF(B310=0,"","/"&amp;INDIRECT(ADDRESS(B310,1,1,TRUE(),"Seasons")))</f>
        <v>Series 62/Summer</v>
      </c>
      <c r="D310" s="17" t="n">
        <f aca="false">IF(B310=0,VLOOKUP(A310,Series!$A$2:B1003,2,FALSE()),D309+IF(B309=0,0,7))</f>
        <v>46219</v>
      </c>
    </row>
    <row r="311" customFormat="false" ht="15.75" hidden="false" customHeight="false" outlineLevel="0" collapsed="false">
      <c r="A311" s="20" t="n">
        <f aca="false">FLOOR((ROW()+1)/(COUNTA(Seasons!$A$1:$A1003)+1),1)</f>
        <v>62</v>
      </c>
      <c r="B311" s="20" t="n">
        <f aca="false">MOD(ROW()+1,COUNTA(Seasons!$A$1:$A1003)+1)</f>
        <v>2</v>
      </c>
      <c r="C311" s="20" t="str">
        <f aca="true">"Series "&amp;A311&amp;IF(B311=0,"","/"&amp;INDIRECT(ADDRESS(B311,1,1,TRUE(),"Seasons")))</f>
        <v>Series 62/Autumn</v>
      </c>
      <c r="D311" s="17" t="n">
        <f aca="false">IF(B311=0,VLOOKUP(A311,Series!$A$2:B1003,2,FALSE()),D310+IF(B310=0,0,7))</f>
        <v>46226</v>
      </c>
    </row>
    <row r="312" customFormat="false" ht="15.75" hidden="false" customHeight="false" outlineLevel="0" collapsed="false">
      <c r="A312" s="20" t="n">
        <f aca="false">FLOOR((ROW()+1)/(COUNTA(Seasons!$A$1:$A1003)+1),1)</f>
        <v>62</v>
      </c>
      <c r="B312" s="20" t="n">
        <f aca="false">MOD(ROW()+1,COUNTA(Seasons!$A$1:$A1003)+1)</f>
        <v>3</v>
      </c>
      <c r="C312" s="20" t="str">
        <f aca="true">"Series "&amp;A312&amp;IF(B312=0,"","/"&amp;INDIRECT(ADDRESS(B312,1,1,TRUE(),"Seasons")))</f>
        <v>Series 62/Winter</v>
      </c>
      <c r="D312" s="17" t="n">
        <f aca="false">IF(B312=0,VLOOKUP(A312,Series!$A$2:B1003,2,FALSE()),D311+IF(B311=0,0,7))</f>
        <v>46233</v>
      </c>
    </row>
    <row r="313" customFormat="false" ht="15.75" hidden="false" customHeight="false" outlineLevel="0" collapsed="false">
      <c r="A313" s="20" t="n">
        <f aca="false">FLOOR((ROW()+1)/(COUNTA(Seasons!$A$1:$A1003)+1),1)</f>
        <v>62</v>
      </c>
      <c r="B313" s="20" t="n">
        <f aca="false">MOD(ROW()+1,COUNTA(Seasons!$A$1:$A1003)+1)</f>
        <v>4</v>
      </c>
      <c r="C313" s="20" t="str">
        <f aca="true">"Series "&amp;A313&amp;IF(B313=0,"","/"&amp;INDIRECT(ADDRESS(B313,1,1,TRUE(),"Seasons")))</f>
        <v>Series 62/Spring</v>
      </c>
      <c r="D313" s="17" t="n">
        <f aca="false">IF(B313=0,VLOOKUP(A313,Series!$A$2:B1003,2,FALSE()),D312+IF(B312=0,0,7))</f>
        <v>46240</v>
      </c>
    </row>
    <row r="314" customFormat="false" ht="15.75" hidden="false" customHeight="false" outlineLevel="0" collapsed="false">
      <c r="A314" s="20" t="n">
        <f aca="false">FLOOR((ROW()+1)/(COUNTA(Seasons!$A$1:$A1003)+1),1)</f>
        <v>63</v>
      </c>
      <c r="B314" s="20" t="n">
        <f aca="false">MOD(ROW()+1,COUNTA(Seasons!$A$1:$A1003)+1)</f>
        <v>0</v>
      </c>
      <c r="C314" s="20" t="str">
        <f aca="true">"Series "&amp;A314&amp;IF(B314=0,"","/"&amp;INDIRECT(ADDRESS(B314,1,1,TRUE(),"Seasons")))</f>
        <v>Series 63</v>
      </c>
      <c r="D314" s="17" t="n">
        <f aca="false">IF(B314=0,VLOOKUP(A314,Series!$A$2:B1003,2,FALSE()),D313+IF(B313=0,0,7))</f>
        <v>46247</v>
      </c>
    </row>
    <row r="315" customFormat="false" ht="15.75" hidden="false" customHeight="false" outlineLevel="0" collapsed="false">
      <c r="A315" s="20" t="n">
        <f aca="false">FLOOR((ROW()+1)/(COUNTA(Seasons!$A$1:$A1003)+1),1)</f>
        <v>63</v>
      </c>
      <c r="B315" s="20" t="n">
        <f aca="false">MOD(ROW()+1,COUNTA(Seasons!$A$1:$A1003)+1)</f>
        <v>1</v>
      </c>
      <c r="C315" s="20" t="str">
        <f aca="true">"Series "&amp;A315&amp;IF(B315=0,"","/"&amp;INDIRECT(ADDRESS(B315,1,1,TRUE(),"Seasons")))</f>
        <v>Series 63/Summer</v>
      </c>
      <c r="D315" s="17" t="n">
        <f aca="false">IF(B315=0,VLOOKUP(A315,Series!$A$2:B1003,2,FALSE()),D314+IF(B314=0,0,7))</f>
        <v>46247</v>
      </c>
    </row>
    <row r="316" customFormat="false" ht="15.75" hidden="false" customHeight="false" outlineLevel="0" collapsed="false">
      <c r="A316" s="20" t="n">
        <f aca="false">FLOOR((ROW()+1)/(COUNTA(Seasons!$A$1:$A1003)+1),1)</f>
        <v>63</v>
      </c>
      <c r="B316" s="20" t="n">
        <f aca="false">MOD(ROW()+1,COUNTA(Seasons!$A$1:$A1003)+1)</f>
        <v>2</v>
      </c>
      <c r="C316" s="20" t="str">
        <f aca="true">"Series "&amp;A316&amp;IF(B316=0,"","/"&amp;INDIRECT(ADDRESS(B316,1,1,TRUE(),"Seasons")))</f>
        <v>Series 63/Autumn</v>
      </c>
      <c r="D316" s="17" t="n">
        <f aca="false">IF(B316=0,VLOOKUP(A316,Series!$A$2:B1003,2,FALSE()),D315+IF(B315=0,0,7))</f>
        <v>46254</v>
      </c>
    </row>
    <row r="317" customFormat="false" ht="15.75" hidden="false" customHeight="false" outlineLevel="0" collapsed="false">
      <c r="A317" s="20" t="n">
        <f aca="false">FLOOR((ROW()+1)/(COUNTA(Seasons!$A$1:$A1003)+1),1)</f>
        <v>63</v>
      </c>
      <c r="B317" s="20" t="n">
        <f aca="false">MOD(ROW()+1,COUNTA(Seasons!$A$1:$A1003)+1)</f>
        <v>3</v>
      </c>
      <c r="C317" s="20" t="str">
        <f aca="true">"Series "&amp;A317&amp;IF(B317=0,"","/"&amp;INDIRECT(ADDRESS(B317,1,1,TRUE(),"Seasons")))</f>
        <v>Series 63/Winter</v>
      </c>
      <c r="D317" s="17" t="n">
        <f aca="false">IF(B317=0,VLOOKUP(A317,Series!$A$2:B1003,2,FALSE()),D316+IF(B316=0,0,7))</f>
        <v>46261</v>
      </c>
    </row>
    <row r="318" customFormat="false" ht="15.75" hidden="false" customHeight="false" outlineLevel="0" collapsed="false">
      <c r="A318" s="20" t="n">
        <f aca="false">FLOOR((ROW()+1)/(COUNTA(Seasons!$A$1:$A1003)+1),1)</f>
        <v>63</v>
      </c>
      <c r="B318" s="20" t="n">
        <f aca="false">MOD(ROW()+1,COUNTA(Seasons!$A$1:$A1003)+1)</f>
        <v>4</v>
      </c>
      <c r="C318" s="20" t="str">
        <f aca="true">"Series "&amp;A318&amp;IF(B318=0,"","/"&amp;INDIRECT(ADDRESS(B318,1,1,TRUE(),"Seasons")))</f>
        <v>Series 63/Spring</v>
      </c>
      <c r="D318" s="17" t="n">
        <f aca="false">IF(B318=0,VLOOKUP(A318,Series!$A$2:B1003,2,FALSE()),D317+IF(B317=0,0,7))</f>
        <v>46268</v>
      </c>
    </row>
    <row r="319" customFormat="false" ht="15.75" hidden="false" customHeight="false" outlineLevel="0" collapsed="false">
      <c r="A319" s="20" t="n">
        <f aca="false">FLOOR((ROW()+1)/(COUNTA(Seasons!$A$1:$A1003)+1),1)</f>
        <v>64</v>
      </c>
      <c r="B319" s="20" t="n">
        <f aca="false">MOD(ROW()+1,COUNTA(Seasons!$A$1:$A1003)+1)</f>
        <v>0</v>
      </c>
      <c r="C319" s="20" t="str">
        <f aca="true">"Series "&amp;A319&amp;IF(B319=0,"","/"&amp;INDIRECT(ADDRESS(B319,1,1,TRUE(),"Seasons")))</f>
        <v>Series 64</v>
      </c>
      <c r="D319" s="17" t="n">
        <f aca="false">IF(B319=0,VLOOKUP(A319,Series!$A$2:B1003,2,FALSE()),D318+IF(B318=0,0,7))</f>
        <v>46275</v>
      </c>
    </row>
    <row r="320" customFormat="false" ht="15.75" hidden="false" customHeight="false" outlineLevel="0" collapsed="false">
      <c r="A320" s="20" t="n">
        <f aca="false">FLOOR((ROW()+1)/(COUNTA(Seasons!$A$1:$A1003)+1),1)</f>
        <v>64</v>
      </c>
      <c r="B320" s="20" t="n">
        <f aca="false">MOD(ROW()+1,COUNTA(Seasons!$A$1:$A1003)+1)</f>
        <v>1</v>
      </c>
      <c r="C320" s="20" t="str">
        <f aca="true">"Series "&amp;A320&amp;IF(B320=0,"","/"&amp;INDIRECT(ADDRESS(B320,1,1,TRUE(),"Seasons")))</f>
        <v>Series 64/Summer</v>
      </c>
      <c r="D320" s="17" t="n">
        <f aca="false">IF(B320=0,VLOOKUP(A320,Series!$A$2:B1003,2,FALSE()),D319+IF(B319=0,0,7))</f>
        <v>46275</v>
      </c>
    </row>
    <row r="321" customFormat="false" ht="15.75" hidden="false" customHeight="false" outlineLevel="0" collapsed="false">
      <c r="A321" s="20" t="n">
        <f aca="false">FLOOR((ROW()+1)/(COUNTA(Seasons!$A$1:$A1003)+1),1)</f>
        <v>64</v>
      </c>
      <c r="B321" s="20" t="n">
        <f aca="false">MOD(ROW()+1,COUNTA(Seasons!$A$1:$A1003)+1)</f>
        <v>2</v>
      </c>
      <c r="C321" s="20" t="str">
        <f aca="true">"Series "&amp;A321&amp;IF(B321=0,"","/"&amp;INDIRECT(ADDRESS(B321,1,1,TRUE(),"Seasons")))</f>
        <v>Series 64/Autumn</v>
      </c>
      <c r="D321" s="17" t="n">
        <f aca="false">IF(B321=0,VLOOKUP(A321,Series!$A$2:B1003,2,FALSE()),D320+IF(B320=0,0,7))</f>
        <v>46282</v>
      </c>
    </row>
    <row r="322" customFormat="false" ht="15.75" hidden="false" customHeight="false" outlineLevel="0" collapsed="false">
      <c r="A322" s="20" t="n">
        <f aca="false">FLOOR((ROW()+1)/(COUNTA(Seasons!$A$1:$A1003)+1),1)</f>
        <v>64</v>
      </c>
      <c r="B322" s="20" t="n">
        <f aca="false">MOD(ROW()+1,COUNTA(Seasons!$A$1:$A1003)+1)</f>
        <v>3</v>
      </c>
      <c r="C322" s="20" t="str">
        <f aca="true">"Series "&amp;A322&amp;IF(B322=0,"","/"&amp;INDIRECT(ADDRESS(B322,1,1,TRUE(),"Seasons")))</f>
        <v>Series 64/Winter</v>
      </c>
      <c r="D322" s="17" t="n">
        <f aca="false">IF(B322=0,VLOOKUP(A322,Series!$A$2:B1003,2,FALSE()),D321+IF(B321=0,0,7))</f>
        <v>46289</v>
      </c>
    </row>
    <row r="323" customFormat="false" ht="15.75" hidden="false" customHeight="false" outlineLevel="0" collapsed="false">
      <c r="A323" s="20" t="n">
        <f aca="false">FLOOR((ROW()+1)/(COUNTA(Seasons!$A$1:$A1003)+1),1)</f>
        <v>64</v>
      </c>
      <c r="B323" s="20" t="n">
        <f aca="false">MOD(ROW()+1,COUNTA(Seasons!$A$1:$A1003)+1)</f>
        <v>4</v>
      </c>
      <c r="C323" s="20" t="str">
        <f aca="true">"Series "&amp;A323&amp;IF(B323=0,"","/"&amp;INDIRECT(ADDRESS(B323,1,1,TRUE(),"Seasons")))</f>
        <v>Series 64/Spring</v>
      </c>
      <c r="D323" s="17" t="n">
        <f aca="false">IF(B323=0,VLOOKUP(A323,Series!$A$2:B1003,2,FALSE()),D322+IF(B322=0,0,7))</f>
        <v>46296</v>
      </c>
    </row>
    <row r="324" customFormat="false" ht="15.75" hidden="false" customHeight="false" outlineLevel="0" collapsed="false">
      <c r="A324" s="20" t="n">
        <f aca="false">FLOOR((ROW()+1)/(COUNTA(Seasons!$A$1:$A1003)+1),1)</f>
        <v>65</v>
      </c>
      <c r="B324" s="20" t="n">
        <f aca="false">MOD(ROW()+1,COUNTA(Seasons!$A$1:$A1003)+1)</f>
        <v>0</v>
      </c>
      <c r="C324" s="20" t="str">
        <f aca="true">"Series "&amp;A324&amp;IF(B324=0,"","/"&amp;INDIRECT(ADDRESS(B324,1,1,TRUE(),"Seasons")))</f>
        <v>Series 65</v>
      </c>
      <c r="D324" s="17" t="n">
        <f aca="false">IF(B324=0,VLOOKUP(A324,Series!$A$2:B1003,2,FALSE()),D323+IF(B323=0,0,7))</f>
        <v>46303</v>
      </c>
    </row>
    <row r="325" customFormat="false" ht="15.75" hidden="false" customHeight="false" outlineLevel="0" collapsed="false">
      <c r="A325" s="20" t="n">
        <f aca="false">FLOOR((ROW()+1)/(COUNTA(Seasons!$A$1:$A1003)+1),1)</f>
        <v>65</v>
      </c>
      <c r="B325" s="20" t="n">
        <f aca="false">MOD(ROW()+1,COUNTA(Seasons!$A$1:$A1003)+1)</f>
        <v>1</v>
      </c>
      <c r="C325" s="20" t="str">
        <f aca="true">"Series "&amp;A325&amp;IF(B325=0,"","/"&amp;INDIRECT(ADDRESS(B325,1,1,TRUE(),"Seasons")))</f>
        <v>Series 65/Summer</v>
      </c>
      <c r="D325" s="17" t="n">
        <f aca="false">IF(B325=0,VLOOKUP(A325,Series!$A$2:B1003,2,FALSE()),D324+IF(B324=0,0,7))</f>
        <v>46303</v>
      </c>
    </row>
    <row r="326" customFormat="false" ht="15.75" hidden="false" customHeight="false" outlineLevel="0" collapsed="false">
      <c r="A326" s="20" t="n">
        <f aca="false">FLOOR((ROW()+1)/(COUNTA(Seasons!$A$1:$A1003)+1),1)</f>
        <v>65</v>
      </c>
      <c r="B326" s="20" t="n">
        <f aca="false">MOD(ROW()+1,COUNTA(Seasons!$A$1:$A1003)+1)</f>
        <v>2</v>
      </c>
      <c r="C326" s="20" t="str">
        <f aca="true">"Series "&amp;A326&amp;IF(B326=0,"","/"&amp;INDIRECT(ADDRESS(B326,1,1,TRUE(),"Seasons")))</f>
        <v>Series 65/Autumn</v>
      </c>
      <c r="D326" s="17" t="n">
        <f aca="false">IF(B326=0,VLOOKUP(A326,Series!$A$2:B1003,2,FALSE()),D325+IF(B325=0,0,7))</f>
        <v>46310</v>
      </c>
    </row>
    <row r="327" customFormat="false" ht="15.75" hidden="false" customHeight="false" outlineLevel="0" collapsed="false">
      <c r="A327" s="20" t="n">
        <f aca="false">FLOOR((ROW()+1)/(COUNTA(Seasons!$A$1:$A1003)+1),1)</f>
        <v>65</v>
      </c>
      <c r="B327" s="20" t="n">
        <f aca="false">MOD(ROW()+1,COUNTA(Seasons!$A$1:$A1003)+1)</f>
        <v>3</v>
      </c>
      <c r="C327" s="20" t="str">
        <f aca="true">"Series "&amp;A327&amp;IF(B327=0,"","/"&amp;INDIRECT(ADDRESS(B327,1,1,TRUE(),"Seasons")))</f>
        <v>Series 65/Winter</v>
      </c>
      <c r="D327" s="17" t="n">
        <f aca="false">IF(B327=0,VLOOKUP(A327,Series!$A$2:B1003,2,FALSE()),D326+IF(B326=0,0,7))</f>
        <v>46317</v>
      </c>
    </row>
    <row r="328" customFormat="false" ht="15.75" hidden="false" customHeight="false" outlineLevel="0" collapsed="false">
      <c r="A328" s="20" t="n">
        <f aca="false">FLOOR((ROW()+1)/(COUNTA(Seasons!$A$1:$A1003)+1),1)</f>
        <v>65</v>
      </c>
      <c r="B328" s="20" t="n">
        <f aca="false">MOD(ROW()+1,COUNTA(Seasons!$A$1:$A1003)+1)</f>
        <v>4</v>
      </c>
      <c r="C328" s="20" t="str">
        <f aca="true">"Series "&amp;A328&amp;IF(B328=0,"","/"&amp;INDIRECT(ADDRESS(B328,1,1,TRUE(),"Seasons")))</f>
        <v>Series 65/Spring</v>
      </c>
      <c r="D328" s="17" t="n">
        <f aca="false">IF(B328=0,VLOOKUP(A328,Series!$A$2:B1003,2,FALSE()),D327+IF(B327=0,0,7))</f>
        <v>46324</v>
      </c>
    </row>
    <row r="329" customFormat="false" ht="15.75" hidden="false" customHeight="false" outlineLevel="0" collapsed="false">
      <c r="A329" s="20" t="n">
        <f aca="false">FLOOR((ROW()+1)/(COUNTA(Seasons!$A$1:$A1003)+1),1)</f>
        <v>66</v>
      </c>
      <c r="B329" s="20" t="n">
        <f aca="false">MOD(ROW()+1,COUNTA(Seasons!$A$1:$A1003)+1)</f>
        <v>0</v>
      </c>
      <c r="C329" s="20" t="str">
        <f aca="true">"Series "&amp;A329&amp;IF(B329=0,"","/"&amp;INDIRECT(ADDRESS(B329,1,1,TRUE(),"Seasons")))</f>
        <v>Series 66</v>
      </c>
      <c r="D329" s="17" t="n">
        <f aca="false">IF(B329=0,VLOOKUP(A329,Series!$A$2:B1003,2,FALSE()),D328+IF(B328=0,0,7))</f>
        <v>46331</v>
      </c>
    </row>
    <row r="330" customFormat="false" ht="15.75" hidden="false" customHeight="false" outlineLevel="0" collapsed="false">
      <c r="A330" s="20" t="n">
        <f aca="false">FLOOR((ROW()+1)/(COUNTA(Seasons!$A$1:$A1003)+1),1)</f>
        <v>66</v>
      </c>
      <c r="B330" s="20" t="n">
        <f aca="false">MOD(ROW()+1,COUNTA(Seasons!$A$1:$A1003)+1)</f>
        <v>1</v>
      </c>
      <c r="C330" s="20" t="str">
        <f aca="true">"Series "&amp;A330&amp;IF(B330=0,"","/"&amp;INDIRECT(ADDRESS(B330,1,1,TRUE(),"Seasons")))</f>
        <v>Series 66/Summer</v>
      </c>
      <c r="D330" s="17" t="n">
        <f aca="false">IF(B330=0,VLOOKUP(A330,Series!$A$2:B1003,2,FALSE()),D329+IF(B329=0,0,7))</f>
        <v>46331</v>
      </c>
    </row>
    <row r="331" customFormat="false" ht="15.75" hidden="false" customHeight="false" outlineLevel="0" collapsed="false">
      <c r="A331" s="20" t="n">
        <f aca="false">FLOOR((ROW()+1)/(COUNTA(Seasons!$A$1:$A1003)+1),1)</f>
        <v>66</v>
      </c>
      <c r="B331" s="20" t="n">
        <f aca="false">MOD(ROW()+1,COUNTA(Seasons!$A$1:$A1003)+1)</f>
        <v>2</v>
      </c>
      <c r="C331" s="20" t="str">
        <f aca="true">"Series "&amp;A331&amp;IF(B331=0,"","/"&amp;INDIRECT(ADDRESS(B331,1,1,TRUE(),"Seasons")))</f>
        <v>Series 66/Autumn</v>
      </c>
      <c r="D331" s="17" t="n">
        <f aca="false">IF(B331=0,VLOOKUP(A331,Series!$A$2:B1003,2,FALSE()),D330+IF(B330=0,0,7))</f>
        <v>46338</v>
      </c>
    </row>
    <row r="332" customFormat="false" ht="15.75" hidden="false" customHeight="false" outlineLevel="0" collapsed="false">
      <c r="A332" s="20" t="n">
        <f aca="false">FLOOR((ROW()+1)/(COUNTA(Seasons!$A$1:$A1003)+1),1)</f>
        <v>66</v>
      </c>
      <c r="B332" s="20" t="n">
        <f aca="false">MOD(ROW()+1,COUNTA(Seasons!$A$1:$A1003)+1)</f>
        <v>3</v>
      </c>
      <c r="C332" s="20" t="str">
        <f aca="true">"Series "&amp;A332&amp;IF(B332=0,"","/"&amp;INDIRECT(ADDRESS(B332,1,1,TRUE(),"Seasons")))</f>
        <v>Series 66/Winter</v>
      </c>
      <c r="D332" s="17" t="n">
        <f aca="false">IF(B332=0,VLOOKUP(A332,Series!$A$2:B1003,2,FALSE()),D331+IF(B331=0,0,7))</f>
        <v>46345</v>
      </c>
    </row>
    <row r="333" customFormat="false" ht="15.75" hidden="false" customHeight="false" outlineLevel="0" collapsed="false">
      <c r="A333" s="20" t="n">
        <f aca="false">FLOOR((ROW()+1)/(COUNTA(Seasons!$A$1:$A1003)+1),1)</f>
        <v>66</v>
      </c>
      <c r="B333" s="20" t="n">
        <f aca="false">MOD(ROW()+1,COUNTA(Seasons!$A$1:$A1003)+1)</f>
        <v>4</v>
      </c>
      <c r="C333" s="20" t="str">
        <f aca="true">"Series "&amp;A333&amp;IF(B333=0,"","/"&amp;INDIRECT(ADDRESS(B333,1,1,TRUE(),"Seasons")))</f>
        <v>Series 66/Spring</v>
      </c>
      <c r="D333" s="17" t="n">
        <f aca="false">IF(B333=0,VLOOKUP(A333,Series!$A$2:B1003,2,FALSE()),D332+IF(B332=0,0,7))</f>
        <v>46352</v>
      </c>
    </row>
    <row r="334" customFormat="false" ht="15.75" hidden="false" customHeight="false" outlineLevel="0" collapsed="false">
      <c r="A334" s="20" t="n">
        <f aca="false">FLOOR((ROW()+1)/(COUNTA(Seasons!$A$1:$A1003)+1),1)</f>
        <v>67</v>
      </c>
      <c r="B334" s="20" t="n">
        <f aca="false">MOD(ROW()+1,COUNTA(Seasons!$A$1:$A1003)+1)</f>
        <v>0</v>
      </c>
      <c r="C334" s="20" t="str">
        <f aca="true">"Series "&amp;A334&amp;IF(B334=0,"","/"&amp;INDIRECT(ADDRESS(B334,1,1,TRUE(),"Seasons")))</f>
        <v>Series 67</v>
      </c>
      <c r="D334" s="17" t="n">
        <f aca="false">IF(B334=0,VLOOKUP(A334,Series!$A$2:B1003,2,FALSE()),D333+IF(B333=0,0,7))</f>
        <v>46359</v>
      </c>
    </row>
    <row r="335" customFormat="false" ht="15.75" hidden="false" customHeight="false" outlineLevel="0" collapsed="false">
      <c r="A335" s="20" t="n">
        <f aca="false">FLOOR((ROW()+1)/(COUNTA(Seasons!$A$1:$A1003)+1),1)</f>
        <v>67</v>
      </c>
      <c r="B335" s="20" t="n">
        <f aca="false">MOD(ROW()+1,COUNTA(Seasons!$A$1:$A1003)+1)</f>
        <v>1</v>
      </c>
      <c r="C335" s="20" t="str">
        <f aca="true">"Series "&amp;A335&amp;IF(B335=0,"","/"&amp;INDIRECT(ADDRESS(B335,1,1,TRUE(),"Seasons")))</f>
        <v>Series 67/Summer</v>
      </c>
      <c r="D335" s="17" t="n">
        <f aca="false">IF(B335=0,VLOOKUP(A335,Series!$A$2:B1003,2,FALSE()),D334+IF(B334=0,0,7))</f>
        <v>46359</v>
      </c>
    </row>
    <row r="336" customFormat="false" ht="15.75" hidden="false" customHeight="false" outlineLevel="0" collapsed="false">
      <c r="A336" s="20" t="n">
        <f aca="false">FLOOR((ROW()+1)/(COUNTA(Seasons!$A$1:$A1003)+1),1)</f>
        <v>67</v>
      </c>
      <c r="B336" s="20" t="n">
        <f aca="false">MOD(ROW()+1,COUNTA(Seasons!$A$1:$A1003)+1)</f>
        <v>2</v>
      </c>
      <c r="C336" s="20" t="str">
        <f aca="true">"Series "&amp;A336&amp;IF(B336=0,"","/"&amp;INDIRECT(ADDRESS(B336,1,1,TRUE(),"Seasons")))</f>
        <v>Series 67/Autumn</v>
      </c>
      <c r="D336" s="17" t="n">
        <f aca="false">IF(B336=0,VLOOKUP(A336,Series!$A$2:B1003,2,FALSE()),D335+IF(B335=0,0,7))</f>
        <v>46366</v>
      </c>
    </row>
    <row r="337" customFormat="false" ht="15.75" hidden="false" customHeight="false" outlineLevel="0" collapsed="false">
      <c r="A337" s="20" t="n">
        <f aca="false">FLOOR((ROW()+1)/(COUNTA(Seasons!$A$1:$A1003)+1),1)</f>
        <v>67</v>
      </c>
      <c r="B337" s="20" t="n">
        <f aca="false">MOD(ROW()+1,COUNTA(Seasons!$A$1:$A1003)+1)</f>
        <v>3</v>
      </c>
      <c r="C337" s="20" t="str">
        <f aca="true">"Series "&amp;A337&amp;IF(B337=0,"","/"&amp;INDIRECT(ADDRESS(B337,1,1,TRUE(),"Seasons")))</f>
        <v>Series 67/Winter</v>
      </c>
      <c r="D337" s="17" t="n">
        <f aca="false">IF(B337=0,VLOOKUP(A337,Series!$A$2:B1003,2,FALSE()),D336+IF(B336=0,0,7))</f>
        <v>46373</v>
      </c>
    </row>
    <row r="338" customFormat="false" ht="15.75" hidden="false" customHeight="false" outlineLevel="0" collapsed="false">
      <c r="A338" s="20" t="n">
        <f aca="false">FLOOR((ROW()+1)/(COUNTA(Seasons!$A$1:$A1003)+1),1)</f>
        <v>67</v>
      </c>
      <c r="B338" s="20" t="n">
        <f aca="false">MOD(ROW()+1,COUNTA(Seasons!$A$1:$A1003)+1)</f>
        <v>4</v>
      </c>
      <c r="C338" s="20" t="str">
        <f aca="true">"Series "&amp;A338&amp;IF(B338=0,"","/"&amp;INDIRECT(ADDRESS(B338,1,1,TRUE(),"Seasons")))</f>
        <v>Series 67/Spring</v>
      </c>
      <c r="D338" s="17" t="n">
        <f aca="false">IF(B338=0,VLOOKUP(A338,Series!$A$2:B1003,2,FALSE()),D337+IF(B337=0,0,7))</f>
        <v>46380</v>
      </c>
    </row>
    <row r="339" customFormat="false" ht="15.75" hidden="false" customHeight="false" outlineLevel="0" collapsed="false">
      <c r="A339" s="20" t="n">
        <f aca="false">FLOOR((ROW()+1)/(COUNTA(Seasons!$A$1:$A1003)+1),1)</f>
        <v>68</v>
      </c>
      <c r="B339" s="20" t="n">
        <f aca="false">MOD(ROW()+1,COUNTA(Seasons!$A$1:$A1003)+1)</f>
        <v>0</v>
      </c>
      <c r="C339" s="20" t="str">
        <f aca="true">"Series "&amp;A339&amp;IF(B339=0,"","/"&amp;INDIRECT(ADDRESS(B339,1,1,TRUE(),"Seasons")))</f>
        <v>Series 68</v>
      </c>
      <c r="D339" s="17" t="n">
        <f aca="false">IF(B339=0,VLOOKUP(A339,Series!$A$2:B1003,2,FALSE()),D338+IF(B338=0,0,7))</f>
        <v>46387</v>
      </c>
    </row>
    <row r="340" customFormat="false" ht="15.75" hidden="false" customHeight="false" outlineLevel="0" collapsed="false">
      <c r="A340" s="20" t="n">
        <f aca="false">FLOOR((ROW()+1)/(COUNTA(Seasons!$A$1:$A1003)+1),1)</f>
        <v>68</v>
      </c>
      <c r="B340" s="20" t="n">
        <f aca="false">MOD(ROW()+1,COUNTA(Seasons!$A$1:$A1003)+1)</f>
        <v>1</v>
      </c>
      <c r="C340" s="20" t="str">
        <f aca="true">"Series "&amp;A340&amp;IF(B340=0,"","/"&amp;INDIRECT(ADDRESS(B340,1,1,TRUE(),"Seasons")))</f>
        <v>Series 68/Summer</v>
      </c>
      <c r="D340" s="17" t="n">
        <f aca="false">IF(B340=0,VLOOKUP(A340,Series!$A$2:B1003,2,FALSE()),D339+IF(B339=0,0,7))</f>
        <v>46387</v>
      </c>
    </row>
    <row r="341" customFormat="false" ht="15.75" hidden="false" customHeight="false" outlineLevel="0" collapsed="false">
      <c r="A341" s="20" t="n">
        <f aca="false">FLOOR((ROW()+1)/(COUNTA(Seasons!$A$1:$A1003)+1),1)</f>
        <v>68</v>
      </c>
      <c r="B341" s="20" t="n">
        <f aca="false">MOD(ROW()+1,COUNTA(Seasons!$A$1:$A1003)+1)</f>
        <v>2</v>
      </c>
      <c r="C341" s="20" t="str">
        <f aca="true">"Series "&amp;A341&amp;IF(B341=0,"","/"&amp;INDIRECT(ADDRESS(B341,1,1,TRUE(),"Seasons")))</f>
        <v>Series 68/Autumn</v>
      </c>
      <c r="D341" s="17" t="n">
        <f aca="false">IF(B341=0,VLOOKUP(A341,Series!$A$2:B1003,2,FALSE()),D340+IF(B340=0,0,7))</f>
        <v>46394</v>
      </c>
    </row>
    <row r="342" customFormat="false" ht="15.75" hidden="false" customHeight="false" outlineLevel="0" collapsed="false">
      <c r="A342" s="20" t="n">
        <f aca="false">FLOOR((ROW()+1)/(COUNTA(Seasons!$A$1:$A1003)+1),1)</f>
        <v>68</v>
      </c>
      <c r="B342" s="20" t="n">
        <f aca="false">MOD(ROW()+1,COUNTA(Seasons!$A$1:$A1003)+1)</f>
        <v>3</v>
      </c>
      <c r="C342" s="20" t="str">
        <f aca="true">"Series "&amp;A342&amp;IF(B342=0,"","/"&amp;INDIRECT(ADDRESS(B342,1,1,TRUE(),"Seasons")))</f>
        <v>Series 68/Winter</v>
      </c>
      <c r="D342" s="17" t="n">
        <f aca="false">IF(B342=0,VLOOKUP(A342,Series!$A$2:B1003,2,FALSE()),D341+IF(B341=0,0,7))</f>
        <v>46401</v>
      </c>
    </row>
    <row r="343" customFormat="false" ht="15.75" hidden="false" customHeight="false" outlineLevel="0" collapsed="false">
      <c r="A343" s="20" t="n">
        <f aca="false">FLOOR((ROW()+1)/(COUNTA(Seasons!$A$1:$A1003)+1),1)</f>
        <v>68</v>
      </c>
      <c r="B343" s="20" t="n">
        <f aca="false">MOD(ROW()+1,COUNTA(Seasons!$A$1:$A1003)+1)</f>
        <v>4</v>
      </c>
      <c r="C343" s="20" t="str">
        <f aca="true">"Series "&amp;A343&amp;IF(B343=0,"","/"&amp;INDIRECT(ADDRESS(B343,1,1,TRUE(),"Seasons")))</f>
        <v>Series 68/Spring</v>
      </c>
      <c r="D343" s="17" t="n">
        <f aca="false">IF(B343=0,VLOOKUP(A343,Series!$A$2:B1003,2,FALSE()),D342+IF(B342=0,0,7))</f>
        <v>46408</v>
      </c>
    </row>
    <row r="344" customFormat="false" ht="15.75" hidden="false" customHeight="false" outlineLevel="0" collapsed="false">
      <c r="A344" s="20" t="n">
        <f aca="false">FLOOR((ROW()+1)/(COUNTA(Seasons!$A$1:$A1003)+1),1)</f>
        <v>69</v>
      </c>
      <c r="B344" s="20" t="n">
        <f aca="false">MOD(ROW()+1,COUNTA(Seasons!$A$1:$A1003)+1)</f>
        <v>0</v>
      </c>
      <c r="C344" s="20" t="str">
        <f aca="true">"Series "&amp;A344&amp;IF(B344=0,"","/"&amp;INDIRECT(ADDRESS(B344,1,1,TRUE(),"Seasons")))</f>
        <v>Series 69</v>
      </c>
      <c r="D344" s="17" t="n">
        <f aca="false">IF(B344=0,VLOOKUP(A344,Series!$A$2:B1003,2,FALSE()),D343+IF(B343=0,0,7))</f>
        <v>46415</v>
      </c>
    </row>
    <row r="345" customFormat="false" ht="15.75" hidden="false" customHeight="false" outlineLevel="0" collapsed="false">
      <c r="A345" s="20" t="n">
        <f aca="false">FLOOR((ROW()+1)/(COUNTA(Seasons!$A$1:$A1003)+1),1)</f>
        <v>69</v>
      </c>
      <c r="B345" s="20" t="n">
        <f aca="false">MOD(ROW()+1,COUNTA(Seasons!$A$1:$A1003)+1)</f>
        <v>1</v>
      </c>
      <c r="C345" s="20" t="str">
        <f aca="true">"Series "&amp;A345&amp;IF(B345=0,"","/"&amp;INDIRECT(ADDRESS(B345,1,1,TRUE(),"Seasons")))</f>
        <v>Series 69/Summer</v>
      </c>
      <c r="D345" s="17" t="n">
        <f aca="false">IF(B345=0,VLOOKUP(A345,Series!$A$2:B1003,2,FALSE()),D344+IF(B344=0,0,7))</f>
        <v>46415</v>
      </c>
    </row>
    <row r="346" customFormat="false" ht="15.75" hidden="false" customHeight="false" outlineLevel="0" collapsed="false">
      <c r="A346" s="20" t="n">
        <f aca="false">FLOOR((ROW()+1)/(COUNTA(Seasons!$A$1:$A1003)+1),1)</f>
        <v>69</v>
      </c>
      <c r="B346" s="20" t="n">
        <f aca="false">MOD(ROW()+1,COUNTA(Seasons!$A$1:$A1003)+1)</f>
        <v>2</v>
      </c>
      <c r="C346" s="20" t="str">
        <f aca="true">"Series "&amp;A346&amp;IF(B346=0,"","/"&amp;INDIRECT(ADDRESS(B346,1,1,TRUE(),"Seasons")))</f>
        <v>Series 69/Autumn</v>
      </c>
      <c r="D346" s="17" t="n">
        <f aca="false">IF(B346=0,VLOOKUP(A346,Series!$A$2:B1003,2,FALSE()),D345+IF(B345=0,0,7))</f>
        <v>46422</v>
      </c>
    </row>
    <row r="347" customFormat="false" ht="15.75" hidden="false" customHeight="false" outlineLevel="0" collapsed="false">
      <c r="A347" s="20" t="n">
        <f aca="false">FLOOR((ROW()+1)/(COUNTA(Seasons!$A$1:$A1003)+1),1)</f>
        <v>69</v>
      </c>
      <c r="B347" s="20" t="n">
        <f aca="false">MOD(ROW()+1,COUNTA(Seasons!$A$1:$A1003)+1)</f>
        <v>3</v>
      </c>
      <c r="C347" s="20" t="str">
        <f aca="true">"Series "&amp;A347&amp;IF(B347=0,"","/"&amp;INDIRECT(ADDRESS(B347,1,1,TRUE(),"Seasons")))</f>
        <v>Series 69/Winter</v>
      </c>
      <c r="D347" s="17" t="n">
        <f aca="false">IF(B347=0,VLOOKUP(A347,Series!$A$2:B1003,2,FALSE()),D346+IF(B346=0,0,7))</f>
        <v>46429</v>
      </c>
    </row>
    <row r="348" customFormat="false" ht="15.75" hidden="false" customHeight="false" outlineLevel="0" collapsed="false">
      <c r="A348" s="20" t="n">
        <f aca="false">FLOOR((ROW()+1)/(COUNTA(Seasons!$A$1:$A1003)+1),1)</f>
        <v>69</v>
      </c>
      <c r="B348" s="20" t="n">
        <f aca="false">MOD(ROW()+1,COUNTA(Seasons!$A$1:$A1003)+1)</f>
        <v>4</v>
      </c>
      <c r="C348" s="20" t="str">
        <f aca="true">"Series "&amp;A348&amp;IF(B348=0,"","/"&amp;INDIRECT(ADDRESS(B348,1,1,TRUE(),"Seasons")))</f>
        <v>Series 69/Spring</v>
      </c>
      <c r="D348" s="17" t="n">
        <f aca="false">IF(B348=0,VLOOKUP(A348,Series!$A$2:B1003,2,FALSE()),D347+IF(B347=0,0,7))</f>
        <v>46436</v>
      </c>
    </row>
    <row r="349" customFormat="false" ht="15.75" hidden="false" customHeight="false" outlineLevel="0" collapsed="false">
      <c r="A349" s="20" t="n">
        <f aca="false">FLOOR((ROW()+1)/(COUNTA(Seasons!$A$1:$A1003)+1),1)</f>
        <v>70</v>
      </c>
      <c r="B349" s="20" t="n">
        <f aca="false">MOD(ROW()+1,COUNTA(Seasons!$A$1:$A1003)+1)</f>
        <v>0</v>
      </c>
      <c r="C349" s="20" t="str">
        <f aca="true">"Series "&amp;A349&amp;IF(B349=0,"","/"&amp;INDIRECT(ADDRESS(B349,1,1,TRUE(),"Seasons")))</f>
        <v>Series 70</v>
      </c>
      <c r="D349" s="17" t="n">
        <f aca="false">IF(B349=0,VLOOKUP(A349,Series!$A$2:B1003,2,FALSE()),D348+IF(B348=0,0,7))</f>
        <v>46443</v>
      </c>
    </row>
    <row r="350" customFormat="false" ht="15.75" hidden="false" customHeight="false" outlineLevel="0" collapsed="false">
      <c r="A350" s="20" t="n">
        <f aca="false">FLOOR((ROW()+1)/(COUNTA(Seasons!$A$1:$A1003)+1),1)</f>
        <v>70</v>
      </c>
      <c r="B350" s="20" t="n">
        <f aca="false">MOD(ROW()+1,COUNTA(Seasons!$A$1:$A1003)+1)</f>
        <v>1</v>
      </c>
      <c r="C350" s="20" t="str">
        <f aca="true">"Series "&amp;A350&amp;IF(B350=0,"","/"&amp;INDIRECT(ADDRESS(B350,1,1,TRUE(),"Seasons")))</f>
        <v>Series 70/Summer</v>
      </c>
      <c r="D350" s="17" t="n">
        <f aca="false">IF(B350=0,VLOOKUP(A350,Series!$A$2:B1003,2,FALSE()),D349+IF(B349=0,0,7))</f>
        <v>46443</v>
      </c>
    </row>
    <row r="351" customFormat="false" ht="15.75" hidden="false" customHeight="false" outlineLevel="0" collapsed="false">
      <c r="A351" s="20" t="n">
        <f aca="false">FLOOR((ROW()+1)/(COUNTA(Seasons!$A$1:$A1003)+1),1)</f>
        <v>70</v>
      </c>
      <c r="B351" s="20" t="n">
        <f aca="false">MOD(ROW()+1,COUNTA(Seasons!$A$1:$A1003)+1)</f>
        <v>2</v>
      </c>
      <c r="C351" s="20" t="str">
        <f aca="true">"Series "&amp;A351&amp;IF(B351=0,"","/"&amp;INDIRECT(ADDRESS(B351,1,1,TRUE(),"Seasons")))</f>
        <v>Series 70/Autumn</v>
      </c>
      <c r="D351" s="17" t="n">
        <f aca="false">IF(B351=0,VLOOKUP(A351,Series!$A$2:B1003,2,FALSE()),D350+IF(B350=0,0,7))</f>
        <v>46450</v>
      </c>
    </row>
    <row r="352" customFormat="false" ht="15.75" hidden="false" customHeight="false" outlineLevel="0" collapsed="false">
      <c r="A352" s="20" t="n">
        <f aca="false">FLOOR((ROW()+1)/(COUNTA(Seasons!$A$1:$A1003)+1),1)</f>
        <v>70</v>
      </c>
      <c r="B352" s="20" t="n">
        <f aca="false">MOD(ROW()+1,COUNTA(Seasons!$A$1:$A1003)+1)</f>
        <v>3</v>
      </c>
      <c r="C352" s="20" t="str">
        <f aca="true">"Series "&amp;A352&amp;IF(B352=0,"","/"&amp;INDIRECT(ADDRESS(B352,1,1,TRUE(),"Seasons")))</f>
        <v>Series 70/Winter</v>
      </c>
      <c r="D352" s="17" t="n">
        <f aca="false">IF(B352=0,VLOOKUP(A352,Series!$A$2:B1003,2,FALSE()),D351+IF(B351=0,0,7))</f>
        <v>46457</v>
      </c>
    </row>
    <row r="353" customFormat="false" ht="15.75" hidden="false" customHeight="false" outlineLevel="0" collapsed="false">
      <c r="A353" s="20" t="n">
        <f aca="false">FLOOR((ROW()+1)/(COUNTA(Seasons!$A$1:$A1003)+1),1)</f>
        <v>70</v>
      </c>
      <c r="B353" s="20" t="n">
        <f aca="false">MOD(ROW()+1,COUNTA(Seasons!$A$1:$A1003)+1)</f>
        <v>4</v>
      </c>
      <c r="C353" s="20" t="str">
        <f aca="true">"Series "&amp;A353&amp;IF(B353=0,"","/"&amp;INDIRECT(ADDRESS(B353,1,1,TRUE(),"Seasons")))</f>
        <v>Series 70/Spring</v>
      </c>
      <c r="D353" s="17" t="n">
        <f aca="false">IF(B353=0,VLOOKUP(A353,Series!$A$2:B1003,2,FALSE()),D352+IF(B352=0,0,7))</f>
        <v>46464</v>
      </c>
    </row>
    <row r="354" customFormat="false" ht="15.75" hidden="false" customHeight="false" outlineLevel="0" collapsed="false">
      <c r="A354" s="20" t="n">
        <f aca="false">FLOOR((ROW()+1)/(COUNTA(Seasons!$A$1:$A1003)+1),1)</f>
        <v>71</v>
      </c>
      <c r="B354" s="20" t="n">
        <f aca="false">MOD(ROW()+1,COUNTA(Seasons!$A$1:$A1003)+1)</f>
        <v>0</v>
      </c>
      <c r="C354" s="20" t="str">
        <f aca="true">"Series "&amp;A354&amp;IF(B354=0,"","/"&amp;INDIRECT(ADDRESS(B354,1,1,TRUE(),"Seasons")))</f>
        <v>Series 71</v>
      </c>
      <c r="D354" s="17" t="n">
        <f aca="false">IF(B354=0,VLOOKUP(A354,Series!$A$2:B1003,2,FALSE()),D353+IF(B353=0,0,7))</f>
        <v>46471</v>
      </c>
    </row>
    <row r="355" customFormat="false" ht="15.75" hidden="false" customHeight="false" outlineLevel="0" collapsed="false">
      <c r="A355" s="20" t="n">
        <f aca="false">FLOOR((ROW()+1)/(COUNTA(Seasons!$A$1:$A1003)+1),1)</f>
        <v>71</v>
      </c>
      <c r="B355" s="20" t="n">
        <f aca="false">MOD(ROW()+1,COUNTA(Seasons!$A$1:$A1003)+1)</f>
        <v>1</v>
      </c>
      <c r="C355" s="20" t="str">
        <f aca="true">"Series "&amp;A355&amp;IF(B355=0,"","/"&amp;INDIRECT(ADDRESS(B355,1,1,TRUE(),"Seasons")))</f>
        <v>Series 71/Summer</v>
      </c>
      <c r="D355" s="17" t="n">
        <f aca="false">IF(B355=0,VLOOKUP(A355,Series!$A$2:B1003,2,FALSE()),D354+IF(B354=0,0,7))</f>
        <v>46471</v>
      </c>
    </row>
    <row r="356" customFormat="false" ht="15.75" hidden="false" customHeight="false" outlineLevel="0" collapsed="false">
      <c r="A356" s="20" t="n">
        <f aca="false">FLOOR((ROW()+1)/(COUNTA(Seasons!$A$1:$A1003)+1),1)</f>
        <v>71</v>
      </c>
      <c r="B356" s="20" t="n">
        <f aca="false">MOD(ROW()+1,COUNTA(Seasons!$A$1:$A1003)+1)</f>
        <v>2</v>
      </c>
      <c r="C356" s="20" t="str">
        <f aca="true">"Series "&amp;A356&amp;IF(B356=0,"","/"&amp;INDIRECT(ADDRESS(B356,1,1,TRUE(),"Seasons")))</f>
        <v>Series 71/Autumn</v>
      </c>
      <c r="D356" s="17" t="n">
        <f aca="false">IF(B356=0,VLOOKUP(A356,Series!$A$2:B1003,2,FALSE()),D355+IF(B355=0,0,7))</f>
        <v>46478</v>
      </c>
    </row>
    <row r="357" customFormat="false" ht="15.75" hidden="false" customHeight="false" outlineLevel="0" collapsed="false">
      <c r="A357" s="20" t="n">
        <f aca="false">FLOOR((ROW()+1)/(COUNTA(Seasons!$A$1:$A1003)+1),1)</f>
        <v>71</v>
      </c>
      <c r="B357" s="20" t="n">
        <f aca="false">MOD(ROW()+1,COUNTA(Seasons!$A$1:$A1003)+1)</f>
        <v>3</v>
      </c>
      <c r="C357" s="20" t="str">
        <f aca="true">"Series "&amp;A357&amp;IF(B357=0,"","/"&amp;INDIRECT(ADDRESS(B357,1,1,TRUE(),"Seasons")))</f>
        <v>Series 71/Winter</v>
      </c>
      <c r="D357" s="17" t="n">
        <f aca="false">IF(B357=0,VLOOKUP(A357,Series!$A$2:B1003,2,FALSE()),D356+IF(B356=0,0,7))</f>
        <v>46485</v>
      </c>
    </row>
    <row r="358" customFormat="false" ht="15.75" hidden="false" customHeight="false" outlineLevel="0" collapsed="false">
      <c r="A358" s="20" t="n">
        <f aca="false">FLOOR((ROW()+1)/(COUNTA(Seasons!$A$1:$A1003)+1),1)</f>
        <v>71</v>
      </c>
      <c r="B358" s="20" t="n">
        <f aca="false">MOD(ROW()+1,COUNTA(Seasons!$A$1:$A1003)+1)</f>
        <v>4</v>
      </c>
      <c r="C358" s="20" t="str">
        <f aca="true">"Series "&amp;A358&amp;IF(B358=0,"","/"&amp;INDIRECT(ADDRESS(B358,1,1,TRUE(),"Seasons")))</f>
        <v>Series 71/Spring</v>
      </c>
      <c r="D358" s="17" t="n">
        <f aca="false">IF(B358=0,VLOOKUP(A358,Series!$A$2:B1003,2,FALSE()),D357+IF(B357=0,0,7))</f>
        <v>46492</v>
      </c>
    </row>
    <row r="359" customFormat="false" ht="15.75" hidden="false" customHeight="false" outlineLevel="0" collapsed="false">
      <c r="A359" s="20" t="n">
        <f aca="false">FLOOR((ROW()+1)/(COUNTA(Seasons!$A$1:$A1003)+1),1)</f>
        <v>72</v>
      </c>
      <c r="B359" s="20" t="n">
        <f aca="false">MOD(ROW()+1,COUNTA(Seasons!$A$1:$A1003)+1)</f>
        <v>0</v>
      </c>
      <c r="C359" s="20" t="str">
        <f aca="true">"Series "&amp;A359&amp;IF(B359=0,"","/"&amp;INDIRECT(ADDRESS(B359,1,1,TRUE(),"Seasons")))</f>
        <v>Series 72</v>
      </c>
      <c r="D359" s="17" t="n">
        <f aca="false">IF(B359=0,VLOOKUP(A359,Series!$A$2:B1003,2,FALSE()),D358+IF(B358=0,0,7))</f>
        <v>46499</v>
      </c>
    </row>
    <row r="360" customFormat="false" ht="15.75" hidden="false" customHeight="false" outlineLevel="0" collapsed="false">
      <c r="A360" s="20" t="n">
        <f aca="false">FLOOR((ROW()+1)/(COUNTA(Seasons!$A$1:$A1003)+1),1)</f>
        <v>72</v>
      </c>
      <c r="B360" s="20" t="n">
        <f aca="false">MOD(ROW()+1,COUNTA(Seasons!$A$1:$A1003)+1)</f>
        <v>1</v>
      </c>
      <c r="C360" s="20" t="str">
        <f aca="true">"Series "&amp;A360&amp;IF(B360=0,"","/"&amp;INDIRECT(ADDRESS(B360,1,1,TRUE(),"Seasons")))</f>
        <v>Series 72/Summer</v>
      </c>
      <c r="D360" s="17" t="n">
        <f aca="false">IF(B360=0,VLOOKUP(A360,Series!$A$2:B1003,2,FALSE()),D359+IF(B359=0,0,7))</f>
        <v>46499</v>
      </c>
    </row>
    <row r="361" customFormat="false" ht="15.75" hidden="false" customHeight="false" outlineLevel="0" collapsed="false">
      <c r="A361" s="20" t="n">
        <f aca="false">FLOOR((ROW()+1)/(COUNTA(Seasons!$A$1:$A1003)+1),1)</f>
        <v>72</v>
      </c>
      <c r="B361" s="20" t="n">
        <f aca="false">MOD(ROW()+1,COUNTA(Seasons!$A$1:$A1003)+1)</f>
        <v>2</v>
      </c>
      <c r="C361" s="20" t="str">
        <f aca="true">"Series "&amp;A361&amp;IF(B361=0,"","/"&amp;INDIRECT(ADDRESS(B361,1,1,TRUE(),"Seasons")))</f>
        <v>Series 72/Autumn</v>
      </c>
      <c r="D361" s="17" t="n">
        <f aca="false">IF(B361=0,VLOOKUP(A361,Series!$A$2:B1003,2,FALSE()),D360+IF(B360=0,0,7))</f>
        <v>46506</v>
      </c>
    </row>
    <row r="362" customFormat="false" ht="15.75" hidden="false" customHeight="false" outlineLevel="0" collapsed="false">
      <c r="A362" s="20" t="n">
        <f aca="false">FLOOR((ROW()+1)/(COUNTA(Seasons!$A$1:$A1003)+1),1)</f>
        <v>72</v>
      </c>
      <c r="B362" s="20" t="n">
        <f aca="false">MOD(ROW()+1,COUNTA(Seasons!$A$1:$A1003)+1)</f>
        <v>3</v>
      </c>
      <c r="C362" s="20" t="str">
        <f aca="true">"Series "&amp;A362&amp;IF(B362=0,"","/"&amp;INDIRECT(ADDRESS(B362,1,1,TRUE(),"Seasons")))</f>
        <v>Series 72/Winter</v>
      </c>
      <c r="D362" s="17" t="n">
        <f aca="false">IF(B362=0,VLOOKUP(A362,Series!$A$2:B1003,2,FALSE()),D361+IF(B361=0,0,7))</f>
        <v>46513</v>
      </c>
    </row>
    <row r="363" customFormat="false" ht="15.75" hidden="false" customHeight="false" outlineLevel="0" collapsed="false">
      <c r="A363" s="20" t="n">
        <f aca="false">FLOOR((ROW()+1)/(COUNTA(Seasons!$A$1:$A1003)+1),1)</f>
        <v>72</v>
      </c>
      <c r="B363" s="20" t="n">
        <f aca="false">MOD(ROW()+1,COUNTA(Seasons!$A$1:$A1003)+1)</f>
        <v>4</v>
      </c>
      <c r="C363" s="20" t="str">
        <f aca="true">"Series "&amp;A363&amp;IF(B363=0,"","/"&amp;INDIRECT(ADDRESS(B363,1,1,TRUE(),"Seasons")))</f>
        <v>Series 72/Spring</v>
      </c>
      <c r="D363" s="17" t="n">
        <f aca="false">IF(B363=0,VLOOKUP(A363,Series!$A$2:B1003,2,FALSE()),D362+IF(B362=0,0,7))</f>
        <v>46520</v>
      </c>
    </row>
    <row r="364" customFormat="false" ht="15.75" hidden="false" customHeight="false" outlineLevel="0" collapsed="false">
      <c r="A364" s="20" t="n">
        <f aca="false">FLOOR((ROW()+1)/(COUNTA(Seasons!$A$1:$A1003)+1),1)</f>
        <v>73</v>
      </c>
      <c r="B364" s="20" t="n">
        <f aca="false">MOD(ROW()+1,COUNTA(Seasons!$A$1:$A1003)+1)</f>
        <v>0</v>
      </c>
      <c r="C364" s="20" t="str">
        <f aca="true">"Series "&amp;A364&amp;IF(B364=0,"","/"&amp;INDIRECT(ADDRESS(B364,1,1,TRUE(),"Seasons")))</f>
        <v>Series 73</v>
      </c>
      <c r="D364" s="17" t="n">
        <f aca="false">IF(B364=0,VLOOKUP(A364,Series!$A$2:B1003,2,FALSE()),D363+IF(B363=0,0,7))</f>
        <v>46527</v>
      </c>
    </row>
    <row r="365" customFormat="false" ht="15.75" hidden="false" customHeight="false" outlineLevel="0" collapsed="false">
      <c r="A365" s="20" t="n">
        <f aca="false">FLOOR((ROW()+1)/(COUNTA(Seasons!$A$1:$A1003)+1),1)</f>
        <v>73</v>
      </c>
      <c r="B365" s="20" t="n">
        <f aca="false">MOD(ROW()+1,COUNTA(Seasons!$A$1:$A1003)+1)</f>
        <v>1</v>
      </c>
      <c r="C365" s="20" t="str">
        <f aca="true">"Series "&amp;A365&amp;IF(B365=0,"","/"&amp;INDIRECT(ADDRESS(B365,1,1,TRUE(),"Seasons")))</f>
        <v>Series 73/Summer</v>
      </c>
      <c r="D365" s="17" t="n">
        <f aca="false">IF(B365=0,VLOOKUP(A365,Series!$A$2:B1003,2,FALSE()),D364+IF(B364=0,0,7))</f>
        <v>46527</v>
      </c>
    </row>
    <row r="366" customFormat="false" ht="15.75" hidden="false" customHeight="false" outlineLevel="0" collapsed="false">
      <c r="A366" s="20" t="n">
        <f aca="false">FLOOR((ROW()+1)/(COUNTA(Seasons!$A$1:$A1003)+1),1)</f>
        <v>73</v>
      </c>
      <c r="B366" s="20" t="n">
        <f aca="false">MOD(ROW()+1,COUNTA(Seasons!$A$1:$A1003)+1)</f>
        <v>2</v>
      </c>
      <c r="C366" s="20" t="str">
        <f aca="true">"Series "&amp;A366&amp;IF(B366=0,"","/"&amp;INDIRECT(ADDRESS(B366,1,1,TRUE(),"Seasons")))</f>
        <v>Series 73/Autumn</v>
      </c>
      <c r="D366" s="17" t="n">
        <f aca="false">IF(B366=0,VLOOKUP(A366,Series!$A$2:B1003,2,FALSE()),D365+IF(B365=0,0,7))</f>
        <v>46534</v>
      </c>
    </row>
    <row r="367" customFormat="false" ht="15.75" hidden="false" customHeight="false" outlineLevel="0" collapsed="false">
      <c r="A367" s="20" t="n">
        <f aca="false">FLOOR((ROW()+1)/(COUNTA(Seasons!$A$1:$A1003)+1),1)</f>
        <v>73</v>
      </c>
      <c r="B367" s="20" t="n">
        <f aca="false">MOD(ROW()+1,COUNTA(Seasons!$A$1:$A1003)+1)</f>
        <v>3</v>
      </c>
      <c r="C367" s="20" t="str">
        <f aca="true">"Series "&amp;A367&amp;IF(B367=0,"","/"&amp;INDIRECT(ADDRESS(B367,1,1,TRUE(),"Seasons")))</f>
        <v>Series 73/Winter</v>
      </c>
      <c r="D367" s="17" t="n">
        <f aca="false">IF(B367=0,VLOOKUP(A367,Series!$A$2:B1003,2,FALSE()),D366+IF(B366=0,0,7))</f>
        <v>46541</v>
      </c>
    </row>
    <row r="368" customFormat="false" ht="15.75" hidden="false" customHeight="false" outlineLevel="0" collapsed="false">
      <c r="A368" s="20" t="n">
        <f aca="false">FLOOR((ROW()+1)/(COUNTA(Seasons!$A$1:$A1003)+1),1)</f>
        <v>73</v>
      </c>
      <c r="B368" s="20" t="n">
        <f aca="false">MOD(ROW()+1,COUNTA(Seasons!$A$1:$A1003)+1)</f>
        <v>4</v>
      </c>
      <c r="C368" s="20" t="str">
        <f aca="true">"Series "&amp;A368&amp;IF(B368=0,"","/"&amp;INDIRECT(ADDRESS(B368,1,1,TRUE(),"Seasons")))</f>
        <v>Series 73/Spring</v>
      </c>
      <c r="D368" s="17" t="n">
        <f aca="false">IF(B368=0,VLOOKUP(A368,Series!$A$2:B1003,2,FALSE()),D367+IF(B367=0,0,7))</f>
        <v>46548</v>
      </c>
    </row>
    <row r="369" customFormat="false" ht="15.75" hidden="false" customHeight="false" outlineLevel="0" collapsed="false">
      <c r="A369" s="20" t="n">
        <f aca="false">FLOOR((ROW()+1)/(COUNTA(Seasons!$A$1:$A1003)+1),1)</f>
        <v>74</v>
      </c>
      <c r="B369" s="20" t="n">
        <f aca="false">MOD(ROW()+1,COUNTA(Seasons!$A$1:$A1003)+1)</f>
        <v>0</v>
      </c>
      <c r="C369" s="20" t="str">
        <f aca="true">"Series "&amp;A369&amp;IF(B369=0,"","/"&amp;INDIRECT(ADDRESS(B369,1,1,TRUE(),"Seasons")))</f>
        <v>Series 74</v>
      </c>
      <c r="D369" s="17" t="n">
        <f aca="false">IF(B369=0,VLOOKUP(A369,Series!$A$2:B1003,2,FALSE()),D368+IF(B368=0,0,7))</f>
        <v>46555</v>
      </c>
    </row>
    <row r="370" customFormat="false" ht="15.75" hidden="false" customHeight="false" outlineLevel="0" collapsed="false">
      <c r="A370" s="20" t="n">
        <f aca="false">FLOOR((ROW()+1)/(COUNTA(Seasons!$A$1:$A1003)+1),1)</f>
        <v>74</v>
      </c>
      <c r="B370" s="20" t="n">
        <f aca="false">MOD(ROW()+1,COUNTA(Seasons!$A$1:$A1003)+1)</f>
        <v>1</v>
      </c>
      <c r="C370" s="20" t="str">
        <f aca="true">"Series "&amp;A370&amp;IF(B370=0,"","/"&amp;INDIRECT(ADDRESS(B370,1,1,TRUE(),"Seasons")))</f>
        <v>Series 74/Summer</v>
      </c>
      <c r="D370" s="17" t="n">
        <f aca="false">IF(B370=0,VLOOKUP(A370,Series!$A$2:B1003,2,FALSE()),D369+IF(B369=0,0,7))</f>
        <v>46555</v>
      </c>
    </row>
    <row r="371" customFormat="false" ht="15.75" hidden="false" customHeight="false" outlineLevel="0" collapsed="false">
      <c r="A371" s="20" t="n">
        <f aca="false">FLOOR((ROW()+1)/(COUNTA(Seasons!$A$1:$A1003)+1),1)</f>
        <v>74</v>
      </c>
      <c r="B371" s="20" t="n">
        <f aca="false">MOD(ROW()+1,COUNTA(Seasons!$A$1:$A1003)+1)</f>
        <v>2</v>
      </c>
      <c r="C371" s="20" t="str">
        <f aca="true">"Series "&amp;A371&amp;IF(B371=0,"","/"&amp;INDIRECT(ADDRESS(B371,1,1,TRUE(),"Seasons")))</f>
        <v>Series 74/Autumn</v>
      </c>
      <c r="D371" s="17" t="n">
        <f aca="false">IF(B371=0,VLOOKUP(A371,Series!$A$2:B1003,2,FALSE()),D370+IF(B370=0,0,7))</f>
        <v>46562</v>
      </c>
    </row>
    <row r="372" customFormat="false" ht="15.75" hidden="false" customHeight="false" outlineLevel="0" collapsed="false">
      <c r="A372" s="20" t="n">
        <f aca="false">FLOOR((ROW()+1)/(COUNTA(Seasons!$A$1:$A1003)+1),1)</f>
        <v>74</v>
      </c>
      <c r="B372" s="20" t="n">
        <f aca="false">MOD(ROW()+1,COUNTA(Seasons!$A$1:$A1003)+1)</f>
        <v>3</v>
      </c>
      <c r="C372" s="20" t="str">
        <f aca="true">"Series "&amp;A372&amp;IF(B372=0,"","/"&amp;INDIRECT(ADDRESS(B372,1,1,TRUE(),"Seasons")))</f>
        <v>Series 74/Winter</v>
      </c>
      <c r="D372" s="17" t="n">
        <f aca="false">IF(B372=0,VLOOKUP(A372,Series!$A$2:B1003,2,FALSE()),D371+IF(B371=0,0,7))</f>
        <v>46569</v>
      </c>
    </row>
    <row r="373" customFormat="false" ht="15.75" hidden="false" customHeight="false" outlineLevel="0" collapsed="false">
      <c r="A373" s="20" t="n">
        <f aca="false">FLOOR((ROW()+1)/(COUNTA(Seasons!$A$1:$A1003)+1),1)</f>
        <v>74</v>
      </c>
      <c r="B373" s="20" t="n">
        <f aca="false">MOD(ROW()+1,COUNTA(Seasons!$A$1:$A1003)+1)</f>
        <v>4</v>
      </c>
      <c r="C373" s="20" t="str">
        <f aca="true">"Series "&amp;A373&amp;IF(B373=0,"","/"&amp;INDIRECT(ADDRESS(B373,1,1,TRUE(),"Seasons")))</f>
        <v>Series 74/Spring</v>
      </c>
      <c r="D373" s="17" t="n">
        <f aca="false">IF(B373=0,VLOOKUP(A373,Series!$A$2:B1003,2,FALSE()),D372+IF(B372=0,0,7))</f>
        <v>46576</v>
      </c>
    </row>
    <row r="374" customFormat="false" ht="15.75" hidden="false" customHeight="false" outlineLevel="0" collapsed="false">
      <c r="A374" s="20" t="n">
        <f aca="false">FLOOR((ROW()+1)/(COUNTA(Seasons!$A$1:$A1003)+1),1)</f>
        <v>75</v>
      </c>
      <c r="B374" s="20" t="n">
        <f aca="false">MOD(ROW()+1,COUNTA(Seasons!$A$1:$A1003)+1)</f>
        <v>0</v>
      </c>
      <c r="C374" s="20" t="str">
        <f aca="true">"Series "&amp;A374&amp;IF(B374=0,"","/"&amp;INDIRECT(ADDRESS(B374,1,1,TRUE(),"Seasons")))</f>
        <v>Series 75</v>
      </c>
      <c r="D374" s="17" t="n">
        <f aca="false">IF(B374=0,VLOOKUP(A374,Series!$A$2:B1003,2,FALSE()),D373+IF(B373=0,0,7))</f>
        <v>46583</v>
      </c>
    </row>
    <row r="375" customFormat="false" ht="15.75" hidden="false" customHeight="false" outlineLevel="0" collapsed="false">
      <c r="A375" s="20" t="n">
        <f aca="false">FLOOR((ROW()+1)/(COUNTA(Seasons!$A$1:$A1003)+1),1)</f>
        <v>75</v>
      </c>
      <c r="B375" s="20" t="n">
        <f aca="false">MOD(ROW()+1,COUNTA(Seasons!$A$1:$A1003)+1)</f>
        <v>1</v>
      </c>
      <c r="C375" s="20" t="str">
        <f aca="true">"Series "&amp;A375&amp;IF(B375=0,"","/"&amp;INDIRECT(ADDRESS(B375,1,1,TRUE(),"Seasons")))</f>
        <v>Series 75/Summer</v>
      </c>
      <c r="D375" s="17" t="n">
        <f aca="false">IF(B375=0,VLOOKUP(A375,Series!$A$2:B1003,2,FALSE()),D374+IF(B374=0,0,7))</f>
        <v>46583</v>
      </c>
    </row>
    <row r="376" customFormat="false" ht="15.75" hidden="false" customHeight="false" outlineLevel="0" collapsed="false">
      <c r="A376" s="20" t="n">
        <f aca="false">FLOOR((ROW()+1)/(COUNTA(Seasons!$A$1:$A1003)+1),1)</f>
        <v>75</v>
      </c>
      <c r="B376" s="20" t="n">
        <f aca="false">MOD(ROW()+1,COUNTA(Seasons!$A$1:$A1003)+1)</f>
        <v>2</v>
      </c>
      <c r="C376" s="20" t="str">
        <f aca="true">"Series "&amp;A376&amp;IF(B376=0,"","/"&amp;INDIRECT(ADDRESS(B376,1,1,TRUE(),"Seasons")))</f>
        <v>Series 75/Autumn</v>
      </c>
      <c r="D376" s="17" t="n">
        <f aca="false">IF(B376=0,VLOOKUP(A376,Series!$A$2:B1003,2,FALSE()),D375+IF(B375=0,0,7))</f>
        <v>46590</v>
      </c>
    </row>
    <row r="377" customFormat="false" ht="15.75" hidden="false" customHeight="false" outlineLevel="0" collapsed="false">
      <c r="A377" s="20" t="n">
        <f aca="false">FLOOR((ROW()+1)/(COUNTA(Seasons!$A$1:$A1003)+1),1)</f>
        <v>75</v>
      </c>
      <c r="B377" s="20" t="n">
        <f aca="false">MOD(ROW()+1,COUNTA(Seasons!$A$1:$A1003)+1)</f>
        <v>3</v>
      </c>
      <c r="C377" s="20" t="str">
        <f aca="true">"Series "&amp;A377&amp;IF(B377=0,"","/"&amp;INDIRECT(ADDRESS(B377,1,1,TRUE(),"Seasons")))</f>
        <v>Series 75/Winter</v>
      </c>
      <c r="D377" s="17" t="n">
        <f aca="false">IF(B377=0,VLOOKUP(A377,Series!$A$2:B1003,2,FALSE()),D376+IF(B376=0,0,7))</f>
        <v>46597</v>
      </c>
    </row>
    <row r="378" customFormat="false" ht="15.75" hidden="false" customHeight="false" outlineLevel="0" collapsed="false">
      <c r="A378" s="20" t="n">
        <f aca="false">FLOOR((ROW()+1)/(COUNTA(Seasons!$A$1:$A1003)+1),1)</f>
        <v>75</v>
      </c>
      <c r="B378" s="20" t="n">
        <f aca="false">MOD(ROW()+1,COUNTA(Seasons!$A$1:$A1003)+1)</f>
        <v>4</v>
      </c>
      <c r="C378" s="20" t="str">
        <f aca="true">"Series "&amp;A378&amp;IF(B378=0,"","/"&amp;INDIRECT(ADDRESS(B378,1,1,TRUE(),"Seasons")))</f>
        <v>Series 75/Spring</v>
      </c>
      <c r="D378" s="17" t="n">
        <f aca="false">IF(B378=0,VLOOKUP(A378,Series!$A$2:B1003,2,FALSE()),D377+IF(B377=0,0,7))</f>
        <v>46604</v>
      </c>
    </row>
    <row r="379" customFormat="false" ht="15.75" hidden="false" customHeight="false" outlineLevel="0" collapsed="false">
      <c r="A379" s="20" t="n">
        <f aca="false">FLOOR((ROW()+1)/(COUNTA(Seasons!$A$1:$A1003)+1),1)</f>
        <v>76</v>
      </c>
      <c r="B379" s="20" t="n">
        <f aca="false">MOD(ROW()+1,COUNTA(Seasons!$A$1:$A1003)+1)</f>
        <v>0</v>
      </c>
      <c r="C379" s="20" t="str">
        <f aca="true">"Series "&amp;A379&amp;IF(B379=0,"","/"&amp;INDIRECT(ADDRESS(B379,1,1,TRUE(),"Seasons")))</f>
        <v>Series 76</v>
      </c>
      <c r="D379" s="17" t="n">
        <f aca="false">IF(B379=0,VLOOKUP(A379,Series!$A$2:B1003,2,FALSE()),D378+IF(B378=0,0,7))</f>
        <v>46611</v>
      </c>
    </row>
    <row r="380" customFormat="false" ht="15.75" hidden="false" customHeight="false" outlineLevel="0" collapsed="false">
      <c r="A380" s="20" t="n">
        <f aca="false">FLOOR((ROW()+1)/(COUNTA(Seasons!$A$1:$A1003)+1),1)</f>
        <v>76</v>
      </c>
      <c r="B380" s="20" t="n">
        <f aca="false">MOD(ROW()+1,COUNTA(Seasons!$A$1:$A1003)+1)</f>
        <v>1</v>
      </c>
      <c r="C380" s="20" t="str">
        <f aca="true">"Series "&amp;A380&amp;IF(B380=0,"","/"&amp;INDIRECT(ADDRESS(B380,1,1,TRUE(),"Seasons")))</f>
        <v>Series 76/Summer</v>
      </c>
      <c r="D380" s="17" t="n">
        <f aca="false">IF(B380=0,VLOOKUP(A380,Series!$A$2:B1003,2,FALSE()),D379+IF(B379=0,0,7))</f>
        <v>46611</v>
      </c>
    </row>
    <row r="381" customFormat="false" ht="15.75" hidden="false" customHeight="false" outlineLevel="0" collapsed="false">
      <c r="A381" s="20" t="n">
        <f aca="false">FLOOR((ROW()+1)/(COUNTA(Seasons!$A$1:$A1003)+1),1)</f>
        <v>76</v>
      </c>
      <c r="B381" s="20" t="n">
        <f aca="false">MOD(ROW()+1,COUNTA(Seasons!$A$1:$A1003)+1)</f>
        <v>2</v>
      </c>
      <c r="C381" s="20" t="str">
        <f aca="true">"Series "&amp;A381&amp;IF(B381=0,"","/"&amp;INDIRECT(ADDRESS(B381,1,1,TRUE(),"Seasons")))</f>
        <v>Series 76/Autumn</v>
      </c>
      <c r="D381" s="17" t="n">
        <f aca="false">IF(B381=0,VLOOKUP(A381,Series!$A$2:B1003,2,FALSE()),D380+IF(B380=0,0,7))</f>
        <v>46618</v>
      </c>
    </row>
    <row r="382" customFormat="false" ht="15.75" hidden="false" customHeight="false" outlineLevel="0" collapsed="false">
      <c r="A382" s="20" t="n">
        <f aca="false">FLOOR((ROW()+1)/(COUNTA(Seasons!$A$1:$A1003)+1),1)</f>
        <v>76</v>
      </c>
      <c r="B382" s="20" t="n">
        <f aca="false">MOD(ROW()+1,COUNTA(Seasons!$A$1:$A1003)+1)</f>
        <v>3</v>
      </c>
      <c r="C382" s="20" t="str">
        <f aca="true">"Series "&amp;A382&amp;IF(B382=0,"","/"&amp;INDIRECT(ADDRESS(B382,1,1,TRUE(),"Seasons")))</f>
        <v>Series 76/Winter</v>
      </c>
      <c r="D382" s="17" t="n">
        <f aca="false">IF(B382=0,VLOOKUP(A382,Series!$A$2:B1003,2,FALSE()),D381+IF(B381=0,0,7))</f>
        <v>46625</v>
      </c>
    </row>
    <row r="383" customFormat="false" ht="15.75" hidden="false" customHeight="false" outlineLevel="0" collapsed="false">
      <c r="A383" s="20" t="n">
        <f aca="false">FLOOR((ROW()+1)/(COUNTA(Seasons!$A$1:$A1003)+1),1)</f>
        <v>76</v>
      </c>
      <c r="B383" s="20" t="n">
        <f aca="false">MOD(ROW()+1,COUNTA(Seasons!$A$1:$A1003)+1)</f>
        <v>4</v>
      </c>
      <c r="C383" s="20" t="str">
        <f aca="true">"Series "&amp;A383&amp;IF(B383=0,"","/"&amp;INDIRECT(ADDRESS(B383,1,1,TRUE(),"Seasons")))</f>
        <v>Series 76/Spring</v>
      </c>
      <c r="D383" s="17" t="n">
        <f aca="false">IF(B383=0,VLOOKUP(A383,Series!$A$2:B1003,2,FALSE()),D382+IF(B382=0,0,7))</f>
        <v>46632</v>
      </c>
    </row>
    <row r="384" customFormat="false" ht="15.75" hidden="false" customHeight="false" outlineLevel="0" collapsed="false">
      <c r="A384" s="20" t="n">
        <f aca="false">FLOOR((ROW()+1)/(COUNTA(Seasons!$A$1:$A1003)+1),1)</f>
        <v>77</v>
      </c>
      <c r="B384" s="20" t="n">
        <f aca="false">MOD(ROW()+1,COUNTA(Seasons!$A$1:$A1003)+1)</f>
        <v>0</v>
      </c>
      <c r="C384" s="20" t="str">
        <f aca="true">"Series "&amp;A384&amp;IF(B384=0,"","/"&amp;INDIRECT(ADDRESS(B384,1,1,TRUE(),"Seasons")))</f>
        <v>Series 77</v>
      </c>
      <c r="D384" s="17" t="n">
        <f aca="false">IF(B384=0,VLOOKUP(A384,Series!$A$2:B1003,2,FALSE()),D383+IF(B383=0,0,7))</f>
        <v>46639</v>
      </c>
    </row>
    <row r="385" customFormat="false" ht="15.75" hidden="false" customHeight="false" outlineLevel="0" collapsed="false">
      <c r="A385" s="20" t="n">
        <f aca="false">FLOOR((ROW()+1)/(COUNTA(Seasons!$A$1:$A1003)+1),1)</f>
        <v>77</v>
      </c>
      <c r="B385" s="20" t="n">
        <f aca="false">MOD(ROW()+1,COUNTA(Seasons!$A$1:$A1003)+1)</f>
        <v>1</v>
      </c>
      <c r="C385" s="20" t="str">
        <f aca="true">"Series "&amp;A385&amp;IF(B385=0,"","/"&amp;INDIRECT(ADDRESS(B385,1,1,TRUE(),"Seasons")))</f>
        <v>Series 77/Summer</v>
      </c>
      <c r="D385" s="17" t="n">
        <f aca="false">IF(B385=0,VLOOKUP(A385,Series!$A$2:B1003,2,FALSE()),D384+IF(B384=0,0,7))</f>
        <v>46639</v>
      </c>
    </row>
    <row r="386" customFormat="false" ht="15.75" hidden="false" customHeight="false" outlineLevel="0" collapsed="false">
      <c r="A386" s="20" t="n">
        <f aca="false">FLOOR((ROW()+1)/(COUNTA(Seasons!$A$1:$A1003)+1),1)</f>
        <v>77</v>
      </c>
      <c r="B386" s="20" t="n">
        <f aca="false">MOD(ROW()+1,COUNTA(Seasons!$A$1:$A1003)+1)</f>
        <v>2</v>
      </c>
      <c r="C386" s="20" t="str">
        <f aca="true">"Series "&amp;A386&amp;IF(B386=0,"","/"&amp;INDIRECT(ADDRESS(B386,1,1,TRUE(),"Seasons")))</f>
        <v>Series 77/Autumn</v>
      </c>
      <c r="D386" s="17" t="n">
        <f aca="false">IF(B386=0,VLOOKUP(A386,Series!$A$2:B1003,2,FALSE()),D385+IF(B385=0,0,7))</f>
        <v>46646</v>
      </c>
    </row>
    <row r="387" customFormat="false" ht="15.75" hidden="false" customHeight="false" outlineLevel="0" collapsed="false">
      <c r="A387" s="20" t="n">
        <f aca="false">FLOOR((ROW()+1)/(COUNTA(Seasons!$A$1:$A1003)+1),1)</f>
        <v>77</v>
      </c>
      <c r="B387" s="20" t="n">
        <f aca="false">MOD(ROW()+1,COUNTA(Seasons!$A$1:$A1003)+1)</f>
        <v>3</v>
      </c>
      <c r="C387" s="20" t="str">
        <f aca="true">"Series "&amp;A387&amp;IF(B387=0,"","/"&amp;INDIRECT(ADDRESS(B387,1,1,TRUE(),"Seasons")))</f>
        <v>Series 77/Winter</v>
      </c>
      <c r="D387" s="17" t="n">
        <f aca="false">IF(B387=0,VLOOKUP(A387,Series!$A$2:B1003,2,FALSE()),D386+IF(B386=0,0,7))</f>
        <v>46653</v>
      </c>
    </row>
    <row r="388" customFormat="false" ht="15.75" hidden="false" customHeight="false" outlineLevel="0" collapsed="false">
      <c r="A388" s="20" t="n">
        <f aca="false">FLOOR((ROW()+1)/(COUNTA(Seasons!$A$1:$A1003)+1),1)</f>
        <v>77</v>
      </c>
      <c r="B388" s="20" t="n">
        <f aca="false">MOD(ROW()+1,COUNTA(Seasons!$A$1:$A1003)+1)</f>
        <v>4</v>
      </c>
      <c r="C388" s="20" t="str">
        <f aca="true">"Series "&amp;A388&amp;IF(B388=0,"","/"&amp;INDIRECT(ADDRESS(B388,1,1,TRUE(),"Seasons")))</f>
        <v>Series 77/Spring</v>
      </c>
      <c r="D388" s="17" t="n">
        <f aca="false">IF(B388=0,VLOOKUP(A388,Series!$A$2:B1003,2,FALSE()),D387+IF(B387=0,0,7))</f>
        <v>46660</v>
      </c>
    </row>
    <row r="389" customFormat="false" ht="15.75" hidden="false" customHeight="false" outlineLevel="0" collapsed="false">
      <c r="A389" s="20" t="n">
        <f aca="false">FLOOR((ROW()+1)/(COUNTA(Seasons!$A$1:$A1003)+1),1)</f>
        <v>78</v>
      </c>
      <c r="B389" s="20" t="n">
        <f aca="false">MOD(ROW()+1,COUNTA(Seasons!$A$1:$A1003)+1)</f>
        <v>0</v>
      </c>
      <c r="C389" s="20" t="str">
        <f aca="true">"Series "&amp;A389&amp;IF(B389=0,"","/"&amp;INDIRECT(ADDRESS(B389,1,1,TRUE(),"Seasons")))</f>
        <v>Series 78</v>
      </c>
      <c r="D389" s="17" t="n">
        <f aca="false">IF(B389=0,VLOOKUP(A389,Series!$A$2:B1003,2,FALSE()),D388+IF(B388=0,0,7))</f>
        <v>46667</v>
      </c>
    </row>
    <row r="390" customFormat="false" ht="15.75" hidden="false" customHeight="false" outlineLevel="0" collapsed="false">
      <c r="A390" s="20" t="n">
        <f aca="false">FLOOR((ROW()+1)/(COUNTA(Seasons!$A$1:$A1003)+1),1)</f>
        <v>78</v>
      </c>
      <c r="B390" s="20" t="n">
        <f aca="false">MOD(ROW()+1,COUNTA(Seasons!$A$1:$A1003)+1)</f>
        <v>1</v>
      </c>
      <c r="C390" s="20" t="str">
        <f aca="true">"Series "&amp;A390&amp;IF(B390=0,"","/"&amp;INDIRECT(ADDRESS(B390,1,1,TRUE(),"Seasons")))</f>
        <v>Series 78/Summer</v>
      </c>
      <c r="D390" s="17" t="n">
        <f aca="false">IF(B390=0,VLOOKUP(A390,Series!$A$2:B1003,2,FALSE()),D389+IF(B389=0,0,7))</f>
        <v>46667</v>
      </c>
    </row>
    <row r="391" customFormat="false" ht="15.75" hidden="false" customHeight="false" outlineLevel="0" collapsed="false">
      <c r="A391" s="20" t="n">
        <f aca="false">FLOOR((ROW()+1)/(COUNTA(Seasons!$A$1:$A1003)+1),1)</f>
        <v>78</v>
      </c>
      <c r="B391" s="20" t="n">
        <f aca="false">MOD(ROW()+1,COUNTA(Seasons!$A$1:$A1003)+1)</f>
        <v>2</v>
      </c>
      <c r="C391" s="20" t="str">
        <f aca="true">"Series "&amp;A391&amp;IF(B391=0,"","/"&amp;INDIRECT(ADDRESS(B391,1,1,TRUE(),"Seasons")))</f>
        <v>Series 78/Autumn</v>
      </c>
      <c r="D391" s="17" t="n">
        <f aca="false">IF(B391=0,VLOOKUP(A391,Series!$A$2:B1003,2,FALSE()),D390+IF(B390=0,0,7))</f>
        <v>46674</v>
      </c>
    </row>
    <row r="392" customFormat="false" ht="15.75" hidden="false" customHeight="false" outlineLevel="0" collapsed="false">
      <c r="A392" s="20" t="n">
        <f aca="false">FLOOR((ROW()+1)/(COUNTA(Seasons!$A$1:$A1003)+1),1)</f>
        <v>78</v>
      </c>
      <c r="B392" s="20" t="n">
        <f aca="false">MOD(ROW()+1,COUNTA(Seasons!$A$1:$A1003)+1)</f>
        <v>3</v>
      </c>
      <c r="C392" s="20" t="str">
        <f aca="true">"Series "&amp;A392&amp;IF(B392=0,"","/"&amp;INDIRECT(ADDRESS(B392,1,1,TRUE(),"Seasons")))</f>
        <v>Series 78/Winter</v>
      </c>
      <c r="D392" s="17" t="n">
        <f aca="false">IF(B392=0,VLOOKUP(A392,Series!$A$2:B1003,2,FALSE()),D391+IF(B391=0,0,7))</f>
        <v>46681</v>
      </c>
    </row>
    <row r="393" customFormat="false" ht="15.75" hidden="false" customHeight="false" outlineLevel="0" collapsed="false">
      <c r="A393" s="20" t="n">
        <f aca="false">FLOOR((ROW()+1)/(COUNTA(Seasons!$A$1:$A1003)+1),1)</f>
        <v>78</v>
      </c>
      <c r="B393" s="20" t="n">
        <f aca="false">MOD(ROW()+1,COUNTA(Seasons!$A$1:$A1003)+1)</f>
        <v>4</v>
      </c>
      <c r="C393" s="20" t="str">
        <f aca="true">"Series "&amp;A393&amp;IF(B393=0,"","/"&amp;INDIRECT(ADDRESS(B393,1,1,TRUE(),"Seasons")))</f>
        <v>Series 78/Spring</v>
      </c>
      <c r="D393" s="17" t="n">
        <f aca="false">IF(B393=0,VLOOKUP(A393,Series!$A$2:B1003,2,FALSE()),D392+IF(B392=0,0,7))</f>
        <v>46688</v>
      </c>
    </row>
    <row r="394" customFormat="false" ht="15.75" hidden="false" customHeight="false" outlineLevel="0" collapsed="false">
      <c r="A394" s="20" t="n">
        <f aca="false">FLOOR((ROW()+1)/(COUNTA(Seasons!$A$1:$A1003)+1),1)</f>
        <v>79</v>
      </c>
      <c r="B394" s="20" t="n">
        <f aca="false">MOD(ROW()+1,COUNTA(Seasons!$A$1:$A1003)+1)</f>
        <v>0</v>
      </c>
      <c r="C394" s="20" t="str">
        <f aca="true">"Series "&amp;A394&amp;IF(B394=0,"","/"&amp;INDIRECT(ADDRESS(B394,1,1,TRUE(),"Seasons")))</f>
        <v>Series 79</v>
      </c>
      <c r="D394" s="17" t="n">
        <f aca="false">IF(B394=0,VLOOKUP(A394,Series!$A$2:B1003,2,FALSE()),D393+IF(B393=0,0,7))</f>
        <v>46695</v>
      </c>
    </row>
    <row r="395" customFormat="false" ht="15.75" hidden="false" customHeight="false" outlineLevel="0" collapsed="false">
      <c r="A395" s="20" t="n">
        <f aca="false">FLOOR((ROW()+1)/(COUNTA(Seasons!$A$1:$A1003)+1),1)</f>
        <v>79</v>
      </c>
      <c r="B395" s="20" t="n">
        <f aca="false">MOD(ROW()+1,COUNTA(Seasons!$A$1:$A1003)+1)</f>
        <v>1</v>
      </c>
      <c r="C395" s="20" t="str">
        <f aca="true">"Series "&amp;A395&amp;IF(B395=0,"","/"&amp;INDIRECT(ADDRESS(B395,1,1,TRUE(),"Seasons")))</f>
        <v>Series 79/Summer</v>
      </c>
      <c r="D395" s="17" t="n">
        <f aca="false">IF(B395=0,VLOOKUP(A395,Series!$A$2:B1003,2,FALSE()),D394+IF(B394=0,0,7))</f>
        <v>46695</v>
      </c>
    </row>
    <row r="396" customFormat="false" ht="15.75" hidden="false" customHeight="false" outlineLevel="0" collapsed="false">
      <c r="A396" s="20" t="n">
        <f aca="false">FLOOR((ROW()+1)/(COUNTA(Seasons!$A$1:$A1003)+1),1)</f>
        <v>79</v>
      </c>
      <c r="B396" s="20" t="n">
        <f aca="false">MOD(ROW()+1,COUNTA(Seasons!$A$1:$A1003)+1)</f>
        <v>2</v>
      </c>
      <c r="C396" s="20" t="str">
        <f aca="true">"Series "&amp;A396&amp;IF(B396=0,"","/"&amp;INDIRECT(ADDRESS(B396,1,1,TRUE(),"Seasons")))</f>
        <v>Series 79/Autumn</v>
      </c>
      <c r="D396" s="17" t="n">
        <f aca="false">IF(B396=0,VLOOKUP(A396,Series!$A$2:B1003,2,FALSE()),D395+IF(B395=0,0,7))</f>
        <v>46702</v>
      </c>
    </row>
    <row r="397" customFormat="false" ht="15.75" hidden="false" customHeight="false" outlineLevel="0" collapsed="false">
      <c r="A397" s="20" t="n">
        <f aca="false">FLOOR((ROW()+1)/(COUNTA(Seasons!$A$1:$A1003)+1),1)</f>
        <v>79</v>
      </c>
      <c r="B397" s="20" t="n">
        <f aca="false">MOD(ROW()+1,COUNTA(Seasons!$A$1:$A1003)+1)</f>
        <v>3</v>
      </c>
      <c r="C397" s="20" t="str">
        <f aca="true">"Series "&amp;A397&amp;IF(B397=0,"","/"&amp;INDIRECT(ADDRESS(B397,1,1,TRUE(),"Seasons")))</f>
        <v>Series 79/Winter</v>
      </c>
      <c r="D397" s="17" t="n">
        <f aca="false">IF(B397=0,VLOOKUP(A397,Series!$A$2:B1003,2,FALSE()),D396+IF(B396=0,0,7))</f>
        <v>46709</v>
      </c>
    </row>
    <row r="398" customFormat="false" ht="15.75" hidden="false" customHeight="false" outlineLevel="0" collapsed="false">
      <c r="A398" s="20" t="n">
        <f aca="false">FLOOR((ROW()+1)/(COUNTA(Seasons!$A$1:$A1003)+1),1)</f>
        <v>79</v>
      </c>
      <c r="B398" s="20" t="n">
        <f aca="false">MOD(ROW()+1,COUNTA(Seasons!$A$1:$A1003)+1)</f>
        <v>4</v>
      </c>
      <c r="C398" s="20" t="str">
        <f aca="true">"Series "&amp;A398&amp;IF(B398=0,"","/"&amp;INDIRECT(ADDRESS(B398,1,1,TRUE(),"Seasons")))</f>
        <v>Series 79/Spring</v>
      </c>
      <c r="D398" s="17" t="n">
        <f aca="false">IF(B398=0,VLOOKUP(A398,Series!$A$2:B1003,2,FALSE()),D397+IF(B397=0,0,7))</f>
        <v>46716</v>
      </c>
    </row>
    <row r="399" customFormat="false" ht="15.75" hidden="false" customHeight="false" outlineLevel="0" collapsed="false">
      <c r="A399" s="20" t="n">
        <f aca="false">FLOOR((ROW()+1)/(COUNTA(Seasons!$A$1:$A1003)+1),1)</f>
        <v>80</v>
      </c>
      <c r="B399" s="20" t="n">
        <f aca="false">MOD(ROW()+1,COUNTA(Seasons!$A$1:$A1003)+1)</f>
        <v>0</v>
      </c>
      <c r="C399" s="20" t="str">
        <f aca="true">"Series "&amp;A399&amp;IF(B399=0,"","/"&amp;INDIRECT(ADDRESS(B399,1,1,TRUE(),"Seasons")))</f>
        <v>Series 80</v>
      </c>
      <c r="D399" s="17" t="n">
        <f aca="false">IF(B399=0,VLOOKUP(A399,Series!$A$2:B1003,2,FALSE()),D398+IF(B398=0,0,7))</f>
        <v>46723</v>
      </c>
    </row>
    <row r="400" customFormat="false" ht="15.75" hidden="false" customHeight="false" outlineLevel="0" collapsed="false">
      <c r="A400" s="20" t="n">
        <f aca="false">FLOOR((ROW()+1)/(COUNTA(Seasons!$A$1:$A1003)+1),1)</f>
        <v>80</v>
      </c>
      <c r="B400" s="20" t="n">
        <f aca="false">MOD(ROW()+1,COUNTA(Seasons!$A$1:$A1003)+1)</f>
        <v>1</v>
      </c>
      <c r="C400" s="20" t="str">
        <f aca="true">"Series "&amp;A400&amp;IF(B400=0,"","/"&amp;INDIRECT(ADDRESS(B400,1,1,TRUE(),"Seasons")))</f>
        <v>Series 80/Summer</v>
      </c>
      <c r="D400" s="17" t="n">
        <f aca="false">IF(B400=0,VLOOKUP(A400,Series!$A$2:B1003,2,FALSE()),D399+IF(B399=0,0,7))</f>
        <v>46723</v>
      </c>
    </row>
    <row r="401" customFormat="false" ht="15.75" hidden="false" customHeight="false" outlineLevel="0" collapsed="false">
      <c r="A401" s="20" t="n">
        <f aca="false">FLOOR((ROW()+1)/(COUNTA(Seasons!$A$1:$A1003)+1),1)</f>
        <v>80</v>
      </c>
      <c r="B401" s="20" t="n">
        <f aca="false">MOD(ROW()+1,COUNTA(Seasons!$A$1:$A1003)+1)</f>
        <v>2</v>
      </c>
      <c r="C401" s="20" t="str">
        <f aca="true">"Series "&amp;A401&amp;IF(B401=0,"","/"&amp;INDIRECT(ADDRESS(B401,1,1,TRUE(),"Seasons")))</f>
        <v>Series 80/Autumn</v>
      </c>
      <c r="D401" s="17" t="n">
        <f aca="false">IF(B401=0,VLOOKUP(A401,Series!$A$2:B1003,2,FALSE()),D400+IF(B400=0,0,7))</f>
        <v>46730</v>
      </c>
    </row>
    <row r="402" customFormat="false" ht="15.75" hidden="false" customHeight="false" outlineLevel="0" collapsed="false">
      <c r="A402" s="20" t="n">
        <f aca="false">FLOOR((ROW()+1)/(COUNTA(Seasons!$A$1:$A1003)+1),1)</f>
        <v>80</v>
      </c>
      <c r="B402" s="20" t="n">
        <f aca="false">MOD(ROW()+1,COUNTA(Seasons!$A$1:$A1003)+1)</f>
        <v>3</v>
      </c>
      <c r="C402" s="20" t="str">
        <f aca="true">"Series "&amp;A402&amp;IF(B402=0,"","/"&amp;INDIRECT(ADDRESS(B402,1,1,TRUE(),"Seasons")))</f>
        <v>Series 80/Winter</v>
      </c>
      <c r="D402" s="17" t="n">
        <f aca="false">IF(B402=0,VLOOKUP(A402,Series!$A$2:B1003,2,FALSE()),D401+IF(B401=0,0,7))</f>
        <v>46737</v>
      </c>
    </row>
    <row r="403" customFormat="false" ht="15.75" hidden="false" customHeight="false" outlineLevel="0" collapsed="false">
      <c r="A403" s="20" t="n">
        <f aca="false">FLOOR((ROW()+1)/(COUNTA(Seasons!$A$1:$A1003)+1),1)</f>
        <v>80</v>
      </c>
      <c r="B403" s="20" t="n">
        <f aca="false">MOD(ROW()+1,COUNTA(Seasons!$A$1:$A1003)+1)</f>
        <v>4</v>
      </c>
      <c r="C403" s="20" t="str">
        <f aca="true">"Series "&amp;A403&amp;IF(B403=0,"","/"&amp;INDIRECT(ADDRESS(B403,1,1,TRUE(),"Seasons")))</f>
        <v>Series 80/Spring</v>
      </c>
      <c r="D403" s="17" t="n">
        <f aca="false">IF(B403=0,VLOOKUP(A403,Series!$A$2:B1003,2,FALSE()),D402+IF(B402=0,0,7))</f>
        <v>46744</v>
      </c>
    </row>
    <row r="404" customFormat="false" ht="15.75" hidden="false" customHeight="false" outlineLevel="0" collapsed="false">
      <c r="A404" s="20" t="n">
        <f aca="false">FLOOR((ROW()+1)/(COUNTA(Seasons!$A$1:$A1003)+1),1)</f>
        <v>81</v>
      </c>
      <c r="B404" s="20" t="n">
        <f aca="false">MOD(ROW()+1,COUNTA(Seasons!$A$1:$A1003)+1)</f>
        <v>0</v>
      </c>
      <c r="C404" s="20" t="str">
        <f aca="true">"Series "&amp;A404&amp;IF(B404=0,"","/"&amp;INDIRECT(ADDRESS(B404,1,1,TRUE(),"Seasons")))</f>
        <v>Series 81</v>
      </c>
      <c r="D404" s="17" t="n">
        <f aca="false">IF(B404=0,VLOOKUP(A404,Series!$A$2:B1003,2,FALSE()),D403+IF(B403=0,0,7))</f>
        <v>46751</v>
      </c>
    </row>
    <row r="405" customFormat="false" ht="15.75" hidden="false" customHeight="false" outlineLevel="0" collapsed="false">
      <c r="A405" s="20" t="n">
        <f aca="false">FLOOR((ROW()+1)/(COUNTA(Seasons!$A$1:$A1003)+1),1)</f>
        <v>81</v>
      </c>
      <c r="B405" s="20" t="n">
        <f aca="false">MOD(ROW()+1,COUNTA(Seasons!$A$1:$A1003)+1)</f>
        <v>1</v>
      </c>
      <c r="C405" s="20" t="str">
        <f aca="true">"Series "&amp;A405&amp;IF(B405=0,"","/"&amp;INDIRECT(ADDRESS(B405,1,1,TRUE(),"Seasons")))</f>
        <v>Series 81/Summer</v>
      </c>
      <c r="D405" s="17" t="n">
        <f aca="false">IF(B405=0,VLOOKUP(A405,Series!$A$2:B1003,2,FALSE()),D404+IF(B404=0,0,7))</f>
        <v>46751</v>
      </c>
    </row>
    <row r="406" customFormat="false" ht="15.75" hidden="false" customHeight="false" outlineLevel="0" collapsed="false">
      <c r="A406" s="20" t="n">
        <f aca="false">FLOOR((ROW()+1)/(COUNTA(Seasons!$A$1:$A1003)+1),1)</f>
        <v>81</v>
      </c>
      <c r="B406" s="20" t="n">
        <f aca="false">MOD(ROW()+1,COUNTA(Seasons!$A$1:$A1003)+1)</f>
        <v>2</v>
      </c>
      <c r="C406" s="20" t="str">
        <f aca="true">"Series "&amp;A406&amp;IF(B406=0,"","/"&amp;INDIRECT(ADDRESS(B406,1,1,TRUE(),"Seasons")))</f>
        <v>Series 81/Autumn</v>
      </c>
      <c r="D406" s="17" t="n">
        <f aca="false">IF(B406=0,VLOOKUP(A406,Series!$A$2:B1003,2,FALSE()),D405+IF(B405=0,0,7))</f>
        <v>46758</v>
      </c>
    </row>
    <row r="407" customFormat="false" ht="15.75" hidden="false" customHeight="false" outlineLevel="0" collapsed="false">
      <c r="A407" s="20" t="n">
        <f aca="false">FLOOR((ROW()+1)/(COUNTA(Seasons!$A$1:$A1003)+1),1)</f>
        <v>81</v>
      </c>
      <c r="B407" s="20" t="n">
        <f aca="false">MOD(ROW()+1,COUNTA(Seasons!$A$1:$A1003)+1)</f>
        <v>3</v>
      </c>
      <c r="C407" s="20" t="str">
        <f aca="true">"Series "&amp;A407&amp;IF(B407=0,"","/"&amp;INDIRECT(ADDRESS(B407,1,1,TRUE(),"Seasons")))</f>
        <v>Series 81/Winter</v>
      </c>
      <c r="D407" s="17" t="n">
        <f aca="false">IF(B407=0,VLOOKUP(A407,Series!$A$2:B1003,2,FALSE()),D406+IF(B406=0,0,7))</f>
        <v>46765</v>
      </c>
    </row>
    <row r="408" customFormat="false" ht="15.75" hidden="false" customHeight="false" outlineLevel="0" collapsed="false">
      <c r="A408" s="20" t="n">
        <f aca="false">FLOOR((ROW()+1)/(COUNTA(Seasons!$A$1:$A1003)+1),1)</f>
        <v>81</v>
      </c>
      <c r="B408" s="20" t="n">
        <f aca="false">MOD(ROW()+1,COUNTA(Seasons!$A$1:$A1003)+1)</f>
        <v>4</v>
      </c>
      <c r="C408" s="20" t="str">
        <f aca="true">"Series "&amp;A408&amp;IF(B408=0,"","/"&amp;INDIRECT(ADDRESS(B408,1,1,TRUE(),"Seasons")))</f>
        <v>Series 81/Spring</v>
      </c>
      <c r="D408" s="17" t="n">
        <f aca="false">IF(B408=0,VLOOKUP(A408,Series!$A$2:B1003,2,FALSE()),D407+IF(B407=0,0,7))</f>
        <v>46772</v>
      </c>
    </row>
    <row r="409" customFormat="false" ht="15.75" hidden="false" customHeight="false" outlineLevel="0" collapsed="false">
      <c r="A409" s="20" t="n">
        <f aca="false">FLOOR((ROW()+1)/(COUNTA(Seasons!$A$1:$A1003)+1),1)</f>
        <v>82</v>
      </c>
      <c r="B409" s="20" t="n">
        <f aca="false">MOD(ROW()+1,COUNTA(Seasons!$A$1:$A1003)+1)</f>
        <v>0</v>
      </c>
      <c r="C409" s="20" t="str">
        <f aca="true">"Series "&amp;A409&amp;IF(B409=0,"","/"&amp;INDIRECT(ADDRESS(B409,1,1,TRUE(),"Seasons")))</f>
        <v>Series 82</v>
      </c>
      <c r="D409" s="17" t="n">
        <f aca="false">IF(B409=0,VLOOKUP(A409,Series!$A$2:B1003,2,FALSE()),D408+IF(B408=0,0,7))</f>
        <v>46779</v>
      </c>
    </row>
    <row r="410" customFormat="false" ht="15.75" hidden="false" customHeight="false" outlineLevel="0" collapsed="false">
      <c r="A410" s="20" t="n">
        <f aca="false">FLOOR((ROW()+1)/(COUNTA(Seasons!$A$1:$A1003)+1),1)</f>
        <v>82</v>
      </c>
      <c r="B410" s="20" t="n">
        <f aca="false">MOD(ROW()+1,COUNTA(Seasons!$A$1:$A1003)+1)</f>
        <v>1</v>
      </c>
      <c r="C410" s="20" t="str">
        <f aca="true">"Series "&amp;A410&amp;IF(B410=0,"","/"&amp;INDIRECT(ADDRESS(B410,1,1,TRUE(),"Seasons")))</f>
        <v>Series 82/Summer</v>
      </c>
      <c r="D410" s="17" t="n">
        <f aca="false">IF(B410=0,VLOOKUP(A410,Series!$A$2:B1003,2,FALSE()),D409+IF(B409=0,0,7))</f>
        <v>46779</v>
      </c>
    </row>
    <row r="411" customFormat="false" ht="15.75" hidden="false" customHeight="false" outlineLevel="0" collapsed="false">
      <c r="A411" s="20" t="n">
        <f aca="false">FLOOR((ROW()+1)/(COUNTA(Seasons!$A$1:$A1003)+1),1)</f>
        <v>82</v>
      </c>
      <c r="B411" s="20" t="n">
        <f aca="false">MOD(ROW()+1,COUNTA(Seasons!$A$1:$A1003)+1)</f>
        <v>2</v>
      </c>
      <c r="C411" s="20" t="str">
        <f aca="true">"Series "&amp;A411&amp;IF(B411=0,"","/"&amp;INDIRECT(ADDRESS(B411,1,1,TRUE(),"Seasons")))</f>
        <v>Series 82/Autumn</v>
      </c>
      <c r="D411" s="17" t="n">
        <f aca="false">IF(B411=0,VLOOKUP(A411,Series!$A$2:B1003,2,FALSE()),D410+IF(B410=0,0,7))</f>
        <v>46786</v>
      </c>
    </row>
    <row r="412" customFormat="false" ht="15.75" hidden="false" customHeight="false" outlineLevel="0" collapsed="false">
      <c r="A412" s="20" t="n">
        <f aca="false">FLOOR((ROW()+1)/(COUNTA(Seasons!$A$1:$A1003)+1),1)</f>
        <v>82</v>
      </c>
      <c r="B412" s="20" t="n">
        <f aca="false">MOD(ROW()+1,COUNTA(Seasons!$A$1:$A1003)+1)</f>
        <v>3</v>
      </c>
      <c r="C412" s="20" t="str">
        <f aca="true">"Series "&amp;A412&amp;IF(B412=0,"","/"&amp;INDIRECT(ADDRESS(B412,1,1,TRUE(),"Seasons")))</f>
        <v>Series 82/Winter</v>
      </c>
      <c r="D412" s="17" t="n">
        <f aca="false">IF(B412=0,VLOOKUP(A412,Series!$A$2:B1003,2,FALSE()),D411+IF(B411=0,0,7))</f>
        <v>46793</v>
      </c>
    </row>
    <row r="413" customFormat="false" ht="15.75" hidden="false" customHeight="false" outlineLevel="0" collapsed="false">
      <c r="A413" s="20" t="n">
        <f aca="false">FLOOR((ROW()+1)/(COUNTA(Seasons!$A$1:$A1003)+1),1)</f>
        <v>82</v>
      </c>
      <c r="B413" s="20" t="n">
        <f aca="false">MOD(ROW()+1,COUNTA(Seasons!$A$1:$A1003)+1)</f>
        <v>4</v>
      </c>
      <c r="C413" s="20" t="str">
        <f aca="true">"Series "&amp;A413&amp;IF(B413=0,"","/"&amp;INDIRECT(ADDRESS(B413,1,1,TRUE(),"Seasons")))</f>
        <v>Series 82/Spring</v>
      </c>
      <c r="D413" s="17" t="n">
        <f aca="false">IF(B413=0,VLOOKUP(A413,Series!$A$2:B1003,2,FALSE()),D412+IF(B412=0,0,7))</f>
        <v>46800</v>
      </c>
    </row>
    <row r="414" customFormat="false" ht="15.75" hidden="false" customHeight="false" outlineLevel="0" collapsed="false">
      <c r="A414" s="20" t="n">
        <f aca="false">FLOOR((ROW()+1)/(COUNTA(Seasons!$A$1:$A1003)+1),1)</f>
        <v>83</v>
      </c>
      <c r="B414" s="20" t="n">
        <f aca="false">MOD(ROW()+1,COUNTA(Seasons!$A$1:$A1003)+1)</f>
        <v>0</v>
      </c>
      <c r="C414" s="20" t="str">
        <f aca="true">"Series "&amp;A414&amp;IF(B414=0,"","/"&amp;INDIRECT(ADDRESS(B414,1,1,TRUE(),"Seasons")))</f>
        <v>Series 83</v>
      </c>
      <c r="D414" s="17" t="n">
        <f aca="false">IF(B414=0,VLOOKUP(A414,Series!$A$2:B1003,2,FALSE()),D413+IF(B413=0,0,7))</f>
        <v>46807</v>
      </c>
    </row>
    <row r="415" customFormat="false" ht="15.75" hidden="false" customHeight="false" outlineLevel="0" collapsed="false">
      <c r="A415" s="20" t="n">
        <f aca="false">FLOOR((ROW()+1)/(COUNTA(Seasons!$A$1:$A1003)+1),1)</f>
        <v>83</v>
      </c>
      <c r="B415" s="20" t="n">
        <f aca="false">MOD(ROW()+1,COUNTA(Seasons!$A$1:$A1003)+1)</f>
        <v>1</v>
      </c>
      <c r="C415" s="20" t="str">
        <f aca="true">"Series "&amp;A415&amp;IF(B415=0,"","/"&amp;INDIRECT(ADDRESS(B415,1,1,TRUE(),"Seasons")))</f>
        <v>Series 83/Summer</v>
      </c>
      <c r="D415" s="17" t="n">
        <f aca="false">IF(B415=0,VLOOKUP(A415,Series!$A$2:B1003,2,FALSE()),D414+IF(B414=0,0,7))</f>
        <v>46807</v>
      </c>
    </row>
    <row r="416" customFormat="false" ht="15.75" hidden="false" customHeight="false" outlineLevel="0" collapsed="false">
      <c r="A416" s="20" t="n">
        <f aca="false">FLOOR((ROW()+1)/(COUNTA(Seasons!$A$1:$A1003)+1),1)</f>
        <v>83</v>
      </c>
      <c r="B416" s="20" t="n">
        <f aca="false">MOD(ROW()+1,COUNTA(Seasons!$A$1:$A1003)+1)</f>
        <v>2</v>
      </c>
      <c r="C416" s="20" t="str">
        <f aca="true">"Series "&amp;A416&amp;IF(B416=0,"","/"&amp;INDIRECT(ADDRESS(B416,1,1,TRUE(),"Seasons")))</f>
        <v>Series 83/Autumn</v>
      </c>
      <c r="D416" s="17" t="n">
        <f aca="false">IF(B416=0,VLOOKUP(A416,Series!$A$2:B1003,2,FALSE()),D415+IF(B415=0,0,7))</f>
        <v>46814</v>
      </c>
    </row>
    <row r="417" customFormat="false" ht="15.75" hidden="false" customHeight="false" outlineLevel="0" collapsed="false">
      <c r="A417" s="20" t="n">
        <f aca="false">FLOOR((ROW()+1)/(COUNTA(Seasons!$A$1:$A1003)+1),1)</f>
        <v>83</v>
      </c>
      <c r="B417" s="20" t="n">
        <f aca="false">MOD(ROW()+1,COUNTA(Seasons!$A$1:$A1003)+1)</f>
        <v>3</v>
      </c>
      <c r="C417" s="20" t="str">
        <f aca="true">"Series "&amp;A417&amp;IF(B417=0,"","/"&amp;INDIRECT(ADDRESS(B417,1,1,TRUE(),"Seasons")))</f>
        <v>Series 83/Winter</v>
      </c>
      <c r="D417" s="17" t="n">
        <f aca="false">IF(B417=0,VLOOKUP(A417,Series!$A$2:B1003,2,FALSE()),D416+IF(B416=0,0,7))</f>
        <v>46821</v>
      </c>
    </row>
    <row r="418" customFormat="false" ht="15.75" hidden="false" customHeight="false" outlineLevel="0" collapsed="false">
      <c r="A418" s="20" t="n">
        <f aca="false">FLOOR((ROW()+1)/(COUNTA(Seasons!$A$1:$A1003)+1),1)</f>
        <v>83</v>
      </c>
      <c r="B418" s="20" t="n">
        <f aca="false">MOD(ROW()+1,COUNTA(Seasons!$A$1:$A1003)+1)</f>
        <v>4</v>
      </c>
      <c r="C418" s="20" t="str">
        <f aca="true">"Series "&amp;A418&amp;IF(B418=0,"","/"&amp;INDIRECT(ADDRESS(B418,1,1,TRUE(),"Seasons")))</f>
        <v>Series 83/Spring</v>
      </c>
      <c r="D418" s="17" t="n">
        <f aca="false">IF(B418=0,VLOOKUP(A418,Series!$A$2:B1003,2,FALSE()),D417+IF(B417=0,0,7))</f>
        <v>46828</v>
      </c>
    </row>
    <row r="419" customFormat="false" ht="15.75" hidden="false" customHeight="false" outlineLevel="0" collapsed="false">
      <c r="A419" s="20" t="n">
        <f aca="false">FLOOR((ROW()+1)/(COUNTA(Seasons!$A$1:$A1003)+1),1)</f>
        <v>84</v>
      </c>
      <c r="B419" s="20" t="n">
        <f aca="false">MOD(ROW()+1,COUNTA(Seasons!$A$1:$A1003)+1)</f>
        <v>0</v>
      </c>
      <c r="C419" s="20" t="str">
        <f aca="true">"Series "&amp;A419&amp;IF(B419=0,"","/"&amp;INDIRECT(ADDRESS(B419,1,1,TRUE(),"Seasons")))</f>
        <v>Series 84</v>
      </c>
      <c r="D419" s="17" t="n">
        <f aca="false">IF(B419=0,VLOOKUP(A419,Series!$A$2:B1003,2,FALSE()),D418+IF(B418=0,0,7))</f>
        <v>46835</v>
      </c>
    </row>
    <row r="420" customFormat="false" ht="15.75" hidden="false" customHeight="false" outlineLevel="0" collapsed="false">
      <c r="A420" s="20" t="n">
        <f aca="false">FLOOR((ROW()+1)/(COUNTA(Seasons!$A$1:$A1003)+1),1)</f>
        <v>84</v>
      </c>
      <c r="B420" s="20" t="n">
        <f aca="false">MOD(ROW()+1,COUNTA(Seasons!$A$1:$A1003)+1)</f>
        <v>1</v>
      </c>
      <c r="C420" s="20" t="str">
        <f aca="true">"Series "&amp;A420&amp;IF(B420=0,"","/"&amp;INDIRECT(ADDRESS(B420,1,1,TRUE(),"Seasons")))</f>
        <v>Series 84/Summer</v>
      </c>
      <c r="D420" s="17" t="n">
        <f aca="false">IF(B420=0,VLOOKUP(A420,Series!$A$2:B1003,2,FALSE()),D419+IF(B419=0,0,7))</f>
        <v>46835</v>
      </c>
    </row>
    <row r="421" customFormat="false" ht="15.75" hidden="false" customHeight="false" outlineLevel="0" collapsed="false">
      <c r="A421" s="20" t="n">
        <f aca="false">FLOOR((ROW()+1)/(COUNTA(Seasons!$A$1:$A1003)+1),1)</f>
        <v>84</v>
      </c>
      <c r="B421" s="20" t="n">
        <f aca="false">MOD(ROW()+1,COUNTA(Seasons!$A$1:$A1003)+1)</f>
        <v>2</v>
      </c>
      <c r="C421" s="20" t="str">
        <f aca="true">"Series "&amp;A421&amp;IF(B421=0,"","/"&amp;INDIRECT(ADDRESS(B421,1,1,TRUE(),"Seasons")))</f>
        <v>Series 84/Autumn</v>
      </c>
      <c r="D421" s="17" t="n">
        <f aca="false">IF(B421=0,VLOOKUP(A421,Series!$A$2:B1003,2,FALSE()),D420+IF(B420=0,0,7))</f>
        <v>46842</v>
      </c>
    </row>
    <row r="422" customFormat="false" ht="15.75" hidden="false" customHeight="false" outlineLevel="0" collapsed="false">
      <c r="A422" s="20" t="n">
        <f aca="false">FLOOR((ROW()+1)/(COUNTA(Seasons!$A$1:$A1003)+1),1)</f>
        <v>84</v>
      </c>
      <c r="B422" s="20" t="n">
        <f aca="false">MOD(ROW()+1,COUNTA(Seasons!$A$1:$A1003)+1)</f>
        <v>3</v>
      </c>
      <c r="C422" s="20" t="str">
        <f aca="true">"Series "&amp;A422&amp;IF(B422=0,"","/"&amp;INDIRECT(ADDRESS(B422,1,1,TRUE(),"Seasons")))</f>
        <v>Series 84/Winter</v>
      </c>
      <c r="D422" s="17" t="n">
        <f aca="false">IF(B422=0,VLOOKUP(A422,Series!$A$2:B1003,2,FALSE()),D421+IF(B421=0,0,7))</f>
        <v>46849</v>
      </c>
    </row>
    <row r="423" customFormat="false" ht="15.75" hidden="false" customHeight="false" outlineLevel="0" collapsed="false">
      <c r="A423" s="20" t="n">
        <f aca="false">FLOOR((ROW()+1)/(COUNTA(Seasons!$A$1:$A1003)+1),1)</f>
        <v>84</v>
      </c>
      <c r="B423" s="20" t="n">
        <f aca="false">MOD(ROW()+1,COUNTA(Seasons!$A$1:$A1003)+1)</f>
        <v>4</v>
      </c>
      <c r="C423" s="20" t="str">
        <f aca="true">"Series "&amp;A423&amp;IF(B423=0,"","/"&amp;INDIRECT(ADDRESS(B423,1,1,TRUE(),"Seasons")))</f>
        <v>Series 84/Spring</v>
      </c>
      <c r="D423" s="17" t="n">
        <f aca="false">IF(B423=0,VLOOKUP(A423,Series!$A$2:B1003,2,FALSE()),D422+IF(B422=0,0,7))</f>
        <v>46856</v>
      </c>
    </row>
    <row r="424" customFormat="false" ht="15.75" hidden="false" customHeight="false" outlineLevel="0" collapsed="false">
      <c r="A424" s="20" t="n">
        <f aca="false">FLOOR((ROW()+1)/(COUNTA(Seasons!$A$1:$A1003)+1),1)</f>
        <v>85</v>
      </c>
      <c r="B424" s="20" t="n">
        <f aca="false">MOD(ROW()+1,COUNTA(Seasons!$A$1:$A1003)+1)</f>
        <v>0</v>
      </c>
      <c r="C424" s="20" t="str">
        <f aca="true">"Series "&amp;A424&amp;IF(B424=0,"","/"&amp;INDIRECT(ADDRESS(B424,1,1,TRUE(),"Seasons")))</f>
        <v>Series 85</v>
      </c>
      <c r="D424" s="17" t="n">
        <f aca="false">IF(B424=0,VLOOKUP(A424,Series!$A$2:B1003,2,FALSE()),D423+IF(B423=0,0,7))</f>
        <v>46863</v>
      </c>
    </row>
    <row r="425" customFormat="false" ht="15.75" hidden="false" customHeight="false" outlineLevel="0" collapsed="false">
      <c r="A425" s="20" t="n">
        <f aca="false">FLOOR((ROW()+1)/(COUNTA(Seasons!$A$1:$A1003)+1),1)</f>
        <v>85</v>
      </c>
      <c r="B425" s="20" t="n">
        <f aca="false">MOD(ROW()+1,COUNTA(Seasons!$A$1:$A1003)+1)</f>
        <v>1</v>
      </c>
      <c r="C425" s="20" t="str">
        <f aca="true">"Series "&amp;A425&amp;IF(B425=0,"","/"&amp;INDIRECT(ADDRESS(B425,1,1,TRUE(),"Seasons")))</f>
        <v>Series 85/Summer</v>
      </c>
      <c r="D425" s="17" t="n">
        <f aca="false">IF(B425=0,VLOOKUP(A425,Series!$A$2:B1003,2,FALSE()),D424+IF(B424=0,0,7))</f>
        <v>46863</v>
      </c>
    </row>
    <row r="426" customFormat="false" ht="15.75" hidden="false" customHeight="false" outlineLevel="0" collapsed="false">
      <c r="A426" s="20" t="n">
        <f aca="false">FLOOR((ROW()+1)/(COUNTA(Seasons!$A$1:$A1003)+1),1)</f>
        <v>85</v>
      </c>
      <c r="B426" s="20" t="n">
        <f aca="false">MOD(ROW()+1,COUNTA(Seasons!$A$1:$A1003)+1)</f>
        <v>2</v>
      </c>
      <c r="C426" s="20" t="str">
        <f aca="true">"Series "&amp;A426&amp;IF(B426=0,"","/"&amp;INDIRECT(ADDRESS(B426,1,1,TRUE(),"Seasons")))</f>
        <v>Series 85/Autumn</v>
      </c>
      <c r="D426" s="17" t="n">
        <f aca="false">IF(B426=0,VLOOKUP(A426,Series!$A$2:B1003,2,FALSE()),D425+IF(B425=0,0,7))</f>
        <v>46870</v>
      </c>
    </row>
    <row r="427" customFormat="false" ht="15.75" hidden="false" customHeight="false" outlineLevel="0" collapsed="false">
      <c r="A427" s="20" t="n">
        <f aca="false">FLOOR((ROW()+1)/(COUNTA(Seasons!$A$1:$A1003)+1),1)</f>
        <v>85</v>
      </c>
      <c r="B427" s="20" t="n">
        <f aca="false">MOD(ROW()+1,COUNTA(Seasons!$A$1:$A1003)+1)</f>
        <v>3</v>
      </c>
      <c r="C427" s="20" t="str">
        <f aca="true">"Series "&amp;A427&amp;IF(B427=0,"","/"&amp;INDIRECT(ADDRESS(B427,1,1,TRUE(),"Seasons")))</f>
        <v>Series 85/Winter</v>
      </c>
      <c r="D427" s="17" t="n">
        <f aca="false">IF(B427=0,VLOOKUP(A427,Series!$A$2:B1003,2,FALSE()),D426+IF(B426=0,0,7))</f>
        <v>46877</v>
      </c>
    </row>
    <row r="428" customFormat="false" ht="15.75" hidden="false" customHeight="false" outlineLevel="0" collapsed="false">
      <c r="A428" s="20" t="n">
        <f aca="false">FLOOR((ROW()+1)/(COUNTA(Seasons!$A$1:$A1003)+1),1)</f>
        <v>85</v>
      </c>
      <c r="B428" s="20" t="n">
        <f aca="false">MOD(ROW()+1,COUNTA(Seasons!$A$1:$A1003)+1)</f>
        <v>4</v>
      </c>
      <c r="C428" s="20" t="str">
        <f aca="true">"Series "&amp;A428&amp;IF(B428=0,"","/"&amp;INDIRECT(ADDRESS(B428,1,1,TRUE(),"Seasons")))</f>
        <v>Series 85/Spring</v>
      </c>
      <c r="D428" s="17" t="n">
        <f aca="false">IF(B428=0,VLOOKUP(A428,Series!$A$2:B1003,2,FALSE()),D427+IF(B427=0,0,7))</f>
        <v>46884</v>
      </c>
    </row>
    <row r="429" customFormat="false" ht="15.75" hidden="false" customHeight="false" outlineLevel="0" collapsed="false">
      <c r="A429" s="20" t="n">
        <f aca="false">FLOOR((ROW()+1)/(COUNTA(Seasons!$A$1:$A1003)+1),1)</f>
        <v>86</v>
      </c>
      <c r="B429" s="20" t="n">
        <f aca="false">MOD(ROW()+1,COUNTA(Seasons!$A$1:$A1003)+1)</f>
        <v>0</v>
      </c>
      <c r="C429" s="20" t="str">
        <f aca="true">"Series "&amp;A429&amp;IF(B429=0,"","/"&amp;INDIRECT(ADDRESS(B429,1,1,TRUE(),"Seasons")))</f>
        <v>Series 86</v>
      </c>
      <c r="D429" s="17" t="n">
        <f aca="false">IF(B429=0,VLOOKUP(A429,Series!$A$2:B1003,2,FALSE()),D428+IF(B428=0,0,7))</f>
        <v>46891</v>
      </c>
    </row>
    <row r="430" customFormat="false" ht="15.75" hidden="false" customHeight="false" outlineLevel="0" collapsed="false">
      <c r="A430" s="20" t="n">
        <f aca="false">FLOOR((ROW()+1)/(COUNTA(Seasons!$A$1:$A1003)+1),1)</f>
        <v>86</v>
      </c>
      <c r="B430" s="20" t="n">
        <f aca="false">MOD(ROW()+1,COUNTA(Seasons!$A$1:$A1003)+1)</f>
        <v>1</v>
      </c>
      <c r="C430" s="20" t="str">
        <f aca="true">"Series "&amp;A430&amp;IF(B430=0,"","/"&amp;INDIRECT(ADDRESS(B430,1,1,TRUE(),"Seasons")))</f>
        <v>Series 86/Summer</v>
      </c>
      <c r="D430" s="17" t="n">
        <f aca="false">IF(B430=0,VLOOKUP(A430,Series!$A$2:B1003,2,FALSE()),D429+IF(B429=0,0,7))</f>
        <v>46891</v>
      </c>
    </row>
    <row r="431" customFormat="false" ht="15.75" hidden="false" customHeight="false" outlineLevel="0" collapsed="false">
      <c r="A431" s="20" t="n">
        <f aca="false">FLOOR((ROW()+1)/(COUNTA(Seasons!$A$1:$A1003)+1),1)</f>
        <v>86</v>
      </c>
      <c r="B431" s="20" t="n">
        <f aca="false">MOD(ROW()+1,COUNTA(Seasons!$A$1:$A1003)+1)</f>
        <v>2</v>
      </c>
      <c r="C431" s="20" t="str">
        <f aca="true">"Series "&amp;A431&amp;IF(B431=0,"","/"&amp;INDIRECT(ADDRESS(B431,1,1,TRUE(),"Seasons")))</f>
        <v>Series 86/Autumn</v>
      </c>
      <c r="D431" s="17" t="n">
        <f aca="false">IF(B431=0,VLOOKUP(A431,Series!$A$2:B1003,2,FALSE()),D430+IF(B430=0,0,7))</f>
        <v>46898</v>
      </c>
    </row>
    <row r="432" customFormat="false" ht="15.75" hidden="false" customHeight="false" outlineLevel="0" collapsed="false">
      <c r="A432" s="20" t="n">
        <f aca="false">FLOOR((ROW()+1)/(COUNTA(Seasons!$A$1:$A1003)+1),1)</f>
        <v>86</v>
      </c>
      <c r="B432" s="20" t="n">
        <f aca="false">MOD(ROW()+1,COUNTA(Seasons!$A$1:$A1003)+1)</f>
        <v>3</v>
      </c>
      <c r="C432" s="20" t="str">
        <f aca="true">"Series "&amp;A432&amp;IF(B432=0,"","/"&amp;INDIRECT(ADDRESS(B432,1,1,TRUE(),"Seasons")))</f>
        <v>Series 86/Winter</v>
      </c>
      <c r="D432" s="17" t="n">
        <f aca="false">IF(B432=0,VLOOKUP(A432,Series!$A$2:B1003,2,FALSE()),D431+IF(B431=0,0,7))</f>
        <v>46905</v>
      </c>
    </row>
    <row r="433" customFormat="false" ht="15.75" hidden="false" customHeight="false" outlineLevel="0" collapsed="false">
      <c r="A433" s="20" t="n">
        <f aca="false">FLOOR((ROW()+1)/(COUNTA(Seasons!$A$1:$A1003)+1),1)</f>
        <v>86</v>
      </c>
      <c r="B433" s="20" t="n">
        <f aca="false">MOD(ROW()+1,COUNTA(Seasons!$A$1:$A1003)+1)</f>
        <v>4</v>
      </c>
      <c r="C433" s="20" t="str">
        <f aca="true">"Series "&amp;A433&amp;IF(B433=0,"","/"&amp;INDIRECT(ADDRESS(B433,1,1,TRUE(),"Seasons")))</f>
        <v>Series 86/Spring</v>
      </c>
      <c r="D433" s="17" t="n">
        <f aca="false">IF(B433=0,VLOOKUP(A433,Series!$A$2:B1003,2,FALSE()),D432+IF(B432=0,0,7))</f>
        <v>46912</v>
      </c>
    </row>
    <row r="434" customFormat="false" ht="15.75" hidden="false" customHeight="false" outlineLevel="0" collapsed="false">
      <c r="A434" s="20" t="n">
        <f aca="false">FLOOR((ROW()+1)/(COUNTA(Seasons!$A$1:$A1003)+1),1)</f>
        <v>87</v>
      </c>
      <c r="B434" s="20" t="n">
        <f aca="false">MOD(ROW()+1,COUNTA(Seasons!$A$1:$A1003)+1)</f>
        <v>0</v>
      </c>
      <c r="C434" s="20" t="str">
        <f aca="true">"Series "&amp;A434&amp;IF(B434=0,"","/"&amp;INDIRECT(ADDRESS(B434,1,1,TRUE(),"Seasons")))</f>
        <v>Series 87</v>
      </c>
      <c r="D434" s="17" t="n">
        <f aca="false">IF(B434=0,VLOOKUP(A434,Series!$A$2:B1003,2,FALSE()),D433+IF(B433=0,0,7))</f>
        <v>46919</v>
      </c>
    </row>
    <row r="435" customFormat="false" ht="15.75" hidden="false" customHeight="false" outlineLevel="0" collapsed="false">
      <c r="A435" s="20" t="n">
        <f aca="false">FLOOR((ROW()+1)/(COUNTA(Seasons!$A$1:$A1003)+1),1)</f>
        <v>87</v>
      </c>
      <c r="B435" s="20" t="n">
        <f aca="false">MOD(ROW()+1,COUNTA(Seasons!$A$1:$A1003)+1)</f>
        <v>1</v>
      </c>
      <c r="C435" s="20" t="str">
        <f aca="true">"Series "&amp;A435&amp;IF(B435=0,"","/"&amp;INDIRECT(ADDRESS(B435,1,1,TRUE(),"Seasons")))</f>
        <v>Series 87/Summer</v>
      </c>
      <c r="D435" s="17" t="n">
        <f aca="false">IF(B435=0,VLOOKUP(A435,Series!$A$2:B1003,2,FALSE()),D434+IF(B434=0,0,7))</f>
        <v>46919</v>
      </c>
    </row>
    <row r="436" customFormat="false" ht="15.75" hidden="false" customHeight="false" outlineLevel="0" collapsed="false">
      <c r="A436" s="20" t="n">
        <f aca="false">FLOOR((ROW()+1)/(COUNTA(Seasons!$A$1:$A1003)+1),1)</f>
        <v>87</v>
      </c>
      <c r="B436" s="20" t="n">
        <f aca="false">MOD(ROW()+1,COUNTA(Seasons!$A$1:$A1003)+1)</f>
        <v>2</v>
      </c>
      <c r="C436" s="20" t="str">
        <f aca="true">"Series "&amp;A436&amp;IF(B436=0,"","/"&amp;INDIRECT(ADDRESS(B436,1,1,TRUE(),"Seasons")))</f>
        <v>Series 87/Autumn</v>
      </c>
      <c r="D436" s="17" t="n">
        <f aca="false">IF(B436=0,VLOOKUP(A436,Series!$A$2:B1003,2,FALSE()),D435+IF(B435=0,0,7))</f>
        <v>46926</v>
      </c>
    </row>
    <row r="437" customFormat="false" ht="15.75" hidden="false" customHeight="false" outlineLevel="0" collapsed="false">
      <c r="A437" s="20" t="n">
        <f aca="false">FLOOR((ROW()+1)/(COUNTA(Seasons!$A$1:$A1003)+1),1)</f>
        <v>87</v>
      </c>
      <c r="B437" s="20" t="n">
        <f aca="false">MOD(ROW()+1,COUNTA(Seasons!$A$1:$A1003)+1)</f>
        <v>3</v>
      </c>
      <c r="C437" s="20" t="str">
        <f aca="true">"Series "&amp;A437&amp;IF(B437=0,"","/"&amp;INDIRECT(ADDRESS(B437,1,1,TRUE(),"Seasons")))</f>
        <v>Series 87/Winter</v>
      </c>
      <c r="D437" s="17" t="n">
        <f aca="false">IF(B437=0,VLOOKUP(A437,Series!$A$2:B1003,2,FALSE()),D436+IF(B436=0,0,7))</f>
        <v>46933</v>
      </c>
    </row>
    <row r="438" customFormat="false" ht="15.75" hidden="false" customHeight="false" outlineLevel="0" collapsed="false">
      <c r="A438" s="20" t="n">
        <f aca="false">FLOOR((ROW()+1)/(COUNTA(Seasons!$A$1:$A1003)+1),1)</f>
        <v>87</v>
      </c>
      <c r="B438" s="20" t="n">
        <f aca="false">MOD(ROW()+1,COUNTA(Seasons!$A$1:$A1003)+1)</f>
        <v>4</v>
      </c>
      <c r="C438" s="20" t="str">
        <f aca="true">"Series "&amp;A438&amp;IF(B438=0,"","/"&amp;INDIRECT(ADDRESS(B438,1,1,TRUE(),"Seasons")))</f>
        <v>Series 87/Spring</v>
      </c>
      <c r="D438" s="17" t="n">
        <f aca="false">IF(B438=0,VLOOKUP(A438,Series!$A$2:B1003,2,FALSE()),D437+IF(B437=0,0,7))</f>
        <v>46940</v>
      </c>
    </row>
    <row r="439" customFormat="false" ht="15.75" hidden="false" customHeight="false" outlineLevel="0" collapsed="false">
      <c r="A439" s="20" t="n">
        <f aca="false">FLOOR((ROW()+1)/(COUNTA(Seasons!$A$1:$A1003)+1),1)</f>
        <v>88</v>
      </c>
      <c r="B439" s="20" t="n">
        <f aca="false">MOD(ROW()+1,COUNTA(Seasons!$A$1:$A1003)+1)</f>
        <v>0</v>
      </c>
      <c r="C439" s="20" t="str">
        <f aca="true">"Series "&amp;A439&amp;IF(B439=0,"","/"&amp;INDIRECT(ADDRESS(B439,1,1,TRUE(),"Seasons")))</f>
        <v>Series 88</v>
      </c>
      <c r="D439" s="17" t="n">
        <f aca="false">IF(B439=0,VLOOKUP(A439,Series!$A$2:B1003,2,FALSE()),D438+IF(B438=0,0,7))</f>
        <v>46947</v>
      </c>
    </row>
    <row r="440" customFormat="false" ht="15.75" hidden="false" customHeight="false" outlineLevel="0" collapsed="false">
      <c r="A440" s="20" t="n">
        <f aca="false">FLOOR((ROW()+1)/(COUNTA(Seasons!$A$1:$A1003)+1),1)</f>
        <v>88</v>
      </c>
      <c r="B440" s="20" t="n">
        <f aca="false">MOD(ROW()+1,COUNTA(Seasons!$A$1:$A1003)+1)</f>
        <v>1</v>
      </c>
      <c r="C440" s="20" t="str">
        <f aca="true">"Series "&amp;A440&amp;IF(B440=0,"","/"&amp;INDIRECT(ADDRESS(B440,1,1,TRUE(),"Seasons")))</f>
        <v>Series 88/Summer</v>
      </c>
      <c r="D440" s="17" t="n">
        <f aca="false">IF(B440=0,VLOOKUP(A440,Series!$A$2:B1003,2,FALSE()),D439+IF(B439=0,0,7))</f>
        <v>46947</v>
      </c>
    </row>
    <row r="441" customFormat="false" ht="15.75" hidden="false" customHeight="false" outlineLevel="0" collapsed="false">
      <c r="A441" s="20" t="n">
        <f aca="false">FLOOR((ROW()+1)/(COUNTA(Seasons!$A$1:$A1003)+1),1)</f>
        <v>88</v>
      </c>
      <c r="B441" s="20" t="n">
        <f aca="false">MOD(ROW()+1,COUNTA(Seasons!$A$1:$A1003)+1)</f>
        <v>2</v>
      </c>
      <c r="C441" s="20" t="str">
        <f aca="true">"Series "&amp;A441&amp;IF(B441=0,"","/"&amp;INDIRECT(ADDRESS(B441,1,1,TRUE(),"Seasons")))</f>
        <v>Series 88/Autumn</v>
      </c>
      <c r="D441" s="17" t="n">
        <f aca="false">IF(B441=0,VLOOKUP(A441,Series!$A$2:B1003,2,FALSE()),D440+IF(B440=0,0,7))</f>
        <v>46954</v>
      </c>
    </row>
    <row r="442" customFormat="false" ht="15.75" hidden="false" customHeight="false" outlineLevel="0" collapsed="false">
      <c r="A442" s="20" t="n">
        <f aca="false">FLOOR((ROW()+1)/(COUNTA(Seasons!$A$1:$A1003)+1),1)</f>
        <v>88</v>
      </c>
      <c r="B442" s="20" t="n">
        <f aca="false">MOD(ROW()+1,COUNTA(Seasons!$A$1:$A1003)+1)</f>
        <v>3</v>
      </c>
      <c r="C442" s="20" t="str">
        <f aca="true">"Series "&amp;A442&amp;IF(B442=0,"","/"&amp;INDIRECT(ADDRESS(B442,1,1,TRUE(),"Seasons")))</f>
        <v>Series 88/Winter</v>
      </c>
      <c r="D442" s="17" t="n">
        <f aca="false">IF(B442=0,VLOOKUP(A442,Series!$A$2:B1003,2,FALSE()),D441+IF(B441=0,0,7))</f>
        <v>46961</v>
      </c>
    </row>
    <row r="443" customFormat="false" ht="15.75" hidden="false" customHeight="false" outlineLevel="0" collapsed="false">
      <c r="A443" s="20" t="n">
        <f aca="false">FLOOR((ROW()+1)/(COUNTA(Seasons!$A$1:$A1003)+1),1)</f>
        <v>88</v>
      </c>
      <c r="B443" s="20" t="n">
        <f aca="false">MOD(ROW()+1,COUNTA(Seasons!$A$1:$A1003)+1)</f>
        <v>4</v>
      </c>
      <c r="C443" s="20" t="str">
        <f aca="true">"Series "&amp;A443&amp;IF(B443=0,"","/"&amp;INDIRECT(ADDRESS(B443,1,1,TRUE(),"Seasons")))</f>
        <v>Series 88/Spring</v>
      </c>
      <c r="D443" s="17" t="n">
        <f aca="false">IF(B443=0,VLOOKUP(A443,Series!$A$2:B1003,2,FALSE()),D442+IF(B442=0,0,7))</f>
        <v>46968</v>
      </c>
    </row>
    <row r="444" customFormat="false" ht="15.75" hidden="false" customHeight="false" outlineLevel="0" collapsed="false">
      <c r="A444" s="20" t="n">
        <f aca="false">FLOOR((ROW()+1)/(COUNTA(Seasons!$A$1:$A1003)+1),1)</f>
        <v>89</v>
      </c>
      <c r="B444" s="20" t="n">
        <f aca="false">MOD(ROW()+1,COUNTA(Seasons!$A$1:$A1003)+1)</f>
        <v>0</v>
      </c>
      <c r="C444" s="20" t="str">
        <f aca="true">"Series "&amp;A444&amp;IF(B444=0,"","/"&amp;INDIRECT(ADDRESS(B444,1,1,TRUE(),"Seasons")))</f>
        <v>Series 89</v>
      </c>
      <c r="D444" s="17" t="n">
        <f aca="false">IF(B444=0,VLOOKUP(A444,Series!$A$2:B1003,2,FALSE()),D443+IF(B443=0,0,7))</f>
        <v>46975</v>
      </c>
    </row>
    <row r="445" customFormat="false" ht="15.75" hidden="false" customHeight="false" outlineLevel="0" collapsed="false">
      <c r="A445" s="20" t="n">
        <f aca="false">FLOOR((ROW()+1)/(COUNTA(Seasons!$A$1:$A1003)+1),1)</f>
        <v>89</v>
      </c>
      <c r="B445" s="20" t="n">
        <f aca="false">MOD(ROW()+1,COUNTA(Seasons!$A$1:$A1003)+1)</f>
        <v>1</v>
      </c>
      <c r="C445" s="20" t="str">
        <f aca="true">"Series "&amp;A445&amp;IF(B445=0,"","/"&amp;INDIRECT(ADDRESS(B445,1,1,TRUE(),"Seasons")))</f>
        <v>Series 89/Summer</v>
      </c>
      <c r="D445" s="17" t="n">
        <f aca="false">IF(B445=0,VLOOKUP(A445,Series!$A$2:B1003,2,FALSE()),D444+IF(B444=0,0,7))</f>
        <v>46975</v>
      </c>
    </row>
    <row r="446" customFormat="false" ht="15.75" hidden="false" customHeight="false" outlineLevel="0" collapsed="false">
      <c r="A446" s="20" t="n">
        <f aca="false">FLOOR((ROW()+1)/(COUNTA(Seasons!$A$1:$A1003)+1),1)</f>
        <v>89</v>
      </c>
      <c r="B446" s="20" t="n">
        <f aca="false">MOD(ROW()+1,COUNTA(Seasons!$A$1:$A1003)+1)</f>
        <v>2</v>
      </c>
      <c r="C446" s="20" t="str">
        <f aca="true">"Series "&amp;A446&amp;IF(B446=0,"","/"&amp;INDIRECT(ADDRESS(B446,1,1,TRUE(),"Seasons")))</f>
        <v>Series 89/Autumn</v>
      </c>
      <c r="D446" s="17" t="n">
        <f aca="false">IF(B446=0,VLOOKUP(A446,Series!$A$2:B1003,2,FALSE()),D445+IF(B445=0,0,7))</f>
        <v>46982</v>
      </c>
    </row>
    <row r="447" customFormat="false" ht="15.75" hidden="false" customHeight="false" outlineLevel="0" collapsed="false">
      <c r="A447" s="20" t="n">
        <f aca="false">FLOOR((ROW()+1)/(COUNTA(Seasons!$A$1:$A1003)+1),1)</f>
        <v>89</v>
      </c>
      <c r="B447" s="20" t="n">
        <f aca="false">MOD(ROW()+1,COUNTA(Seasons!$A$1:$A1003)+1)</f>
        <v>3</v>
      </c>
      <c r="C447" s="20" t="str">
        <f aca="true">"Series "&amp;A447&amp;IF(B447=0,"","/"&amp;INDIRECT(ADDRESS(B447,1,1,TRUE(),"Seasons")))</f>
        <v>Series 89/Winter</v>
      </c>
      <c r="D447" s="17" t="n">
        <f aca="false">IF(B447=0,VLOOKUP(A447,Series!$A$2:B1003,2,FALSE()),D446+IF(B446=0,0,7))</f>
        <v>46989</v>
      </c>
    </row>
    <row r="448" customFormat="false" ht="15.75" hidden="false" customHeight="false" outlineLevel="0" collapsed="false">
      <c r="A448" s="20" t="n">
        <f aca="false">FLOOR((ROW()+1)/(COUNTA(Seasons!$A$1:$A1003)+1),1)</f>
        <v>89</v>
      </c>
      <c r="B448" s="20" t="n">
        <f aca="false">MOD(ROW()+1,COUNTA(Seasons!$A$1:$A1003)+1)</f>
        <v>4</v>
      </c>
      <c r="C448" s="20" t="str">
        <f aca="true">"Series "&amp;A448&amp;IF(B448=0,"","/"&amp;INDIRECT(ADDRESS(B448,1,1,TRUE(),"Seasons")))</f>
        <v>Series 89/Spring</v>
      </c>
      <c r="D448" s="17" t="n">
        <f aca="false">IF(B448=0,VLOOKUP(A448,Series!$A$2:B1003,2,FALSE()),D447+IF(B447=0,0,7))</f>
        <v>46996</v>
      </c>
    </row>
    <row r="449" customFormat="false" ht="15.75" hidden="false" customHeight="false" outlineLevel="0" collapsed="false">
      <c r="A449" s="20" t="n">
        <f aca="false">FLOOR((ROW()+1)/(COUNTA(Seasons!$A$1:$A1003)+1),1)</f>
        <v>90</v>
      </c>
      <c r="B449" s="20" t="n">
        <f aca="false">MOD(ROW()+1,COUNTA(Seasons!$A$1:$A1003)+1)</f>
        <v>0</v>
      </c>
      <c r="C449" s="20" t="str">
        <f aca="true">"Series "&amp;A449&amp;IF(B449=0,"","/"&amp;INDIRECT(ADDRESS(B449,1,1,TRUE(),"Seasons")))</f>
        <v>Series 90</v>
      </c>
      <c r="D449" s="17" t="n">
        <f aca="false">IF(B449=0,VLOOKUP(A449,Series!$A$2:B1003,2,FALSE()),D448+IF(B448=0,0,7))</f>
        <v>47003</v>
      </c>
    </row>
    <row r="450" customFormat="false" ht="15.75" hidden="false" customHeight="false" outlineLevel="0" collapsed="false">
      <c r="A450" s="20" t="n">
        <f aca="false">FLOOR((ROW()+1)/(COUNTA(Seasons!$A$1:$A1003)+1),1)</f>
        <v>90</v>
      </c>
      <c r="B450" s="20" t="n">
        <f aca="false">MOD(ROW()+1,COUNTA(Seasons!$A$1:$A1003)+1)</f>
        <v>1</v>
      </c>
      <c r="C450" s="20" t="str">
        <f aca="true">"Series "&amp;A450&amp;IF(B450=0,"","/"&amp;INDIRECT(ADDRESS(B450,1,1,TRUE(),"Seasons")))</f>
        <v>Series 90/Summer</v>
      </c>
      <c r="D450" s="17" t="n">
        <f aca="false">IF(B450=0,VLOOKUP(A450,Series!$A$2:B1003,2,FALSE()),D449+IF(B449=0,0,7))</f>
        <v>47003</v>
      </c>
    </row>
    <row r="451" customFormat="false" ht="15.75" hidden="false" customHeight="false" outlineLevel="0" collapsed="false">
      <c r="A451" s="20" t="n">
        <f aca="false">FLOOR((ROW()+1)/(COUNTA(Seasons!$A$1:$A1003)+1),1)</f>
        <v>90</v>
      </c>
      <c r="B451" s="20" t="n">
        <f aca="false">MOD(ROW()+1,COUNTA(Seasons!$A$1:$A1003)+1)</f>
        <v>2</v>
      </c>
      <c r="C451" s="20" t="str">
        <f aca="true">"Series "&amp;A451&amp;IF(B451=0,"","/"&amp;INDIRECT(ADDRESS(B451,1,1,TRUE(),"Seasons")))</f>
        <v>Series 90/Autumn</v>
      </c>
      <c r="D451" s="17" t="n">
        <f aca="false">IF(B451=0,VLOOKUP(A451,Series!$A$2:B1003,2,FALSE()),D450+IF(B450=0,0,7))</f>
        <v>47010</v>
      </c>
    </row>
    <row r="452" customFormat="false" ht="15.75" hidden="false" customHeight="false" outlineLevel="0" collapsed="false">
      <c r="A452" s="20" t="n">
        <f aca="false">FLOOR((ROW()+1)/(COUNTA(Seasons!$A$1:$A1003)+1),1)</f>
        <v>90</v>
      </c>
      <c r="B452" s="20" t="n">
        <f aca="false">MOD(ROW()+1,COUNTA(Seasons!$A$1:$A1003)+1)</f>
        <v>3</v>
      </c>
      <c r="C452" s="20" t="str">
        <f aca="true">"Series "&amp;A452&amp;IF(B452=0,"","/"&amp;INDIRECT(ADDRESS(B452,1,1,TRUE(),"Seasons")))</f>
        <v>Series 90/Winter</v>
      </c>
      <c r="D452" s="17" t="n">
        <f aca="false">IF(B452=0,VLOOKUP(A452,Series!$A$2:B1003,2,FALSE()),D451+IF(B451=0,0,7))</f>
        <v>47017</v>
      </c>
    </row>
    <row r="453" customFormat="false" ht="15.75" hidden="false" customHeight="false" outlineLevel="0" collapsed="false">
      <c r="A453" s="20" t="n">
        <f aca="false">FLOOR((ROW()+1)/(COUNTA(Seasons!$A$1:$A1003)+1),1)</f>
        <v>90</v>
      </c>
      <c r="B453" s="20" t="n">
        <f aca="false">MOD(ROW()+1,COUNTA(Seasons!$A$1:$A1003)+1)</f>
        <v>4</v>
      </c>
      <c r="C453" s="20" t="str">
        <f aca="true">"Series "&amp;A453&amp;IF(B453=0,"","/"&amp;INDIRECT(ADDRESS(B453,1,1,TRUE(),"Seasons")))</f>
        <v>Series 90/Spring</v>
      </c>
      <c r="D453" s="17" t="n">
        <f aca="false">IF(B453=0,VLOOKUP(A453,Series!$A$2:B1003,2,FALSE()),D452+IF(B452=0,0,7))</f>
        <v>47024</v>
      </c>
    </row>
    <row r="454" customFormat="false" ht="15.75" hidden="false" customHeight="false" outlineLevel="0" collapsed="false">
      <c r="A454" s="20" t="n">
        <f aca="false">FLOOR((ROW()+1)/(COUNTA(Seasons!$A$1:$A1003)+1),1)</f>
        <v>91</v>
      </c>
      <c r="B454" s="20" t="n">
        <f aca="false">MOD(ROW()+1,COUNTA(Seasons!$A$1:$A1003)+1)</f>
        <v>0</v>
      </c>
      <c r="C454" s="20" t="str">
        <f aca="true">"Series "&amp;A454&amp;IF(B454=0,"","/"&amp;INDIRECT(ADDRESS(B454,1,1,TRUE(),"Seasons")))</f>
        <v>Series 91</v>
      </c>
      <c r="D454" s="17" t="n">
        <f aca="false">IF(B454=0,VLOOKUP(A454,Series!$A$2:B1003,2,FALSE()),D453+IF(B453=0,0,7))</f>
        <v>47031</v>
      </c>
    </row>
    <row r="455" customFormat="false" ht="15.75" hidden="false" customHeight="false" outlineLevel="0" collapsed="false">
      <c r="A455" s="20" t="n">
        <f aca="false">FLOOR((ROW()+1)/(COUNTA(Seasons!$A$1:$A1003)+1),1)</f>
        <v>91</v>
      </c>
      <c r="B455" s="20" t="n">
        <f aca="false">MOD(ROW()+1,COUNTA(Seasons!$A$1:$A1003)+1)</f>
        <v>1</v>
      </c>
      <c r="C455" s="20" t="str">
        <f aca="true">"Series "&amp;A455&amp;IF(B455=0,"","/"&amp;INDIRECT(ADDRESS(B455,1,1,TRUE(),"Seasons")))</f>
        <v>Series 91/Summer</v>
      </c>
      <c r="D455" s="17" t="n">
        <f aca="false">IF(B455=0,VLOOKUP(A455,Series!$A$2:B1003,2,FALSE()),D454+IF(B454=0,0,7))</f>
        <v>47031</v>
      </c>
    </row>
    <row r="456" customFormat="false" ht="15.75" hidden="false" customHeight="false" outlineLevel="0" collapsed="false">
      <c r="A456" s="20" t="n">
        <f aca="false">FLOOR((ROW()+1)/(COUNTA(Seasons!$A$1:$A1003)+1),1)</f>
        <v>91</v>
      </c>
      <c r="B456" s="20" t="n">
        <f aca="false">MOD(ROW()+1,COUNTA(Seasons!$A$1:$A1003)+1)</f>
        <v>2</v>
      </c>
      <c r="C456" s="20" t="str">
        <f aca="true">"Series "&amp;A456&amp;IF(B456=0,"","/"&amp;INDIRECT(ADDRESS(B456,1,1,TRUE(),"Seasons")))</f>
        <v>Series 91/Autumn</v>
      </c>
      <c r="D456" s="17" t="n">
        <f aca="false">IF(B456=0,VLOOKUP(A456,Series!$A$2:B1003,2,FALSE()),D455+IF(B455=0,0,7))</f>
        <v>47038</v>
      </c>
    </row>
    <row r="457" customFormat="false" ht="15.75" hidden="false" customHeight="false" outlineLevel="0" collapsed="false">
      <c r="A457" s="20" t="n">
        <f aca="false">FLOOR((ROW()+1)/(COUNTA(Seasons!$A$1:$A1003)+1),1)</f>
        <v>91</v>
      </c>
      <c r="B457" s="20" t="n">
        <f aca="false">MOD(ROW()+1,COUNTA(Seasons!$A$1:$A1003)+1)</f>
        <v>3</v>
      </c>
      <c r="C457" s="20" t="str">
        <f aca="true">"Series "&amp;A457&amp;IF(B457=0,"","/"&amp;INDIRECT(ADDRESS(B457,1,1,TRUE(),"Seasons")))</f>
        <v>Series 91/Winter</v>
      </c>
      <c r="D457" s="17" t="n">
        <f aca="false">IF(B457=0,VLOOKUP(A457,Series!$A$2:B1003,2,FALSE()),D456+IF(B456=0,0,7))</f>
        <v>47045</v>
      </c>
    </row>
    <row r="458" customFormat="false" ht="15.75" hidden="false" customHeight="false" outlineLevel="0" collapsed="false">
      <c r="A458" s="20" t="n">
        <f aca="false">FLOOR((ROW()+1)/(COUNTA(Seasons!$A$1:$A1003)+1),1)</f>
        <v>91</v>
      </c>
      <c r="B458" s="20" t="n">
        <f aca="false">MOD(ROW()+1,COUNTA(Seasons!$A$1:$A1003)+1)</f>
        <v>4</v>
      </c>
      <c r="C458" s="20" t="str">
        <f aca="true">"Series "&amp;A458&amp;IF(B458=0,"","/"&amp;INDIRECT(ADDRESS(B458,1,1,TRUE(),"Seasons")))</f>
        <v>Series 91/Spring</v>
      </c>
      <c r="D458" s="17" t="n">
        <f aca="false">IF(B458=0,VLOOKUP(A458,Series!$A$2:B1003,2,FALSE()),D457+IF(B457=0,0,7))</f>
        <v>47052</v>
      </c>
    </row>
    <row r="459" customFormat="false" ht="15.75" hidden="false" customHeight="false" outlineLevel="0" collapsed="false">
      <c r="A459" s="20" t="n">
        <f aca="false">FLOOR((ROW()+1)/(COUNTA(Seasons!$A$1:$A1003)+1),1)</f>
        <v>92</v>
      </c>
      <c r="B459" s="20" t="n">
        <f aca="false">MOD(ROW()+1,COUNTA(Seasons!$A$1:$A1003)+1)</f>
        <v>0</v>
      </c>
      <c r="C459" s="20" t="str">
        <f aca="true">"Series "&amp;A459&amp;IF(B459=0,"","/"&amp;INDIRECT(ADDRESS(B459,1,1,TRUE(),"Seasons")))</f>
        <v>Series 92</v>
      </c>
      <c r="D459" s="17" t="n">
        <f aca="false">IF(B459=0,VLOOKUP(A459,Series!$A$2:B1003,2,FALSE()),D458+IF(B458=0,0,7))</f>
        <v>47059</v>
      </c>
    </row>
    <row r="460" customFormat="false" ht="15.75" hidden="false" customHeight="false" outlineLevel="0" collapsed="false">
      <c r="A460" s="20" t="n">
        <f aca="false">FLOOR((ROW()+1)/(COUNTA(Seasons!$A$1:$A1003)+1),1)</f>
        <v>92</v>
      </c>
      <c r="B460" s="20" t="n">
        <f aca="false">MOD(ROW()+1,COUNTA(Seasons!$A$1:$A1003)+1)</f>
        <v>1</v>
      </c>
      <c r="C460" s="20" t="str">
        <f aca="true">"Series "&amp;A460&amp;IF(B460=0,"","/"&amp;INDIRECT(ADDRESS(B460,1,1,TRUE(),"Seasons")))</f>
        <v>Series 92/Summer</v>
      </c>
      <c r="D460" s="17" t="n">
        <f aca="false">IF(B460=0,VLOOKUP(A460,Series!$A$2:B1003,2,FALSE()),D459+IF(B459=0,0,7))</f>
        <v>47059</v>
      </c>
    </row>
    <row r="461" customFormat="false" ht="15.75" hidden="false" customHeight="false" outlineLevel="0" collapsed="false">
      <c r="A461" s="20" t="n">
        <f aca="false">FLOOR((ROW()+1)/(COUNTA(Seasons!$A$1:$A1003)+1),1)</f>
        <v>92</v>
      </c>
      <c r="B461" s="20" t="n">
        <f aca="false">MOD(ROW()+1,COUNTA(Seasons!$A$1:$A1003)+1)</f>
        <v>2</v>
      </c>
      <c r="C461" s="20" t="str">
        <f aca="true">"Series "&amp;A461&amp;IF(B461=0,"","/"&amp;INDIRECT(ADDRESS(B461,1,1,TRUE(),"Seasons")))</f>
        <v>Series 92/Autumn</v>
      </c>
      <c r="D461" s="17" t="n">
        <f aca="false">IF(B461=0,VLOOKUP(A461,Series!$A$2:B1003,2,FALSE()),D460+IF(B460=0,0,7))</f>
        <v>47066</v>
      </c>
    </row>
    <row r="462" customFormat="false" ht="15.75" hidden="false" customHeight="false" outlineLevel="0" collapsed="false">
      <c r="A462" s="20" t="n">
        <f aca="false">FLOOR((ROW()+1)/(COUNTA(Seasons!$A$1:$A1003)+1),1)</f>
        <v>92</v>
      </c>
      <c r="B462" s="20" t="n">
        <f aca="false">MOD(ROW()+1,COUNTA(Seasons!$A$1:$A1003)+1)</f>
        <v>3</v>
      </c>
      <c r="C462" s="20" t="str">
        <f aca="true">"Series "&amp;A462&amp;IF(B462=0,"","/"&amp;INDIRECT(ADDRESS(B462,1,1,TRUE(),"Seasons")))</f>
        <v>Series 92/Winter</v>
      </c>
      <c r="D462" s="17" t="n">
        <f aca="false">IF(B462=0,VLOOKUP(A462,Series!$A$2:B1003,2,FALSE()),D461+IF(B461=0,0,7))</f>
        <v>47073</v>
      </c>
    </row>
    <row r="463" customFormat="false" ht="15.75" hidden="false" customHeight="false" outlineLevel="0" collapsed="false">
      <c r="A463" s="20" t="n">
        <f aca="false">FLOOR((ROW()+1)/(COUNTA(Seasons!$A$1:$A1003)+1),1)</f>
        <v>92</v>
      </c>
      <c r="B463" s="20" t="n">
        <f aca="false">MOD(ROW()+1,COUNTA(Seasons!$A$1:$A1003)+1)</f>
        <v>4</v>
      </c>
      <c r="C463" s="20" t="str">
        <f aca="true">"Series "&amp;A463&amp;IF(B463=0,"","/"&amp;INDIRECT(ADDRESS(B463,1,1,TRUE(),"Seasons")))</f>
        <v>Series 92/Spring</v>
      </c>
      <c r="D463" s="17" t="n">
        <f aca="false">IF(B463=0,VLOOKUP(A463,Series!$A$2:B1003,2,FALSE()),D462+IF(B462=0,0,7))</f>
        <v>47080</v>
      </c>
    </row>
    <row r="464" customFormat="false" ht="15.75" hidden="false" customHeight="false" outlineLevel="0" collapsed="false">
      <c r="A464" s="20" t="n">
        <f aca="false">FLOOR((ROW()+1)/(COUNTA(Seasons!$A$1:$A1003)+1),1)</f>
        <v>93</v>
      </c>
      <c r="B464" s="20" t="n">
        <f aca="false">MOD(ROW()+1,COUNTA(Seasons!$A$1:$A1003)+1)</f>
        <v>0</v>
      </c>
      <c r="C464" s="20" t="str">
        <f aca="true">"Series "&amp;A464&amp;IF(B464=0,"","/"&amp;INDIRECT(ADDRESS(B464,1,1,TRUE(),"Seasons")))</f>
        <v>Series 93</v>
      </c>
      <c r="D464" s="17" t="n">
        <f aca="false">IF(B464=0,VLOOKUP(A464,Series!$A$2:B1003,2,FALSE()),D463+IF(B463=0,0,7))</f>
        <v>47087</v>
      </c>
    </row>
    <row r="465" customFormat="false" ht="15.75" hidden="false" customHeight="false" outlineLevel="0" collapsed="false">
      <c r="A465" s="20" t="n">
        <f aca="false">FLOOR((ROW()+1)/(COUNTA(Seasons!$A$1:$A1003)+1),1)</f>
        <v>93</v>
      </c>
      <c r="B465" s="20" t="n">
        <f aca="false">MOD(ROW()+1,COUNTA(Seasons!$A$1:$A1003)+1)</f>
        <v>1</v>
      </c>
      <c r="C465" s="20" t="str">
        <f aca="true">"Series "&amp;A465&amp;IF(B465=0,"","/"&amp;INDIRECT(ADDRESS(B465,1,1,TRUE(),"Seasons")))</f>
        <v>Series 93/Summer</v>
      </c>
      <c r="D465" s="17" t="n">
        <f aca="false">IF(B465=0,VLOOKUP(A465,Series!$A$2:B1003,2,FALSE()),D464+IF(B464=0,0,7))</f>
        <v>47087</v>
      </c>
    </row>
    <row r="466" customFormat="false" ht="15.75" hidden="false" customHeight="false" outlineLevel="0" collapsed="false">
      <c r="A466" s="20" t="n">
        <f aca="false">FLOOR((ROW()+1)/(COUNTA(Seasons!$A$1:$A1003)+1),1)</f>
        <v>93</v>
      </c>
      <c r="B466" s="20" t="n">
        <f aca="false">MOD(ROW()+1,COUNTA(Seasons!$A$1:$A1003)+1)</f>
        <v>2</v>
      </c>
      <c r="C466" s="20" t="str">
        <f aca="true">"Series "&amp;A466&amp;IF(B466=0,"","/"&amp;INDIRECT(ADDRESS(B466,1,1,TRUE(),"Seasons")))</f>
        <v>Series 93/Autumn</v>
      </c>
      <c r="D466" s="17" t="n">
        <f aca="false">IF(B466=0,VLOOKUP(A466,Series!$A$2:B1003,2,FALSE()),D465+IF(B465=0,0,7))</f>
        <v>47094</v>
      </c>
    </row>
    <row r="467" customFormat="false" ht="15.75" hidden="false" customHeight="false" outlineLevel="0" collapsed="false">
      <c r="A467" s="20" t="n">
        <f aca="false">FLOOR((ROW()+1)/(COUNTA(Seasons!$A$1:$A1003)+1),1)</f>
        <v>93</v>
      </c>
      <c r="B467" s="20" t="n">
        <f aca="false">MOD(ROW()+1,COUNTA(Seasons!$A$1:$A1003)+1)</f>
        <v>3</v>
      </c>
      <c r="C467" s="20" t="str">
        <f aca="true">"Series "&amp;A467&amp;IF(B467=0,"","/"&amp;INDIRECT(ADDRESS(B467,1,1,TRUE(),"Seasons")))</f>
        <v>Series 93/Winter</v>
      </c>
      <c r="D467" s="17" t="n">
        <f aca="false">IF(B467=0,VLOOKUP(A467,Series!$A$2:B1003,2,FALSE()),D466+IF(B466=0,0,7))</f>
        <v>47101</v>
      </c>
    </row>
    <row r="468" customFormat="false" ht="15.75" hidden="false" customHeight="false" outlineLevel="0" collapsed="false">
      <c r="A468" s="20" t="n">
        <f aca="false">FLOOR((ROW()+1)/(COUNTA(Seasons!$A$1:$A1003)+1),1)</f>
        <v>93</v>
      </c>
      <c r="B468" s="20" t="n">
        <f aca="false">MOD(ROW()+1,COUNTA(Seasons!$A$1:$A1003)+1)</f>
        <v>4</v>
      </c>
      <c r="C468" s="20" t="str">
        <f aca="true">"Series "&amp;A468&amp;IF(B468=0,"","/"&amp;INDIRECT(ADDRESS(B468,1,1,TRUE(),"Seasons")))</f>
        <v>Series 93/Spring</v>
      </c>
      <c r="D468" s="17" t="n">
        <f aca="false">IF(B468=0,VLOOKUP(A468,Series!$A$2:B1003,2,FALSE()),D467+IF(B467=0,0,7))</f>
        <v>47108</v>
      </c>
    </row>
    <row r="469" customFormat="false" ht="15.75" hidden="false" customHeight="false" outlineLevel="0" collapsed="false">
      <c r="A469" s="20" t="n">
        <f aca="false">FLOOR((ROW()+1)/(COUNTA(Seasons!$A$1:$A1003)+1),1)</f>
        <v>94</v>
      </c>
      <c r="B469" s="20" t="n">
        <f aca="false">MOD(ROW()+1,COUNTA(Seasons!$A$1:$A1003)+1)</f>
        <v>0</v>
      </c>
      <c r="C469" s="20" t="str">
        <f aca="true">"Series "&amp;A469&amp;IF(B469=0,"","/"&amp;INDIRECT(ADDRESS(B469,1,1,TRUE(),"Seasons")))</f>
        <v>Series 94</v>
      </c>
      <c r="D469" s="17" t="n">
        <f aca="false">IF(B469=0,VLOOKUP(A469,Series!$A$2:B1003,2,FALSE()),D468+IF(B468=0,0,7))</f>
        <v>47115</v>
      </c>
    </row>
    <row r="470" customFormat="false" ht="15.75" hidden="false" customHeight="false" outlineLevel="0" collapsed="false">
      <c r="A470" s="20" t="n">
        <f aca="false">FLOOR((ROW()+1)/(COUNTA(Seasons!$A$1:$A1003)+1),1)</f>
        <v>94</v>
      </c>
      <c r="B470" s="20" t="n">
        <f aca="false">MOD(ROW()+1,COUNTA(Seasons!$A$1:$A1003)+1)</f>
        <v>1</v>
      </c>
      <c r="C470" s="20" t="str">
        <f aca="true">"Series "&amp;A470&amp;IF(B470=0,"","/"&amp;INDIRECT(ADDRESS(B470,1,1,TRUE(),"Seasons")))</f>
        <v>Series 94/Summer</v>
      </c>
      <c r="D470" s="17" t="n">
        <f aca="false">IF(B470=0,VLOOKUP(A470,Series!$A$2:B1003,2,FALSE()),D469+IF(B469=0,0,7))</f>
        <v>47115</v>
      </c>
    </row>
    <row r="471" customFormat="false" ht="15.75" hidden="false" customHeight="false" outlineLevel="0" collapsed="false">
      <c r="A471" s="20" t="n">
        <f aca="false">FLOOR((ROW()+1)/(COUNTA(Seasons!$A$1:$A1003)+1),1)</f>
        <v>94</v>
      </c>
      <c r="B471" s="20" t="n">
        <f aca="false">MOD(ROW()+1,COUNTA(Seasons!$A$1:$A1003)+1)</f>
        <v>2</v>
      </c>
      <c r="C471" s="20" t="str">
        <f aca="true">"Series "&amp;A471&amp;IF(B471=0,"","/"&amp;INDIRECT(ADDRESS(B471,1,1,TRUE(),"Seasons")))</f>
        <v>Series 94/Autumn</v>
      </c>
      <c r="D471" s="17" t="n">
        <f aca="false">IF(B471=0,VLOOKUP(A471,Series!$A$2:B1003,2,FALSE()),D470+IF(B470=0,0,7))</f>
        <v>47122</v>
      </c>
    </row>
    <row r="472" customFormat="false" ht="15.75" hidden="false" customHeight="false" outlineLevel="0" collapsed="false">
      <c r="A472" s="20" t="n">
        <f aca="false">FLOOR((ROW()+1)/(COUNTA(Seasons!$A$1:$A1003)+1),1)</f>
        <v>94</v>
      </c>
      <c r="B472" s="20" t="n">
        <f aca="false">MOD(ROW()+1,COUNTA(Seasons!$A$1:$A1003)+1)</f>
        <v>3</v>
      </c>
      <c r="C472" s="20" t="str">
        <f aca="true">"Series "&amp;A472&amp;IF(B472=0,"","/"&amp;INDIRECT(ADDRESS(B472,1,1,TRUE(),"Seasons")))</f>
        <v>Series 94/Winter</v>
      </c>
      <c r="D472" s="17" t="n">
        <f aca="false">IF(B472=0,VLOOKUP(A472,Series!$A$2:B1003,2,FALSE()),D471+IF(B471=0,0,7))</f>
        <v>47129</v>
      </c>
    </row>
    <row r="473" customFormat="false" ht="15.75" hidden="false" customHeight="false" outlineLevel="0" collapsed="false">
      <c r="A473" s="20" t="n">
        <f aca="false">FLOOR((ROW()+1)/(COUNTA(Seasons!$A$1:$A1003)+1),1)</f>
        <v>94</v>
      </c>
      <c r="B473" s="20" t="n">
        <f aca="false">MOD(ROW()+1,COUNTA(Seasons!$A$1:$A1003)+1)</f>
        <v>4</v>
      </c>
      <c r="C473" s="20" t="str">
        <f aca="true">"Series "&amp;A473&amp;IF(B473=0,"","/"&amp;INDIRECT(ADDRESS(B473,1,1,TRUE(),"Seasons")))</f>
        <v>Series 94/Spring</v>
      </c>
      <c r="D473" s="17" t="n">
        <f aca="false">IF(B473=0,VLOOKUP(A473,Series!$A$2:B1003,2,FALSE()),D472+IF(B472=0,0,7))</f>
        <v>47136</v>
      </c>
    </row>
    <row r="474" customFormat="false" ht="15.75" hidden="false" customHeight="false" outlineLevel="0" collapsed="false">
      <c r="A474" s="20" t="n">
        <f aca="false">FLOOR((ROW()+1)/(COUNTA(Seasons!$A$1:$A1003)+1),1)</f>
        <v>95</v>
      </c>
      <c r="B474" s="20" t="n">
        <f aca="false">MOD(ROW()+1,COUNTA(Seasons!$A$1:$A1003)+1)</f>
        <v>0</v>
      </c>
      <c r="C474" s="20" t="str">
        <f aca="true">"Series "&amp;A474&amp;IF(B474=0,"","/"&amp;INDIRECT(ADDRESS(B474,1,1,TRUE(),"Seasons")))</f>
        <v>Series 95</v>
      </c>
      <c r="D474" s="17" t="n">
        <f aca="false">IF(B474=0,VLOOKUP(A474,Series!$A$2:B1003,2,FALSE()),D473+IF(B473=0,0,7))</f>
        <v>47143</v>
      </c>
    </row>
    <row r="475" customFormat="false" ht="15.75" hidden="false" customHeight="false" outlineLevel="0" collapsed="false">
      <c r="A475" s="20" t="n">
        <f aca="false">FLOOR((ROW()+1)/(COUNTA(Seasons!$A$1:$A1003)+1),1)</f>
        <v>95</v>
      </c>
      <c r="B475" s="20" t="n">
        <f aca="false">MOD(ROW()+1,COUNTA(Seasons!$A$1:$A1003)+1)</f>
        <v>1</v>
      </c>
      <c r="C475" s="20" t="str">
        <f aca="true">"Series "&amp;A475&amp;IF(B475=0,"","/"&amp;INDIRECT(ADDRESS(B475,1,1,TRUE(),"Seasons")))</f>
        <v>Series 95/Summer</v>
      </c>
      <c r="D475" s="17" t="n">
        <f aca="false">IF(B475=0,VLOOKUP(A475,Series!$A$2:B1003,2,FALSE()),D474+IF(B474=0,0,7))</f>
        <v>47143</v>
      </c>
    </row>
    <row r="476" customFormat="false" ht="15.75" hidden="false" customHeight="false" outlineLevel="0" collapsed="false">
      <c r="A476" s="20" t="n">
        <f aca="false">FLOOR((ROW()+1)/(COUNTA(Seasons!$A$1:$A1003)+1),1)</f>
        <v>95</v>
      </c>
      <c r="B476" s="20" t="n">
        <f aca="false">MOD(ROW()+1,COUNTA(Seasons!$A$1:$A1003)+1)</f>
        <v>2</v>
      </c>
      <c r="C476" s="20" t="str">
        <f aca="true">"Series "&amp;A476&amp;IF(B476=0,"","/"&amp;INDIRECT(ADDRESS(B476,1,1,TRUE(),"Seasons")))</f>
        <v>Series 95/Autumn</v>
      </c>
      <c r="D476" s="17" t="n">
        <f aca="false">IF(B476=0,VLOOKUP(A476,Series!$A$2:B1003,2,FALSE()),D475+IF(B475=0,0,7))</f>
        <v>47150</v>
      </c>
    </row>
    <row r="477" customFormat="false" ht="15.75" hidden="false" customHeight="false" outlineLevel="0" collapsed="false">
      <c r="A477" s="20" t="n">
        <f aca="false">FLOOR((ROW()+1)/(COUNTA(Seasons!$A$1:$A1003)+1),1)</f>
        <v>95</v>
      </c>
      <c r="B477" s="20" t="n">
        <f aca="false">MOD(ROW()+1,COUNTA(Seasons!$A$1:$A1003)+1)</f>
        <v>3</v>
      </c>
      <c r="C477" s="20" t="str">
        <f aca="true">"Series "&amp;A477&amp;IF(B477=0,"","/"&amp;INDIRECT(ADDRESS(B477,1,1,TRUE(),"Seasons")))</f>
        <v>Series 95/Winter</v>
      </c>
      <c r="D477" s="17" t="n">
        <f aca="false">IF(B477=0,VLOOKUP(A477,Series!$A$2:B1003,2,FALSE()),D476+IF(B476=0,0,7))</f>
        <v>47157</v>
      </c>
    </row>
    <row r="478" customFormat="false" ht="15.75" hidden="false" customHeight="false" outlineLevel="0" collapsed="false">
      <c r="A478" s="20" t="n">
        <f aca="false">FLOOR((ROW()+1)/(COUNTA(Seasons!$A$1:$A1003)+1),1)</f>
        <v>95</v>
      </c>
      <c r="B478" s="20" t="n">
        <f aca="false">MOD(ROW()+1,COUNTA(Seasons!$A$1:$A1003)+1)</f>
        <v>4</v>
      </c>
      <c r="C478" s="20" t="str">
        <f aca="true">"Series "&amp;A478&amp;IF(B478=0,"","/"&amp;INDIRECT(ADDRESS(B478,1,1,TRUE(),"Seasons")))</f>
        <v>Series 95/Spring</v>
      </c>
      <c r="D478" s="17" t="n">
        <f aca="false">IF(B478=0,VLOOKUP(A478,Series!$A$2:B1003,2,FALSE()),D477+IF(B477=0,0,7))</f>
        <v>47164</v>
      </c>
    </row>
    <row r="479" customFormat="false" ht="15.75" hidden="false" customHeight="false" outlineLevel="0" collapsed="false">
      <c r="A479" s="20" t="n">
        <f aca="false">FLOOR((ROW()+1)/(COUNTA(Seasons!$A$1:$A1003)+1),1)</f>
        <v>96</v>
      </c>
      <c r="B479" s="20" t="n">
        <f aca="false">MOD(ROW()+1,COUNTA(Seasons!$A$1:$A1003)+1)</f>
        <v>0</v>
      </c>
      <c r="C479" s="20" t="str">
        <f aca="true">"Series "&amp;A479&amp;IF(B479=0,"","/"&amp;INDIRECT(ADDRESS(B479,1,1,TRUE(),"Seasons")))</f>
        <v>Series 96</v>
      </c>
      <c r="D479" s="17" t="n">
        <f aca="false">IF(B479=0,VLOOKUP(A479,Series!$A$2:B1003,2,FALSE()),D478+IF(B478=0,0,7))</f>
        <v>47171</v>
      </c>
    </row>
    <row r="480" customFormat="false" ht="15.75" hidden="false" customHeight="false" outlineLevel="0" collapsed="false">
      <c r="A480" s="20" t="n">
        <f aca="false">FLOOR((ROW()+1)/(COUNTA(Seasons!$A$1:$A1003)+1),1)</f>
        <v>96</v>
      </c>
      <c r="B480" s="20" t="n">
        <f aca="false">MOD(ROW()+1,COUNTA(Seasons!$A$1:$A1003)+1)</f>
        <v>1</v>
      </c>
      <c r="C480" s="20" t="str">
        <f aca="true">"Series "&amp;A480&amp;IF(B480=0,"","/"&amp;INDIRECT(ADDRESS(B480,1,1,TRUE(),"Seasons")))</f>
        <v>Series 96/Summer</v>
      </c>
      <c r="D480" s="17" t="n">
        <f aca="false">IF(B480=0,VLOOKUP(A480,Series!$A$2:B1003,2,FALSE()),D479+IF(B479=0,0,7))</f>
        <v>47171</v>
      </c>
    </row>
    <row r="481" customFormat="false" ht="15.75" hidden="false" customHeight="false" outlineLevel="0" collapsed="false">
      <c r="A481" s="20" t="n">
        <f aca="false">FLOOR((ROW()+1)/(COUNTA(Seasons!$A$1:$A1003)+1),1)</f>
        <v>96</v>
      </c>
      <c r="B481" s="20" t="n">
        <f aca="false">MOD(ROW()+1,COUNTA(Seasons!$A$1:$A1003)+1)</f>
        <v>2</v>
      </c>
      <c r="C481" s="20" t="str">
        <f aca="true">"Series "&amp;A481&amp;IF(B481=0,"","/"&amp;INDIRECT(ADDRESS(B481,1,1,TRUE(),"Seasons")))</f>
        <v>Series 96/Autumn</v>
      </c>
      <c r="D481" s="17" t="n">
        <f aca="false">IF(B481=0,VLOOKUP(A481,Series!$A$2:B1003,2,FALSE()),D480+IF(B480=0,0,7))</f>
        <v>47178</v>
      </c>
    </row>
    <row r="482" customFormat="false" ht="15.75" hidden="false" customHeight="false" outlineLevel="0" collapsed="false">
      <c r="A482" s="20" t="n">
        <f aca="false">FLOOR((ROW()+1)/(COUNTA(Seasons!$A$1:$A1003)+1),1)</f>
        <v>96</v>
      </c>
      <c r="B482" s="20" t="n">
        <f aca="false">MOD(ROW()+1,COUNTA(Seasons!$A$1:$A1003)+1)</f>
        <v>3</v>
      </c>
      <c r="C482" s="20" t="str">
        <f aca="true">"Series "&amp;A482&amp;IF(B482=0,"","/"&amp;INDIRECT(ADDRESS(B482,1,1,TRUE(),"Seasons")))</f>
        <v>Series 96/Winter</v>
      </c>
      <c r="D482" s="17" t="n">
        <f aca="false">IF(B482=0,VLOOKUP(A482,Series!$A$2:B1003,2,FALSE()),D481+IF(B481=0,0,7))</f>
        <v>47185</v>
      </c>
    </row>
    <row r="483" customFormat="false" ht="15.75" hidden="false" customHeight="false" outlineLevel="0" collapsed="false">
      <c r="A483" s="20" t="n">
        <f aca="false">FLOOR((ROW()+1)/(COUNTA(Seasons!$A$1:$A1003)+1),1)</f>
        <v>96</v>
      </c>
      <c r="B483" s="20" t="n">
        <f aca="false">MOD(ROW()+1,COUNTA(Seasons!$A$1:$A1003)+1)</f>
        <v>4</v>
      </c>
      <c r="C483" s="20" t="str">
        <f aca="true">"Series "&amp;A483&amp;IF(B483=0,"","/"&amp;INDIRECT(ADDRESS(B483,1,1,TRUE(),"Seasons")))</f>
        <v>Series 96/Spring</v>
      </c>
      <c r="D483" s="17" t="n">
        <f aca="false">IF(B483=0,VLOOKUP(A483,Series!$A$2:B1003,2,FALSE()),D482+IF(B482=0,0,7))</f>
        <v>47192</v>
      </c>
    </row>
    <row r="484" customFormat="false" ht="15.75" hidden="false" customHeight="false" outlineLevel="0" collapsed="false">
      <c r="A484" s="20" t="n">
        <f aca="false">FLOOR((ROW()+1)/(COUNTA(Seasons!$A$1:$A1003)+1),1)</f>
        <v>97</v>
      </c>
      <c r="B484" s="20" t="n">
        <f aca="false">MOD(ROW()+1,COUNTA(Seasons!$A$1:$A1003)+1)</f>
        <v>0</v>
      </c>
      <c r="C484" s="20" t="str">
        <f aca="true">"Series "&amp;A484&amp;IF(B484=0,"","/"&amp;INDIRECT(ADDRESS(B484,1,1,TRUE(),"Seasons")))</f>
        <v>Series 97</v>
      </c>
      <c r="D484" s="17" t="n">
        <f aca="false">IF(B484=0,VLOOKUP(A484,Series!$A$2:B1003,2,FALSE()),D483+IF(B483=0,0,7))</f>
        <v>47199</v>
      </c>
    </row>
    <row r="485" customFormat="false" ht="15.75" hidden="false" customHeight="false" outlineLevel="0" collapsed="false">
      <c r="A485" s="20" t="n">
        <f aca="false">FLOOR((ROW()+1)/(COUNTA(Seasons!$A$1:$A1003)+1),1)</f>
        <v>97</v>
      </c>
      <c r="B485" s="20" t="n">
        <f aca="false">MOD(ROW()+1,COUNTA(Seasons!$A$1:$A1003)+1)</f>
        <v>1</v>
      </c>
      <c r="C485" s="20" t="str">
        <f aca="true">"Series "&amp;A485&amp;IF(B485=0,"","/"&amp;INDIRECT(ADDRESS(B485,1,1,TRUE(),"Seasons")))</f>
        <v>Series 97/Summer</v>
      </c>
      <c r="D485" s="17" t="n">
        <f aca="false">IF(B485=0,VLOOKUP(A485,Series!$A$2:B1003,2,FALSE()),D484+IF(B484=0,0,7))</f>
        <v>47199</v>
      </c>
    </row>
    <row r="486" customFormat="false" ht="15.75" hidden="false" customHeight="false" outlineLevel="0" collapsed="false">
      <c r="A486" s="20" t="n">
        <f aca="false">FLOOR((ROW()+1)/(COUNTA(Seasons!$A$1:$A1003)+1),1)</f>
        <v>97</v>
      </c>
      <c r="B486" s="20" t="n">
        <f aca="false">MOD(ROW()+1,COUNTA(Seasons!$A$1:$A1003)+1)</f>
        <v>2</v>
      </c>
      <c r="C486" s="20" t="str">
        <f aca="true">"Series "&amp;A486&amp;IF(B486=0,"","/"&amp;INDIRECT(ADDRESS(B486,1,1,TRUE(),"Seasons")))</f>
        <v>Series 97/Autumn</v>
      </c>
      <c r="D486" s="17" t="n">
        <f aca="false">IF(B486=0,VLOOKUP(A486,Series!$A$2:B1003,2,FALSE()),D485+IF(B485=0,0,7))</f>
        <v>47206</v>
      </c>
    </row>
    <row r="487" customFormat="false" ht="15.75" hidden="false" customHeight="false" outlineLevel="0" collapsed="false">
      <c r="A487" s="20" t="n">
        <f aca="false">FLOOR((ROW()+1)/(COUNTA(Seasons!$A$1:$A1003)+1),1)</f>
        <v>97</v>
      </c>
      <c r="B487" s="20" t="n">
        <f aca="false">MOD(ROW()+1,COUNTA(Seasons!$A$1:$A1003)+1)</f>
        <v>3</v>
      </c>
      <c r="C487" s="20" t="str">
        <f aca="true">"Series "&amp;A487&amp;IF(B487=0,"","/"&amp;INDIRECT(ADDRESS(B487,1,1,TRUE(),"Seasons")))</f>
        <v>Series 97/Winter</v>
      </c>
      <c r="D487" s="17" t="n">
        <f aca="false">IF(B487=0,VLOOKUP(A487,Series!$A$2:B1003,2,FALSE()),D486+IF(B486=0,0,7))</f>
        <v>47213</v>
      </c>
    </row>
    <row r="488" customFormat="false" ht="15.75" hidden="false" customHeight="false" outlineLevel="0" collapsed="false">
      <c r="A488" s="20" t="n">
        <f aca="false">FLOOR((ROW()+1)/(COUNTA(Seasons!$A$1:$A1003)+1),1)</f>
        <v>97</v>
      </c>
      <c r="B488" s="20" t="n">
        <f aca="false">MOD(ROW()+1,COUNTA(Seasons!$A$1:$A1003)+1)</f>
        <v>4</v>
      </c>
      <c r="C488" s="20" t="str">
        <f aca="true">"Series "&amp;A488&amp;IF(B488=0,"","/"&amp;INDIRECT(ADDRESS(B488,1,1,TRUE(),"Seasons")))</f>
        <v>Series 97/Spring</v>
      </c>
      <c r="D488" s="17" t="n">
        <f aca="false">IF(B488=0,VLOOKUP(A488,Series!$A$2:B1003,2,FALSE()),D487+IF(B487=0,0,7))</f>
        <v>47220</v>
      </c>
    </row>
    <row r="489" customFormat="false" ht="15.75" hidden="false" customHeight="false" outlineLevel="0" collapsed="false">
      <c r="A489" s="20" t="n">
        <f aca="false">FLOOR((ROW()+1)/(COUNTA(Seasons!$A$1:$A1003)+1),1)</f>
        <v>98</v>
      </c>
      <c r="B489" s="20" t="n">
        <f aca="false">MOD(ROW()+1,COUNTA(Seasons!$A$1:$A1003)+1)</f>
        <v>0</v>
      </c>
      <c r="C489" s="20" t="str">
        <f aca="true">"Series "&amp;A489&amp;IF(B489=0,"","/"&amp;INDIRECT(ADDRESS(B489,1,1,TRUE(),"Seasons")))</f>
        <v>Series 98</v>
      </c>
      <c r="D489" s="17" t="n">
        <f aca="false">IF(B489=0,VLOOKUP(A489,Series!$A$2:B1003,2,FALSE()),D488+IF(B488=0,0,7))</f>
        <v>47227</v>
      </c>
    </row>
    <row r="490" customFormat="false" ht="15.75" hidden="false" customHeight="false" outlineLevel="0" collapsed="false">
      <c r="A490" s="20" t="n">
        <f aca="false">FLOOR((ROW()+1)/(COUNTA(Seasons!$A$1:$A1003)+1),1)</f>
        <v>98</v>
      </c>
      <c r="B490" s="20" t="n">
        <f aca="false">MOD(ROW()+1,COUNTA(Seasons!$A$1:$A1003)+1)</f>
        <v>1</v>
      </c>
      <c r="C490" s="20" t="str">
        <f aca="true">"Series "&amp;A490&amp;IF(B490=0,"","/"&amp;INDIRECT(ADDRESS(B490,1,1,TRUE(),"Seasons")))</f>
        <v>Series 98/Summer</v>
      </c>
      <c r="D490" s="17" t="n">
        <f aca="false">IF(B490=0,VLOOKUP(A490,Series!$A$2:B1003,2,FALSE()),D489+IF(B489=0,0,7))</f>
        <v>47227</v>
      </c>
    </row>
    <row r="491" customFormat="false" ht="15.75" hidden="false" customHeight="false" outlineLevel="0" collapsed="false">
      <c r="A491" s="20" t="n">
        <f aca="false">FLOOR((ROW()+1)/(COUNTA(Seasons!$A$1:$A1003)+1),1)</f>
        <v>98</v>
      </c>
      <c r="B491" s="20" t="n">
        <f aca="false">MOD(ROW()+1,COUNTA(Seasons!$A$1:$A1003)+1)</f>
        <v>2</v>
      </c>
      <c r="C491" s="20" t="str">
        <f aca="true">"Series "&amp;A491&amp;IF(B491=0,"","/"&amp;INDIRECT(ADDRESS(B491,1,1,TRUE(),"Seasons")))</f>
        <v>Series 98/Autumn</v>
      </c>
      <c r="D491" s="17" t="n">
        <f aca="false">IF(B491=0,VLOOKUP(A491,Series!$A$2:B1003,2,FALSE()),D490+IF(B490=0,0,7))</f>
        <v>47234</v>
      </c>
    </row>
    <row r="492" customFormat="false" ht="15.75" hidden="false" customHeight="false" outlineLevel="0" collapsed="false">
      <c r="A492" s="20" t="n">
        <f aca="false">FLOOR((ROW()+1)/(COUNTA(Seasons!$A$1:$A1003)+1),1)</f>
        <v>98</v>
      </c>
      <c r="B492" s="20" t="n">
        <f aca="false">MOD(ROW()+1,COUNTA(Seasons!$A$1:$A1003)+1)</f>
        <v>3</v>
      </c>
      <c r="C492" s="20" t="str">
        <f aca="true">"Series "&amp;A492&amp;IF(B492=0,"","/"&amp;INDIRECT(ADDRESS(B492,1,1,TRUE(),"Seasons")))</f>
        <v>Series 98/Winter</v>
      </c>
      <c r="D492" s="17" t="n">
        <f aca="false">IF(B492=0,VLOOKUP(A492,Series!$A$2:B1003,2,FALSE()),D491+IF(B491=0,0,7))</f>
        <v>47241</v>
      </c>
    </row>
    <row r="493" customFormat="false" ht="15.75" hidden="false" customHeight="false" outlineLevel="0" collapsed="false">
      <c r="A493" s="20" t="n">
        <f aca="false">FLOOR((ROW()+1)/(COUNTA(Seasons!$A$1:$A1003)+1),1)</f>
        <v>98</v>
      </c>
      <c r="B493" s="20" t="n">
        <f aca="false">MOD(ROW()+1,COUNTA(Seasons!$A$1:$A1003)+1)</f>
        <v>4</v>
      </c>
      <c r="C493" s="20" t="str">
        <f aca="true">"Series "&amp;A493&amp;IF(B493=0,"","/"&amp;INDIRECT(ADDRESS(B493,1,1,TRUE(),"Seasons")))</f>
        <v>Series 98/Spring</v>
      </c>
      <c r="D493" s="17" t="n">
        <f aca="false">IF(B493=0,VLOOKUP(A493,Series!$A$2:B1003,2,FALSE()),D492+IF(B492=0,0,7))</f>
        <v>47248</v>
      </c>
    </row>
    <row r="494" customFormat="false" ht="15.75" hidden="false" customHeight="false" outlineLevel="0" collapsed="false">
      <c r="A494" s="20" t="n">
        <f aca="false">FLOOR((ROW()+1)/(COUNTA(Seasons!$A$1:$A1003)+1),1)</f>
        <v>99</v>
      </c>
      <c r="B494" s="20" t="n">
        <f aca="false">MOD(ROW()+1,COUNTA(Seasons!$A$1:$A1003)+1)</f>
        <v>0</v>
      </c>
      <c r="C494" s="20" t="str">
        <f aca="true">"Series "&amp;A494&amp;IF(B494=0,"","/"&amp;INDIRECT(ADDRESS(B494,1,1,TRUE(),"Seasons")))</f>
        <v>Series 99</v>
      </c>
      <c r="D494" s="17" t="n">
        <f aca="false">IF(B494=0,VLOOKUP(A494,Series!$A$2:B1003,2,FALSE()),D493+IF(B493=0,0,7))</f>
        <v>47255</v>
      </c>
    </row>
    <row r="495" customFormat="false" ht="15.75" hidden="false" customHeight="false" outlineLevel="0" collapsed="false">
      <c r="A495" s="20" t="n">
        <f aca="false">FLOOR((ROW()+1)/(COUNTA(Seasons!$A$1:$A1003)+1),1)</f>
        <v>99</v>
      </c>
      <c r="B495" s="20" t="n">
        <f aca="false">MOD(ROW()+1,COUNTA(Seasons!$A$1:$A1003)+1)</f>
        <v>1</v>
      </c>
      <c r="C495" s="20" t="str">
        <f aca="true">"Series "&amp;A495&amp;IF(B495=0,"","/"&amp;INDIRECT(ADDRESS(B495,1,1,TRUE(),"Seasons")))</f>
        <v>Series 99/Summer</v>
      </c>
      <c r="D495" s="17" t="n">
        <f aca="false">IF(B495=0,VLOOKUP(A495,Series!$A$2:B1003,2,FALSE()),D494+IF(B494=0,0,7))</f>
        <v>47255</v>
      </c>
    </row>
    <row r="496" customFormat="false" ht="15.75" hidden="false" customHeight="false" outlineLevel="0" collapsed="false">
      <c r="A496" s="20" t="n">
        <f aca="false">FLOOR((ROW()+1)/(COUNTA(Seasons!$A$1:$A1003)+1),1)</f>
        <v>99</v>
      </c>
      <c r="B496" s="20" t="n">
        <f aca="false">MOD(ROW()+1,COUNTA(Seasons!$A$1:$A1003)+1)</f>
        <v>2</v>
      </c>
      <c r="C496" s="20" t="str">
        <f aca="true">"Series "&amp;A496&amp;IF(B496=0,"","/"&amp;INDIRECT(ADDRESS(B496,1,1,TRUE(),"Seasons")))</f>
        <v>Series 99/Autumn</v>
      </c>
      <c r="D496" s="17" t="n">
        <f aca="false">IF(B496=0,VLOOKUP(A496,Series!$A$2:B1003,2,FALSE()),D495+IF(B495=0,0,7))</f>
        <v>47262</v>
      </c>
    </row>
    <row r="497" customFormat="false" ht="15.75" hidden="false" customHeight="false" outlineLevel="0" collapsed="false">
      <c r="A497" s="20" t="n">
        <f aca="false">FLOOR((ROW()+1)/(COUNTA(Seasons!$A$1:$A1003)+1),1)</f>
        <v>99</v>
      </c>
      <c r="B497" s="20" t="n">
        <f aca="false">MOD(ROW()+1,COUNTA(Seasons!$A$1:$A1003)+1)</f>
        <v>3</v>
      </c>
      <c r="C497" s="20" t="str">
        <f aca="true">"Series "&amp;A497&amp;IF(B497=0,"","/"&amp;INDIRECT(ADDRESS(B497,1,1,TRUE(),"Seasons")))</f>
        <v>Series 99/Winter</v>
      </c>
      <c r="D497" s="17" t="n">
        <f aca="false">IF(B497=0,VLOOKUP(A497,Series!$A$2:B1003,2,FALSE()),D496+IF(B496=0,0,7))</f>
        <v>47269</v>
      </c>
    </row>
    <row r="498" customFormat="false" ht="15.75" hidden="false" customHeight="false" outlineLevel="0" collapsed="false">
      <c r="A498" s="20" t="n">
        <f aca="false">FLOOR((ROW()+1)/(COUNTA(Seasons!$A$1:$A1003)+1),1)</f>
        <v>99</v>
      </c>
      <c r="B498" s="20" t="n">
        <f aca="false">MOD(ROW()+1,COUNTA(Seasons!$A$1:$A1003)+1)</f>
        <v>4</v>
      </c>
      <c r="C498" s="20" t="str">
        <f aca="true">"Series "&amp;A498&amp;IF(B498=0,"","/"&amp;INDIRECT(ADDRESS(B498,1,1,TRUE(),"Seasons")))</f>
        <v>Series 99/Spring</v>
      </c>
      <c r="D498" s="17" t="n">
        <f aca="false">IF(B498=0,VLOOKUP(A498,Series!$A$2:B1003,2,FALSE()),D497+IF(B497=0,0,7))</f>
        <v>47276</v>
      </c>
    </row>
  </sheetData>
  <conditionalFormatting sqref="D2:D1003">
    <cfRule type="expression" priority="2" aboveAverage="0" equalAverage="0" bottom="0" percent="0" rank="0" text="" dxfId="13">
      <formula>D2+TIME(16,30,0)&gt;NOW()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8" t="s">
        <v>1849</v>
      </c>
    </row>
    <row r="2" customFormat="false" ht="15.75" hidden="false" customHeight="false" outlineLevel="0" collapsed="false">
      <c r="A2" s="8" t="s">
        <v>1850</v>
      </c>
    </row>
    <row r="3" customFormat="false" ht="15.75" hidden="false" customHeight="false" outlineLevel="0" collapsed="false">
      <c r="A3" s="8" t="s">
        <v>1851</v>
      </c>
    </row>
    <row r="4" customFormat="false" ht="15.75" hidden="false" customHeight="false" outlineLevel="0" collapsed="false">
      <c r="A4" s="8" t="s">
        <v>1852</v>
      </c>
    </row>
    <row r="5" customFormat="false" ht="15.75" hidden="false" customHeight="false" outlineLevel="0" collapsed="false">
      <c r="A5" s="8" t="s">
        <v>1853</v>
      </c>
    </row>
    <row r="6" customFormat="false" ht="15.75" hidden="false" customHeight="false" outlineLevel="0" collapsed="false">
      <c r="A6" s="8" t="s">
        <v>1854</v>
      </c>
    </row>
    <row r="7" customFormat="false" ht="15.75" hidden="false" customHeight="false" outlineLevel="0" collapsed="false">
      <c r="A7" s="8" t="s">
        <v>1855</v>
      </c>
    </row>
    <row r="8" customFormat="false" ht="15.75" hidden="false" customHeight="false" outlineLevel="0" collapsed="false">
      <c r="A8" s="8" t="s">
        <v>1856</v>
      </c>
    </row>
    <row r="9" customFormat="false" ht="15.75" hidden="false" customHeight="false" outlineLevel="0" collapsed="false">
      <c r="A9" s="8" t="s">
        <v>1857</v>
      </c>
    </row>
    <row r="10" customFormat="false" ht="15.75" hidden="false" customHeight="false" outlineLevel="0" collapsed="false">
      <c r="A10" s="8" t="s">
        <v>1858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8" t="s">
        <v>1859</v>
      </c>
    </row>
    <row r="2" customFormat="false" ht="15.75" hidden="false" customHeight="false" outlineLevel="0" collapsed="false">
      <c r="A2" s="8" t="s">
        <v>1860</v>
      </c>
    </row>
    <row r="3" customFormat="false" ht="15.75" hidden="false" customHeight="false" outlineLevel="0" collapsed="false">
      <c r="A3" s="8" t="s">
        <v>1861</v>
      </c>
    </row>
    <row r="4" customFormat="false" ht="15.75" hidden="false" customHeight="false" outlineLevel="0" collapsed="false">
      <c r="A4" s="8" t="s">
        <v>1862</v>
      </c>
    </row>
    <row r="5" customFormat="false" ht="15.75" hidden="false" customHeight="false" outlineLevel="0" collapsed="false">
      <c r="A5" s="8" t="s">
        <v>1863</v>
      </c>
    </row>
    <row r="6" customFormat="false" ht="15.75" hidden="false" customHeight="false" outlineLevel="0" collapsed="false">
      <c r="A6" s="8" t="s">
        <v>1864</v>
      </c>
    </row>
    <row r="7" customFormat="false" ht="15.75" hidden="false" customHeight="false" outlineLevel="0" collapsed="false">
      <c r="A7" s="8" t="s">
        <v>1865</v>
      </c>
    </row>
    <row r="8" customFormat="false" ht="15.75" hidden="false" customHeight="false" outlineLevel="0" collapsed="false">
      <c r="A8" s="8" t="s">
        <v>1866</v>
      </c>
    </row>
    <row r="9" customFormat="false" ht="15.75" hidden="false" customHeight="false" outlineLevel="0" collapsed="false">
      <c r="A9" s="8" t="s">
        <v>1867</v>
      </c>
    </row>
    <row r="10" customFormat="false" ht="15.75" hidden="false" customHeight="false" outlineLevel="0" collapsed="false">
      <c r="A10" s="8" t="s">
        <v>1868</v>
      </c>
    </row>
    <row r="11" customFormat="false" ht="15.75" hidden="false" customHeight="false" outlineLevel="0" collapsed="false">
      <c r="A11" s="8" t="s">
        <v>1869</v>
      </c>
    </row>
    <row r="12" customFormat="false" ht="15.75" hidden="false" customHeight="false" outlineLevel="0" collapsed="false">
      <c r="A12" s="8" t="s">
        <v>1870</v>
      </c>
    </row>
    <row r="13" customFormat="false" ht="15.75" hidden="false" customHeight="false" outlineLevel="0" collapsed="false">
      <c r="A13" s="8" t="s">
        <v>1871</v>
      </c>
    </row>
    <row r="14" customFormat="false" ht="15.75" hidden="false" customHeight="false" outlineLevel="0" collapsed="false">
      <c r="A14" s="8" t="s">
        <v>1872</v>
      </c>
    </row>
    <row r="15" customFormat="false" ht="15.75" hidden="false" customHeight="false" outlineLevel="0" collapsed="false">
      <c r="A15" s="8" t="s">
        <v>1873</v>
      </c>
    </row>
    <row r="16" customFormat="false" ht="15.75" hidden="false" customHeight="false" outlineLevel="0" collapsed="false">
      <c r="A16" s="8" t="s">
        <v>1874</v>
      </c>
    </row>
    <row r="17" customFormat="false" ht="15.75" hidden="false" customHeight="false" outlineLevel="0" collapsed="false">
      <c r="A17" s="8" t="s">
        <v>1875</v>
      </c>
    </row>
    <row r="18" customFormat="false" ht="15.75" hidden="false" customHeight="false" outlineLevel="0" collapsed="false">
      <c r="A18" s="8" t="s">
        <v>1876</v>
      </c>
    </row>
    <row r="19" customFormat="false" ht="15.75" hidden="false" customHeight="false" outlineLevel="0" collapsed="false">
      <c r="A19" s="8" t="s">
        <v>1877</v>
      </c>
    </row>
    <row r="20" customFormat="false" ht="15.75" hidden="false" customHeight="false" outlineLevel="0" collapsed="false">
      <c r="A20" s="8" t="s">
        <v>1878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cols>
    <col collapsed="false" customWidth="true" hidden="false" outlineLevel="0" max="3" min="3" style="0" width="24.38"/>
  </cols>
  <sheetData>
    <row r="1" customFormat="false" ht="15.75" hidden="false" customHeight="false" outlineLevel="0" collapsed="false">
      <c r="A1" s="8" t="s">
        <v>1879</v>
      </c>
      <c r="B1" s="8" t="s">
        <v>1796</v>
      </c>
      <c r="C1" s="8" t="s">
        <v>0</v>
      </c>
    </row>
    <row r="2" customFormat="false" ht="15.75" hidden="false" customHeight="false" outlineLevel="0" collapsed="false">
      <c r="A2" s="8" t="n">
        <f aca="false">ROW()-2</f>
        <v>0</v>
      </c>
      <c r="B2" s="16" t="n">
        <v>44505</v>
      </c>
      <c r="C2" s="8" t="s">
        <v>1880</v>
      </c>
    </row>
    <row r="3" customFormat="false" ht="15.75" hidden="false" customHeight="false" outlineLevel="0" collapsed="false">
      <c r="A3" s="8" t="n">
        <f aca="false">ROW()-2</f>
        <v>1</v>
      </c>
      <c r="B3" s="16" t="n">
        <v>44511</v>
      </c>
      <c r="C3" s="8" t="s">
        <v>1881</v>
      </c>
    </row>
    <row r="4" customFormat="false" ht="15.75" hidden="false" customHeight="false" outlineLevel="0" collapsed="false">
      <c r="A4" s="8" t="n">
        <f aca="false">ROW()-2</f>
        <v>2</v>
      </c>
      <c r="B4" s="16" t="n">
        <f aca="false">B3+28</f>
        <v>44539</v>
      </c>
      <c r="C4" s="8" t="s">
        <v>1882</v>
      </c>
    </row>
    <row r="5" customFormat="false" ht="15.75" hidden="false" customHeight="false" outlineLevel="0" collapsed="false">
      <c r="A5" s="8" t="n">
        <f aca="false">ROW()-2</f>
        <v>3</v>
      </c>
      <c r="B5" s="16" t="n">
        <f aca="false">B4+28</f>
        <v>44567</v>
      </c>
      <c r="C5" s="8" t="s">
        <v>1883</v>
      </c>
    </row>
    <row r="6" customFormat="false" ht="15.75" hidden="false" customHeight="false" outlineLevel="0" collapsed="false">
      <c r="A6" s="8" t="n">
        <f aca="false">ROW()-2</f>
        <v>4</v>
      </c>
      <c r="B6" s="16" t="n">
        <f aca="false">B5+28</f>
        <v>44595</v>
      </c>
      <c r="C6" s="8" t="s">
        <v>1884</v>
      </c>
    </row>
    <row r="7" customFormat="false" ht="15.75" hidden="false" customHeight="false" outlineLevel="0" collapsed="false">
      <c r="A7" s="8" t="n">
        <f aca="false">ROW()-2</f>
        <v>5</v>
      </c>
      <c r="B7" s="16" t="n">
        <f aca="false">B6+28</f>
        <v>44623</v>
      </c>
      <c r="C7" s="8" t="s">
        <v>1885</v>
      </c>
    </row>
    <row r="8" customFormat="false" ht="15.75" hidden="false" customHeight="false" outlineLevel="0" collapsed="false">
      <c r="A8" s="8" t="n">
        <f aca="false">ROW()-2</f>
        <v>6</v>
      </c>
      <c r="B8" s="16" t="n">
        <f aca="false">B7+28</f>
        <v>44651</v>
      </c>
      <c r="C8" s="8" t="s">
        <v>1886</v>
      </c>
    </row>
    <row r="9" customFormat="false" ht="15.75" hidden="false" customHeight="false" outlineLevel="0" collapsed="false">
      <c r="A9" s="8" t="n">
        <f aca="false">ROW()-2</f>
        <v>7</v>
      </c>
      <c r="B9" s="16" t="n">
        <f aca="false">B8+28</f>
        <v>44679</v>
      </c>
      <c r="C9" s="8" t="s">
        <v>1887</v>
      </c>
    </row>
    <row r="10" customFormat="false" ht="15.75" hidden="false" customHeight="false" outlineLevel="0" collapsed="false">
      <c r="A10" s="8" t="n">
        <f aca="false">ROW()-2</f>
        <v>8</v>
      </c>
      <c r="B10" s="16" t="n">
        <f aca="false">B9+28</f>
        <v>44707</v>
      </c>
      <c r="C10" s="8" t="s">
        <v>1888</v>
      </c>
    </row>
    <row r="11" customFormat="false" ht="15.75" hidden="false" customHeight="false" outlineLevel="0" collapsed="false">
      <c r="A11" s="8" t="n">
        <f aca="false">ROW()-2</f>
        <v>9</v>
      </c>
      <c r="B11" s="16" t="n">
        <f aca="false">B10+28</f>
        <v>44735</v>
      </c>
      <c r="C11" s="8" t="s">
        <v>872</v>
      </c>
    </row>
    <row r="12" customFormat="false" ht="15.75" hidden="false" customHeight="false" outlineLevel="0" collapsed="false">
      <c r="A12" s="8" t="n">
        <f aca="false">ROW()-2</f>
        <v>10</v>
      </c>
      <c r="B12" s="16" t="n">
        <f aca="false">B11+28</f>
        <v>44763</v>
      </c>
      <c r="C12" s="8" t="s">
        <v>469</v>
      </c>
    </row>
    <row r="13" customFormat="false" ht="15.75" hidden="false" customHeight="false" outlineLevel="0" collapsed="false">
      <c r="A13" s="8" t="n">
        <f aca="false">ROW()-2</f>
        <v>11</v>
      </c>
      <c r="B13" s="16" t="n">
        <f aca="false">B12+28</f>
        <v>44791</v>
      </c>
      <c r="C13" s="8" t="s">
        <v>1889</v>
      </c>
    </row>
    <row r="14" customFormat="false" ht="15.75" hidden="false" customHeight="false" outlineLevel="0" collapsed="false">
      <c r="A14" s="8" t="n">
        <f aca="false">ROW()-2</f>
        <v>12</v>
      </c>
      <c r="B14" s="16" t="n">
        <f aca="false">B13+28</f>
        <v>44819</v>
      </c>
      <c r="C14" s="8" t="s">
        <v>1890</v>
      </c>
    </row>
    <row r="15" customFormat="false" ht="15.75" hidden="false" customHeight="false" outlineLevel="0" collapsed="false">
      <c r="A15" s="8" t="n">
        <f aca="false">ROW()-2</f>
        <v>13</v>
      </c>
      <c r="B15" s="16" t="n">
        <f aca="false">B14+28</f>
        <v>44847</v>
      </c>
      <c r="C15" s="8" t="s">
        <v>1891</v>
      </c>
    </row>
    <row r="16" customFormat="false" ht="15.75" hidden="false" customHeight="false" outlineLevel="0" collapsed="false">
      <c r="A16" s="8" t="n">
        <f aca="false">ROW()-2</f>
        <v>14</v>
      </c>
      <c r="B16" s="16" t="n">
        <f aca="false">B15+28</f>
        <v>44875</v>
      </c>
      <c r="C16" s="8" t="s">
        <v>1892</v>
      </c>
    </row>
    <row r="17" customFormat="false" ht="15.75" hidden="false" customHeight="false" outlineLevel="0" collapsed="false">
      <c r="A17" s="8" t="n">
        <f aca="false">ROW()-2</f>
        <v>15</v>
      </c>
      <c r="B17" s="16" t="n">
        <f aca="false">B16+28</f>
        <v>44903</v>
      </c>
      <c r="C17" s="8" t="s">
        <v>1893</v>
      </c>
    </row>
    <row r="18" customFormat="false" ht="15.75" hidden="false" customHeight="false" outlineLevel="0" collapsed="false">
      <c r="A18" s="8" t="n">
        <f aca="false">ROW()-2</f>
        <v>16</v>
      </c>
      <c r="B18" s="16" t="n">
        <f aca="false">B17+28</f>
        <v>44931</v>
      </c>
      <c r="C18" s="8" t="s">
        <v>1894</v>
      </c>
    </row>
    <row r="19" customFormat="false" ht="15.75" hidden="false" customHeight="false" outlineLevel="0" collapsed="false">
      <c r="A19" s="8" t="n">
        <f aca="false">ROW()-2</f>
        <v>17</v>
      </c>
      <c r="B19" s="16" t="n">
        <f aca="false">B18+28</f>
        <v>44959</v>
      </c>
      <c r="C19" s="8" t="s">
        <v>1895</v>
      </c>
    </row>
    <row r="20" customFormat="false" ht="15.75" hidden="false" customHeight="false" outlineLevel="0" collapsed="false">
      <c r="A20" s="8" t="n">
        <f aca="false">ROW()-2</f>
        <v>18</v>
      </c>
      <c r="B20" s="16" t="n">
        <f aca="false">B19+28</f>
        <v>44987</v>
      </c>
      <c r="C20" s="8" t="s">
        <v>1896</v>
      </c>
    </row>
    <row r="21" customFormat="false" ht="15.75" hidden="false" customHeight="false" outlineLevel="0" collapsed="false">
      <c r="A21" s="8" t="n">
        <f aca="false">ROW()-2</f>
        <v>19</v>
      </c>
      <c r="B21" s="16" t="n">
        <f aca="false">B20+28</f>
        <v>45015</v>
      </c>
      <c r="C21" s="8" t="s">
        <v>1897</v>
      </c>
    </row>
    <row r="22" customFormat="false" ht="15.75" hidden="false" customHeight="false" outlineLevel="0" collapsed="false">
      <c r="A22" s="8" t="n">
        <f aca="false">ROW()-2</f>
        <v>20</v>
      </c>
      <c r="B22" s="16" t="n">
        <f aca="false">B21+28</f>
        <v>45043</v>
      </c>
      <c r="C22" s="8" t="s">
        <v>1898</v>
      </c>
    </row>
    <row r="23" customFormat="false" ht="15.75" hidden="false" customHeight="false" outlineLevel="0" collapsed="false">
      <c r="A23" s="8" t="n">
        <f aca="false">ROW()-2</f>
        <v>21</v>
      </c>
      <c r="B23" s="16" t="n">
        <f aca="false">B22+28</f>
        <v>45071</v>
      </c>
      <c r="C23" s="8" t="s">
        <v>1899</v>
      </c>
    </row>
    <row r="24" customFormat="false" ht="15.75" hidden="false" customHeight="false" outlineLevel="0" collapsed="false">
      <c r="A24" s="8" t="n">
        <f aca="false">ROW()-2</f>
        <v>22</v>
      </c>
      <c r="B24" s="16" t="n">
        <f aca="false">B23+28</f>
        <v>45099</v>
      </c>
      <c r="C24" s="8" t="s">
        <v>1900</v>
      </c>
    </row>
    <row r="25" customFormat="false" ht="15.75" hidden="false" customHeight="false" outlineLevel="0" collapsed="false">
      <c r="A25" s="8" t="n">
        <f aca="false">ROW()-2</f>
        <v>23</v>
      </c>
      <c r="B25" s="16" t="n">
        <f aca="false">B24+28</f>
        <v>45127</v>
      </c>
      <c r="C25" s="8" t="s">
        <v>1901</v>
      </c>
    </row>
    <row r="26" customFormat="false" ht="15.75" hidden="false" customHeight="false" outlineLevel="0" collapsed="false">
      <c r="A26" s="8" t="n">
        <f aca="false">ROW()-2</f>
        <v>24</v>
      </c>
      <c r="B26" s="16" t="n">
        <f aca="false">B25+28</f>
        <v>45155</v>
      </c>
      <c r="C26" s="8" t="s">
        <v>1902</v>
      </c>
    </row>
    <row r="27" customFormat="false" ht="15.75" hidden="false" customHeight="false" outlineLevel="0" collapsed="false">
      <c r="A27" s="8" t="n">
        <f aca="false">ROW()-2</f>
        <v>25</v>
      </c>
      <c r="B27" s="16" t="n">
        <f aca="false">B26+28</f>
        <v>45183</v>
      </c>
      <c r="C27" s="8" t="s">
        <v>1903</v>
      </c>
    </row>
    <row r="28" customFormat="false" ht="15.75" hidden="false" customHeight="false" outlineLevel="0" collapsed="false">
      <c r="A28" s="8" t="n">
        <f aca="false">ROW()-2</f>
        <v>26</v>
      </c>
      <c r="B28" s="16" t="n">
        <f aca="false">B27+28</f>
        <v>45211</v>
      </c>
      <c r="C28" s="8" t="s">
        <v>1904</v>
      </c>
    </row>
    <row r="29" customFormat="false" ht="15.75" hidden="false" customHeight="false" outlineLevel="0" collapsed="false">
      <c r="A29" s="8" t="n">
        <f aca="false">ROW()-2</f>
        <v>27</v>
      </c>
      <c r="B29" s="16" t="n">
        <f aca="false">B28+28</f>
        <v>45239</v>
      </c>
      <c r="C29" s="8" t="s">
        <v>1905</v>
      </c>
    </row>
    <row r="30" customFormat="false" ht="15.75" hidden="false" customHeight="false" outlineLevel="0" collapsed="false">
      <c r="A30" s="8" t="n">
        <f aca="false">ROW()-2</f>
        <v>28</v>
      </c>
      <c r="B30" s="16" t="n">
        <f aca="false">B29+28</f>
        <v>45267</v>
      </c>
      <c r="C30" s="8" t="s">
        <v>1906</v>
      </c>
    </row>
    <row r="31" customFormat="false" ht="15.75" hidden="false" customHeight="false" outlineLevel="0" collapsed="false">
      <c r="A31" s="8" t="n">
        <f aca="false">ROW()-2</f>
        <v>29</v>
      </c>
      <c r="B31" s="16" t="n">
        <f aca="false">B30+28</f>
        <v>45295</v>
      </c>
      <c r="C31" s="8" t="s">
        <v>1907</v>
      </c>
    </row>
    <row r="32" customFormat="false" ht="15.75" hidden="false" customHeight="false" outlineLevel="0" collapsed="false">
      <c r="A32" s="8" t="n">
        <f aca="false">ROW()-2</f>
        <v>30</v>
      </c>
      <c r="B32" s="16" t="n">
        <f aca="false">B31+28</f>
        <v>45323</v>
      </c>
      <c r="C32" s="8" t="s">
        <v>1908</v>
      </c>
    </row>
    <row r="33" customFormat="false" ht="15.75" hidden="false" customHeight="false" outlineLevel="0" collapsed="false">
      <c r="A33" s="8" t="n">
        <f aca="false">ROW()-2</f>
        <v>31</v>
      </c>
      <c r="B33" s="16" t="n">
        <f aca="false">B32+28</f>
        <v>45351</v>
      </c>
      <c r="C33" s="8" t="s">
        <v>1909</v>
      </c>
    </row>
    <row r="34" customFormat="false" ht="15.75" hidden="false" customHeight="false" outlineLevel="0" collapsed="false">
      <c r="A34" s="8" t="n">
        <f aca="false">ROW()-2</f>
        <v>32</v>
      </c>
      <c r="B34" s="16" t="n">
        <f aca="false">B33+28</f>
        <v>45379</v>
      </c>
      <c r="C34" s="8" t="s">
        <v>1910</v>
      </c>
    </row>
    <row r="35" customFormat="false" ht="15.75" hidden="false" customHeight="false" outlineLevel="0" collapsed="false">
      <c r="A35" s="8" t="n">
        <f aca="false">ROW()-2</f>
        <v>33</v>
      </c>
      <c r="B35" s="16" t="n">
        <f aca="false">B34+28</f>
        <v>45407</v>
      </c>
      <c r="C35" s="8" t="s">
        <v>1911</v>
      </c>
    </row>
    <row r="36" customFormat="false" ht="15.75" hidden="false" customHeight="false" outlineLevel="0" collapsed="false">
      <c r="A36" s="8" t="n">
        <f aca="false">ROW()-2</f>
        <v>34</v>
      </c>
      <c r="B36" s="16" t="n">
        <f aca="false">B35+28</f>
        <v>45435</v>
      </c>
      <c r="C36" s="8" t="s">
        <v>1912</v>
      </c>
    </row>
    <row r="37" customFormat="false" ht="15.75" hidden="false" customHeight="false" outlineLevel="0" collapsed="false">
      <c r="A37" s="8" t="n">
        <f aca="false">ROW()-2</f>
        <v>35</v>
      </c>
      <c r="B37" s="16" t="n">
        <f aca="false">B36+28</f>
        <v>45463</v>
      </c>
    </row>
    <row r="38" customFormat="false" ht="15.75" hidden="false" customHeight="false" outlineLevel="0" collapsed="false">
      <c r="A38" s="8" t="n">
        <f aca="false">ROW()-2</f>
        <v>36</v>
      </c>
      <c r="B38" s="16" t="n">
        <f aca="false">B37+28</f>
        <v>45491</v>
      </c>
    </row>
    <row r="39" customFormat="false" ht="15.75" hidden="false" customHeight="false" outlineLevel="0" collapsed="false">
      <c r="A39" s="8" t="n">
        <f aca="false">ROW()-2</f>
        <v>37</v>
      </c>
      <c r="B39" s="16" t="n">
        <f aca="false">B38+28</f>
        <v>45519</v>
      </c>
    </row>
    <row r="40" customFormat="false" ht="15.75" hidden="false" customHeight="false" outlineLevel="0" collapsed="false">
      <c r="A40" s="8" t="n">
        <f aca="false">ROW()-2</f>
        <v>38</v>
      </c>
      <c r="B40" s="16" t="n">
        <f aca="false">B39+28</f>
        <v>45547</v>
      </c>
    </row>
    <row r="41" customFormat="false" ht="15.75" hidden="false" customHeight="false" outlineLevel="0" collapsed="false">
      <c r="A41" s="8" t="n">
        <f aca="false">ROW()-2</f>
        <v>39</v>
      </c>
      <c r="B41" s="16" t="n">
        <f aca="false">B40+28</f>
        <v>45575</v>
      </c>
    </row>
    <row r="42" customFormat="false" ht="15.75" hidden="false" customHeight="false" outlineLevel="0" collapsed="false">
      <c r="A42" s="8" t="n">
        <f aca="false">ROW()-2</f>
        <v>40</v>
      </c>
      <c r="B42" s="16" t="n">
        <f aca="false">B41+28</f>
        <v>45603</v>
      </c>
    </row>
    <row r="43" customFormat="false" ht="15.75" hidden="false" customHeight="false" outlineLevel="0" collapsed="false">
      <c r="A43" s="8" t="n">
        <f aca="false">ROW()-2</f>
        <v>41</v>
      </c>
      <c r="B43" s="16" t="n">
        <f aca="false">B42+28</f>
        <v>45631</v>
      </c>
    </row>
    <row r="44" customFormat="false" ht="15.75" hidden="false" customHeight="false" outlineLevel="0" collapsed="false">
      <c r="A44" s="8" t="n">
        <f aca="false">ROW()-2</f>
        <v>42</v>
      </c>
      <c r="B44" s="16" t="n">
        <f aca="false">B43+28</f>
        <v>45659</v>
      </c>
    </row>
    <row r="45" customFormat="false" ht="15.75" hidden="false" customHeight="false" outlineLevel="0" collapsed="false">
      <c r="A45" s="8" t="n">
        <f aca="false">ROW()-2</f>
        <v>43</v>
      </c>
      <c r="B45" s="16" t="n">
        <f aca="false">B44+28</f>
        <v>45687</v>
      </c>
    </row>
    <row r="46" customFormat="false" ht="15.75" hidden="false" customHeight="false" outlineLevel="0" collapsed="false">
      <c r="A46" s="8" t="n">
        <f aca="false">ROW()-2</f>
        <v>44</v>
      </c>
      <c r="B46" s="16" t="n">
        <f aca="false">B45+28</f>
        <v>45715</v>
      </c>
    </row>
    <row r="47" customFormat="false" ht="15.75" hidden="false" customHeight="false" outlineLevel="0" collapsed="false">
      <c r="A47" s="8" t="n">
        <f aca="false">ROW()-2</f>
        <v>45</v>
      </c>
      <c r="B47" s="16" t="n">
        <f aca="false">B46+28</f>
        <v>45743</v>
      </c>
    </row>
    <row r="48" customFormat="false" ht="15.75" hidden="false" customHeight="false" outlineLevel="0" collapsed="false">
      <c r="A48" s="8" t="n">
        <f aca="false">ROW()-2</f>
        <v>46</v>
      </c>
      <c r="B48" s="16" t="n">
        <f aca="false">B47+28</f>
        <v>45771</v>
      </c>
    </row>
    <row r="49" customFormat="false" ht="15.75" hidden="false" customHeight="false" outlineLevel="0" collapsed="false">
      <c r="A49" s="8" t="n">
        <f aca="false">ROW()-2</f>
        <v>47</v>
      </c>
      <c r="B49" s="16" t="n">
        <f aca="false">B48+28</f>
        <v>45799</v>
      </c>
    </row>
    <row r="50" customFormat="false" ht="15.75" hidden="false" customHeight="false" outlineLevel="0" collapsed="false">
      <c r="A50" s="8" t="n">
        <f aca="false">ROW()-2</f>
        <v>48</v>
      </c>
      <c r="B50" s="16" t="n">
        <f aca="false">B49+28</f>
        <v>45827</v>
      </c>
    </row>
    <row r="51" customFormat="false" ht="15.75" hidden="false" customHeight="false" outlineLevel="0" collapsed="false">
      <c r="A51" s="8" t="n">
        <f aca="false">ROW()-2</f>
        <v>49</v>
      </c>
      <c r="B51" s="16" t="n">
        <f aca="false">B50+28</f>
        <v>45855</v>
      </c>
    </row>
    <row r="52" customFormat="false" ht="15.75" hidden="false" customHeight="false" outlineLevel="0" collapsed="false">
      <c r="A52" s="8" t="n">
        <f aca="false">ROW()-2</f>
        <v>50</v>
      </c>
      <c r="B52" s="16" t="n">
        <f aca="false">B51+28</f>
        <v>45883</v>
      </c>
    </row>
    <row r="53" customFormat="false" ht="15.75" hidden="false" customHeight="false" outlineLevel="0" collapsed="false">
      <c r="A53" s="8" t="n">
        <f aca="false">ROW()-2</f>
        <v>51</v>
      </c>
      <c r="B53" s="16" t="n">
        <f aca="false">B52+28</f>
        <v>45911</v>
      </c>
    </row>
    <row r="54" customFormat="false" ht="15.75" hidden="false" customHeight="false" outlineLevel="0" collapsed="false">
      <c r="A54" s="8" t="n">
        <f aca="false">ROW()-2</f>
        <v>52</v>
      </c>
      <c r="B54" s="16" t="n">
        <f aca="false">B53+28</f>
        <v>45939</v>
      </c>
    </row>
    <row r="55" customFormat="false" ht="15.75" hidden="false" customHeight="false" outlineLevel="0" collapsed="false">
      <c r="A55" s="8" t="n">
        <f aca="false">ROW()-2</f>
        <v>53</v>
      </c>
      <c r="B55" s="16" t="n">
        <f aca="false">B54+28</f>
        <v>45967</v>
      </c>
    </row>
    <row r="56" customFormat="false" ht="15.75" hidden="false" customHeight="false" outlineLevel="0" collapsed="false">
      <c r="A56" s="8" t="n">
        <f aca="false">ROW()-2</f>
        <v>54</v>
      </c>
      <c r="B56" s="16" t="n">
        <f aca="false">B55+28</f>
        <v>45995</v>
      </c>
    </row>
    <row r="57" customFormat="false" ht="15.75" hidden="false" customHeight="false" outlineLevel="0" collapsed="false">
      <c r="A57" s="8" t="n">
        <f aca="false">ROW()-2</f>
        <v>55</v>
      </c>
      <c r="B57" s="16" t="n">
        <f aca="false">B56+28</f>
        <v>46023</v>
      </c>
    </row>
    <row r="58" customFormat="false" ht="15.75" hidden="false" customHeight="false" outlineLevel="0" collapsed="false">
      <c r="A58" s="8" t="n">
        <f aca="false">ROW()-2</f>
        <v>56</v>
      </c>
      <c r="B58" s="16" t="n">
        <f aca="false">B57+28</f>
        <v>46051</v>
      </c>
    </row>
    <row r="59" customFormat="false" ht="15.75" hidden="false" customHeight="false" outlineLevel="0" collapsed="false">
      <c r="A59" s="8" t="n">
        <f aca="false">ROW()-2</f>
        <v>57</v>
      </c>
      <c r="B59" s="16" t="n">
        <f aca="false">B58+28</f>
        <v>46079</v>
      </c>
    </row>
    <row r="60" customFormat="false" ht="15.75" hidden="false" customHeight="false" outlineLevel="0" collapsed="false">
      <c r="A60" s="8" t="n">
        <f aca="false">ROW()-2</f>
        <v>58</v>
      </c>
      <c r="B60" s="16" t="n">
        <f aca="false">B59+28</f>
        <v>46107</v>
      </c>
    </row>
    <row r="61" customFormat="false" ht="15.75" hidden="false" customHeight="false" outlineLevel="0" collapsed="false">
      <c r="A61" s="8" t="n">
        <f aca="false">ROW()-2</f>
        <v>59</v>
      </c>
      <c r="B61" s="16" t="n">
        <f aca="false">B60+28</f>
        <v>46135</v>
      </c>
    </row>
    <row r="62" customFormat="false" ht="15.75" hidden="false" customHeight="false" outlineLevel="0" collapsed="false">
      <c r="A62" s="8" t="n">
        <f aca="false">ROW()-2</f>
        <v>60</v>
      </c>
      <c r="B62" s="16" t="n">
        <f aca="false">B61+28</f>
        <v>46163</v>
      </c>
    </row>
    <row r="63" customFormat="false" ht="15.75" hidden="false" customHeight="false" outlineLevel="0" collapsed="false">
      <c r="A63" s="8" t="n">
        <f aca="false">ROW()-2</f>
        <v>61</v>
      </c>
      <c r="B63" s="16" t="n">
        <f aca="false">B62+28</f>
        <v>46191</v>
      </c>
    </row>
    <row r="64" customFormat="false" ht="15.75" hidden="false" customHeight="false" outlineLevel="0" collapsed="false">
      <c r="A64" s="8" t="n">
        <f aca="false">ROW()-2</f>
        <v>62</v>
      </c>
      <c r="B64" s="16" t="n">
        <f aca="false">B63+28</f>
        <v>46219</v>
      </c>
    </row>
    <row r="65" customFormat="false" ht="15.75" hidden="false" customHeight="false" outlineLevel="0" collapsed="false">
      <c r="A65" s="8" t="n">
        <f aca="false">ROW()-2</f>
        <v>63</v>
      </c>
      <c r="B65" s="16" t="n">
        <f aca="false">B64+28</f>
        <v>46247</v>
      </c>
    </row>
    <row r="66" customFormat="false" ht="15.75" hidden="false" customHeight="false" outlineLevel="0" collapsed="false">
      <c r="A66" s="8" t="n">
        <f aca="false">ROW()-2</f>
        <v>64</v>
      </c>
      <c r="B66" s="16" t="n">
        <f aca="false">B65+28</f>
        <v>46275</v>
      </c>
    </row>
    <row r="67" customFormat="false" ht="15.75" hidden="false" customHeight="false" outlineLevel="0" collapsed="false">
      <c r="A67" s="8" t="n">
        <f aca="false">ROW()-2</f>
        <v>65</v>
      </c>
      <c r="B67" s="16" t="n">
        <f aca="false">B66+28</f>
        <v>46303</v>
      </c>
    </row>
    <row r="68" customFormat="false" ht="15.75" hidden="false" customHeight="false" outlineLevel="0" collapsed="false">
      <c r="A68" s="8" t="n">
        <f aca="false">ROW()-2</f>
        <v>66</v>
      </c>
      <c r="B68" s="16" t="n">
        <f aca="false">B67+28</f>
        <v>46331</v>
      </c>
    </row>
    <row r="69" customFormat="false" ht="15.75" hidden="false" customHeight="false" outlineLevel="0" collapsed="false">
      <c r="A69" s="8" t="n">
        <f aca="false">ROW()-2</f>
        <v>67</v>
      </c>
      <c r="B69" s="16" t="n">
        <f aca="false">B68+28</f>
        <v>46359</v>
      </c>
    </row>
    <row r="70" customFormat="false" ht="15.75" hidden="false" customHeight="false" outlineLevel="0" collapsed="false">
      <c r="A70" s="8" t="n">
        <f aca="false">ROW()-2</f>
        <v>68</v>
      </c>
      <c r="B70" s="16" t="n">
        <f aca="false">B69+28</f>
        <v>46387</v>
      </c>
    </row>
    <row r="71" customFormat="false" ht="15.75" hidden="false" customHeight="false" outlineLevel="0" collapsed="false">
      <c r="A71" s="8" t="n">
        <f aca="false">ROW()-2</f>
        <v>69</v>
      </c>
      <c r="B71" s="16" t="n">
        <f aca="false">B70+28</f>
        <v>46415</v>
      </c>
    </row>
    <row r="72" customFormat="false" ht="15.75" hidden="false" customHeight="false" outlineLevel="0" collapsed="false">
      <c r="A72" s="8" t="n">
        <f aca="false">ROW()-2</f>
        <v>70</v>
      </c>
      <c r="B72" s="16" t="n">
        <f aca="false">B71+28</f>
        <v>46443</v>
      </c>
    </row>
    <row r="73" customFormat="false" ht="15.75" hidden="false" customHeight="false" outlineLevel="0" collapsed="false">
      <c r="A73" s="8" t="n">
        <f aca="false">ROW()-2</f>
        <v>71</v>
      </c>
      <c r="B73" s="16" t="n">
        <f aca="false">B72+28</f>
        <v>46471</v>
      </c>
    </row>
    <row r="74" customFormat="false" ht="15.75" hidden="false" customHeight="false" outlineLevel="0" collapsed="false">
      <c r="A74" s="8" t="n">
        <f aca="false">ROW()-2</f>
        <v>72</v>
      </c>
      <c r="B74" s="16" t="n">
        <f aca="false">B73+28</f>
        <v>46499</v>
      </c>
    </row>
    <row r="75" customFormat="false" ht="15.75" hidden="false" customHeight="false" outlineLevel="0" collapsed="false">
      <c r="A75" s="8" t="n">
        <f aca="false">ROW()-2</f>
        <v>73</v>
      </c>
      <c r="B75" s="16" t="n">
        <f aca="false">B74+28</f>
        <v>46527</v>
      </c>
    </row>
    <row r="76" customFormat="false" ht="15.75" hidden="false" customHeight="false" outlineLevel="0" collapsed="false">
      <c r="A76" s="8" t="n">
        <f aca="false">ROW()-2</f>
        <v>74</v>
      </c>
      <c r="B76" s="16" t="n">
        <f aca="false">B75+28</f>
        <v>46555</v>
      </c>
    </row>
    <row r="77" customFormat="false" ht="15.75" hidden="false" customHeight="false" outlineLevel="0" collapsed="false">
      <c r="A77" s="8" t="n">
        <f aca="false">ROW()-2</f>
        <v>75</v>
      </c>
      <c r="B77" s="16" t="n">
        <f aca="false">B76+28</f>
        <v>46583</v>
      </c>
    </row>
    <row r="78" customFormat="false" ht="15.75" hidden="false" customHeight="false" outlineLevel="0" collapsed="false">
      <c r="A78" s="8" t="n">
        <f aca="false">ROW()-2</f>
        <v>76</v>
      </c>
      <c r="B78" s="16" t="n">
        <f aca="false">B77+28</f>
        <v>46611</v>
      </c>
    </row>
    <row r="79" customFormat="false" ht="15.75" hidden="false" customHeight="false" outlineLevel="0" collapsed="false">
      <c r="A79" s="8" t="n">
        <f aca="false">ROW()-2</f>
        <v>77</v>
      </c>
      <c r="B79" s="16" t="n">
        <f aca="false">B78+28</f>
        <v>46639</v>
      </c>
    </row>
    <row r="80" customFormat="false" ht="15.75" hidden="false" customHeight="false" outlineLevel="0" collapsed="false">
      <c r="A80" s="8" t="n">
        <f aca="false">ROW()-2</f>
        <v>78</v>
      </c>
      <c r="B80" s="16" t="n">
        <f aca="false">B79+28</f>
        <v>46667</v>
      </c>
    </row>
    <row r="81" customFormat="false" ht="15.75" hidden="false" customHeight="false" outlineLevel="0" collapsed="false">
      <c r="A81" s="8" t="n">
        <f aca="false">ROW()-2</f>
        <v>79</v>
      </c>
      <c r="B81" s="16" t="n">
        <f aca="false">B80+28</f>
        <v>46695</v>
      </c>
    </row>
    <row r="82" customFormat="false" ht="15.75" hidden="false" customHeight="false" outlineLevel="0" collapsed="false">
      <c r="A82" s="8" t="n">
        <f aca="false">ROW()-2</f>
        <v>80</v>
      </c>
      <c r="B82" s="16" t="n">
        <f aca="false">B81+28</f>
        <v>46723</v>
      </c>
    </row>
    <row r="83" customFormat="false" ht="15.75" hidden="false" customHeight="false" outlineLevel="0" collapsed="false">
      <c r="A83" s="8" t="n">
        <f aca="false">ROW()-2</f>
        <v>81</v>
      </c>
      <c r="B83" s="16" t="n">
        <f aca="false">B82+28</f>
        <v>46751</v>
      </c>
    </row>
    <row r="84" customFormat="false" ht="15.75" hidden="false" customHeight="false" outlineLevel="0" collapsed="false">
      <c r="A84" s="8" t="n">
        <f aca="false">ROW()-2</f>
        <v>82</v>
      </c>
      <c r="B84" s="16" t="n">
        <f aca="false">B83+28</f>
        <v>46779</v>
      </c>
    </row>
    <row r="85" customFormat="false" ht="15.75" hidden="false" customHeight="false" outlineLevel="0" collapsed="false">
      <c r="A85" s="8" t="n">
        <f aca="false">ROW()-2</f>
        <v>83</v>
      </c>
      <c r="B85" s="16" t="n">
        <f aca="false">B84+28</f>
        <v>46807</v>
      </c>
    </row>
    <row r="86" customFormat="false" ht="15.75" hidden="false" customHeight="false" outlineLevel="0" collapsed="false">
      <c r="A86" s="8" t="n">
        <f aca="false">ROW()-2</f>
        <v>84</v>
      </c>
      <c r="B86" s="16" t="n">
        <f aca="false">B85+28</f>
        <v>46835</v>
      </c>
    </row>
    <row r="87" customFormat="false" ht="15.75" hidden="false" customHeight="false" outlineLevel="0" collapsed="false">
      <c r="A87" s="8" t="n">
        <f aca="false">ROW()-2</f>
        <v>85</v>
      </c>
      <c r="B87" s="16" t="n">
        <f aca="false">B86+28</f>
        <v>46863</v>
      </c>
    </row>
    <row r="88" customFormat="false" ht="15.75" hidden="false" customHeight="false" outlineLevel="0" collapsed="false">
      <c r="A88" s="8" t="n">
        <f aca="false">ROW()-2</f>
        <v>86</v>
      </c>
      <c r="B88" s="16" t="n">
        <f aca="false">B87+28</f>
        <v>46891</v>
      </c>
    </row>
    <row r="89" customFormat="false" ht="15.75" hidden="false" customHeight="false" outlineLevel="0" collapsed="false">
      <c r="A89" s="8" t="n">
        <f aca="false">ROW()-2</f>
        <v>87</v>
      </c>
      <c r="B89" s="16" t="n">
        <f aca="false">B88+28</f>
        <v>46919</v>
      </c>
    </row>
    <row r="90" customFormat="false" ht="15.75" hidden="false" customHeight="false" outlineLevel="0" collapsed="false">
      <c r="A90" s="8" t="n">
        <f aca="false">ROW()-2</f>
        <v>88</v>
      </c>
      <c r="B90" s="16" t="n">
        <f aca="false">B89+28</f>
        <v>46947</v>
      </c>
    </row>
    <row r="91" customFormat="false" ht="15.75" hidden="false" customHeight="false" outlineLevel="0" collapsed="false">
      <c r="A91" s="8" t="n">
        <f aca="false">ROW()-2</f>
        <v>89</v>
      </c>
      <c r="B91" s="16" t="n">
        <f aca="false">B90+28</f>
        <v>46975</v>
      </c>
    </row>
    <row r="92" customFormat="false" ht="15.75" hidden="false" customHeight="false" outlineLevel="0" collapsed="false">
      <c r="A92" s="8" t="n">
        <f aca="false">ROW()-2</f>
        <v>90</v>
      </c>
      <c r="B92" s="16" t="n">
        <f aca="false">B91+28</f>
        <v>47003</v>
      </c>
    </row>
    <row r="93" customFormat="false" ht="15.75" hidden="false" customHeight="false" outlineLevel="0" collapsed="false">
      <c r="A93" s="8" t="n">
        <f aca="false">ROW()-2</f>
        <v>91</v>
      </c>
      <c r="B93" s="16" t="n">
        <f aca="false">B92+28</f>
        <v>47031</v>
      </c>
    </row>
    <row r="94" customFormat="false" ht="15.75" hidden="false" customHeight="false" outlineLevel="0" collapsed="false">
      <c r="A94" s="8" t="n">
        <f aca="false">ROW()-2</f>
        <v>92</v>
      </c>
      <c r="B94" s="16" t="n">
        <f aca="false">B93+28</f>
        <v>47059</v>
      </c>
    </row>
    <row r="95" customFormat="false" ht="15.75" hidden="false" customHeight="false" outlineLevel="0" collapsed="false">
      <c r="A95" s="8" t="n">
        <f aca="false">ROW()-2</f>
        <v>93</v>
      </c>
      <c r="B95" s="16" t="n">
        <f aca="false">B94+28</f>
        <v>47087</v>
      </c>
    </row>
    <row r="96" customFormat="false" ht="15.75" hidden="false" customHeight="false" outlineLevel="0" collapsed="false">
      <c r="A96" s="8" t="n">
        <f aca="false">ROW()-2</f>
        <v>94</v>
      </c>
      <c r="B96" s="16" t="n">
        <f aca="false">B95+28</f>
        <v>47115</v>
      </c>
    </row>
    <row r="97" customFormat="false" ht="15.75" hidden="false" customHeight="false" outlineLevel="0" collapsed="false">
      <c r="A97" s="8" t="n">
        <f aca="false">ROW()-2</f>
        <v>95</v>
      </c>
      <c r="B97" s="16" t="n">
        <f aca="false">B96+28</f>
        <v>47143</v>
      </c>
    </row>
    <row r="98" customFormat="false" ht="15.75" hidden="false" customHeight="false" outlineLevel="0" collapsed="false">
      <c r="A98" s="8" t="n">
        <f aca="false">ROW()-2</f>
        <v>96</v>
      </c>
      <c r="B98" s="16" t="n">
        <f aca="false">B97+28</f>
        <v>47171</v>
      </c>
    </row>
    <row r="99" customFormat="false" ht="15.75" hidden="false" customHeight="false" outlineLevel="0" collapsed="false">
      <c r="A99" s="8" t="n">
        <f aca="false">ROW()-2</f>
        <v>97</v>
      </c>
      <c r="B99" s="16" t="n">
        <f aca="false">B98+28</f>
        <v>47199</v>
      </c>
    </row>
    <row r="100" customFormat="false" ht="15.75" hidden="false" customHeight="false" outlineLevel="0" collapsed="false">
      <c r="A100" s="8" t="n">
        <f aca="false">ROW()-2</f>
        <v>98</v>
      </c>
      <c r="B100" s="16" t="n">
        <f aca="false">B99+28</f>
        <v>47227</v>
      </c>
    </row>
    <row r="101" customFormat="false" ht="15.75" hidden="false" customHeight="false" outlineLevel="0" collapsed="false">
      <c r="A101" s="8" t="n">
        <f aca="false">ROW()-2</f>
        <v>99</v>
      </c>
      <c r="B101" s="16" t="n">
        <f aca="false">B100+28</f>
        <v>47255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8" t="s">
        <v>1913</v>
      </c>
    </row>
    <row r="2" customFormat="false" ht="15.75" hidden="false" customHeight="false" outlineLevel="0" collapsed="false">
      <c r="A2" s="8" t="s">
        <v>1914</v>
      </c>
    </row>
    <row r="3" customFormat="false" ht="15.75" hidden="false" customHeight="false" outlineLevel="0" collapsed="false">
      <c r="A3" s="8" t="s">
        <v>1915</v>
      </c>
    </row>
    <row r="4" customFormat="false" ht="15.75" hidden="false" customHeight="false" outlineLevel="0" collapsed="false">
      <c r="A4" s="8" t="s">
        <v>1916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21" t="n">
        <f aca="false">TIME(16,30,0)</f>
        <v>0.6875</v>
      </c>
      <c r="B1" s="22" t="n">
        <f aca="true">NOW()</f>
        <v>45672.0817958449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8" t="s">
        <v>244</v>
      </c>
      <c r="B1" s="12" t="n">
        <v>0</v>
      </c>
    </row>
    <row r="2" customFormat="false" ht="15.75" hidden="false" customHeight="false" outlineLevel="0" collapsed="false">
      <c r="A2" s="20" t="s">
        <v>17</v>
      </c>
      <c r="B2" s="12" t="n">
        <v>1</v>
      </c>
    </row>
    <row r="3" customFormat="false" ht="15.75" hidden="false" customHeight="false" outlineLevel="0" collapsed="false">
      <c r="A3" s="20" t="s">
        <v>36</v>
      </c>
      <c r="B3" s="12" t="n">
        <v>2</v>
      </c>
    </row>
    <row r="4" customFormat="false" ht="15.75" hidden="false" customHeight="false" outlineLevel="0" collapsed="false">
      <c r="A4" s="20" t="s">
        <v>53</v>
      </c>
      <c r="B4" s="12" t="n">
        <v>3</v>
      </c>
    </row>
    <row r="5" customFormat="false" ht="15.75" hidden="false" customHeight="false" outlineLevel="0" collapsed="false">
      <c r="A5" s="20" t="s">
        <v>41</v>
      </c>
      <c r="B5" s="12" t="n">
        <v>4</v>
      </c>
    </row>
    <row r="6" customFormat="false" ht="15.75" hidden="false" customHeight="false" outlineLevel="0" collapsed="false">
      <c r="A6" s="20" t="s">
        <v>239</v>
      </c>
      <c r="B6" s="12" t="n">
        <v>5</v>
      </c>
    </row>
    <row r="7" customFormat="false" ht="15.75" hidden="false" customHeight="false" outlineLevel="0" collapsed="false">
      <c r="A7" s="8" t="s">
        <v>439</v>
      </c>
      <c r="B7" s="12" t="n">
        <v>6</v>
      </c>
    </row>
    <row r="8" customFormat="false" ht="15.75" hidden="false" customHeight="false" outlineLevel="0" collapsed="false">
      <c r="A8" s="8" t="s">
        <v>655</v>
      </c>
      <c r="B8" s="12" t="n">
        <v>6</v>
      </c>
    </row>
    <row r="9" customFormat="false" ht="15.75" hidden="false" customHeight="false" outlineLevel="0" collapsed="false">
      <c r="B9" s="12"/>
    </row>
    <row r="10" customFormat="false" ht="15.75" hidden="false" customHeight="false" outlineLevel="0" collapsed="false">
      <c r="B10" s="12"/>
    </row>
    <row r="11" customFormat="false" ht="15.75" hidden="false" customHeight="false" outlineLevel="0" collapsed="false">
      <c r="B11" s="12"/>
    </row>
    <row r="12" customFormat="false" ht="15.75" hidden="false" customHeight="false" outlineLevel="0" collapsed="false">
      <c r="B12" s="12"/>
    </row>
    <row r="13" customFormat="false" ht="15.75" hidden="false" customHeight="false" outlineLevel="0" collapsed="false">
      <c r="B13" s="12"/>
    </row>
    <row r="14" customFormat="false" ht="15.75" hidden="false" customHeight="false" outlineLevel="0" collapsed="false">
      <c r="B14" s="12"/>
    </row>
    <row r="15" customFormat="false" ht="15.75" hidden="false" customHeight="false" outlineLevel="0" collapsed="false">
      <c r="B15" s="12"/>
    </row>
    <row r="16" customFormat="false" ht="15.75" hidden="false" customHeight="false" outlineLevel="0" collapsed="false">
      <c r="B16" s="12"/>
    </row>
    <row r="17" customFormat="false" ht="15.75" hidden="false" customHeight="false" outlineLevel="0" collapsed="false">
      <c r="B17" s="12"/>
    </row>
    <row r="18" customFormat="false" ht="15.75" hidden="false" customHeight="false" outlineLevel="0" collapsed="false">
      <c r="B18" s="12"/>
    </row>
    <row r="19" customFormat="false" ht="15.75" hidden="false" customHeight="false" outlineLevel="0" collapsed="false">
      <c r="B19" s="12"/>
    </row>
    <row r="20" customFormat="false" ht="15.75" hidden="false" customHeight="false" outlineLevel="0" collapsed="false">
      <c r="B20" s="12"/>
    </row>
    <row r="21" customFormat="false" ht="15.75" hidden="false" customHeight="false" outlineLevel="0" collapsed="false">
      <c r="B21" s="12"/>
    </row>
    <row r="22" customFormat="false" ht="15.75" hidden="false" customHeight="false" outlineLevel="0" collapsed="false">
      <c r="B22" s="12"/>
    </row>
    <row r="23" customFormat="false" ht="15.75" hidden="false" customHeight="false" outlineLevel="0" collapsed="false">
      <c r="B23" s="12"/>
    </row>
    <row r="24" customFormat="false" ht="15.75" hidden="false" customHeight="false" outlineLevel="0" collapsed="false">
      <c r="B24" s="12"/>
    </row>
    <row r="25" customFormat="false" ht="15.75" hidden="false" customHeight="false" outlineLevel="0" collapsed="false">
      <c r="B25" s="12"/>
    </row>
    <row r="26" customFormat="false" ht="15.75" hidden="false" customHeight="false" outlineLevel="0" collapsed="false">
      <c r="B26" s="12"/>
    </row>
    <row r="27" customFormat="false" ht="15.75" hidden="false" customHeight="false" outlineLevel="0" collapsed="false">
      <c r="B27" s="12"/>
    </row>
    <row r="28" customFormat="false" ht="15.75" hidden="false" customHeight="false" outlineLevel="0" collapsed="false">
      <c r="B28" s="12"/>
    </row>
    <row r="29" customFormat="false" ht="15.75" hidden="false" customHeight="false" outlineLevel="0" collapsed="false">
      <c r="B29" s="12"/>
    </row>
    <row r="30" customFormat="false" ht="15.75" hidden="false" customHeight="false" outlineLevel="0" collapsed="false">
      <c r="B30" s="12"/>
    </row>
    <row r="31" customFormat="false" ht="15.75" hidden="false" customHeight="false" outlineLevel="0" collapsed="false">
      <c r="B31" s="12"/>
    </row>
    <row r="32" customFormat="false" ht="15.75" hidden="false" customHeight="false" outlineLevel="0" collapsed="false">
      <c r="B32" s="12"/>
    </row>
    <row r="33" customFormat="false" ht="15.75" hidden="false" customHeight="false" outlineLevel="0" collapsed="false">
      <c r="B33" s="12"/>
    </row>
    <row r="34" customFormat="false" ht="15.75" hidden="false" customHeight="false" outlineLevel="0" collapsed="false">
      <c r="B34" s="12"/>
    </row>
    <row r="35" customFormat="false" ht="15.75" hidden="false" customHeight="false" outlineLevel="0" collapsed="false">
      <c r="B35" s="12"/>
    </row>
    <row r="36" customFormat="false" ht="15.75" hidden="false" customHeight="false" outlineLevel="0" collapsed="false">
      <c r="B36" s="12"/>
    </row>
    <row r="37" customFormat="false" ht="15.75" hidden="false" customHeight="false" outlineLevel="0" collapsed="false">
      <c r="B37" s="12"/>
    </row>
    <row r="38" customFormat="false" ht="15.75" hidden="false" customHeight="false" outlineLevel="0" collapsed="false">
      <c r="B38" s="12"/>
    </row>
    <row r="39" customFormat="false" ht="15.75" hidden="false" customHeight="false" outlineLevel="0" collapsed="false">
      <c r="B39" s="12"/>
    </row>
    <row r="40" customFormat="false" ht="15.75" hidden="false" customHeight="false" outlineLevel="0" collapsed="false">
      <c r="B40" s="12"/>
    </row>
    <row r="41" customFormat="false" ht="15.75" hidden="false" customHeight="false" outlineLevel="0" collapsed="false">
      <c r="B41" s="12"/>
    </row>
    <row r="42" customFormat="false" ht="15.75" hidden="false" customHeight="false" outlineLevel="0" collapsed="false">
      <c r="B42" s="12"/>
    </row>
    <row r="43" customFormat="false" ht="15.75" hidden="false" customHeight="false" outlineLevel="0" collapsed="false">
      <c r="B43" s="12"/>
    </row>
    <row r="44" customFormat="false" ht="15.75" hidden="false" customHeight="false" outlineLevel="0" collapsed="false">
      <c r="B44" s="12"/>
    </row>
    <row r="45" customFormat="false" ht="15.75" hidden="false" customHeight="false" outlineLevel="0" collapsed="false">
      <c r="B45" s="12"/>
    </row>
    <row r="46" customFormat="false" ht="15.75" hidden="false" customHeight="false" outlineLevel="0" collapsed="false">
      <c r="B46" s="12"/>
    </row>
    <row r="47" customFormat="false" ht="15.75" hidden="false" customHeight="false" outlineLevel="0" collapsed="false">
      <c r="B47" s="12"/>
    </row>
    <row r="48" customFormat="false" ht="15.75" hidden="false" customHeight="false" outlineLevel="0" collapsed="false">
      <c r="B48" s="12"/>
    </row>
    <row r="49" customFormat="false" ht="15.75" hidden="false" customHeight="false" outlineLevel="0" collapsed="false">
      <c r="B49" s="12"/>
    </row>
    <row r="50" customFormat="false" ht="15.75" hidden="false" customHeight="false" outlineLevel="0" collapsed="false">
      <c r="B50" s="12"/>
    </row>
    <row r="51" customFormat="false" ht="15.75" hidden="false" customHeight="false" outlineLevel="0" collapsed="false">
      <c r="B51" s="12"/>
    </row>
    <row r="52" customFormat="false" ht="15.75" hidden="false" customHeight="false" outlineLevel="0" collapsed="false">
      <c r="B52" s="12"/>
    </row>
    <row r="53" customFormat="false" ht="15.75" hidden="false" customHeight="false" outlineLevel="0" collapsed="false">
      <c r="B53" s="12"/>
    </row>
    <row r="54" customFormat="false" ht="15.75" hidden="false" customHeight="false" outlineLevel="0" collapsed="false">
      <c r="B54" s="12"/>
    </row>
    <row r="55" customFormat="false" ht="15.75" hidden="false" customHeight="false" outlineLevel="0" collapsed="false">
      <c r="B55" s="12"/>
    </row>
    <row r="56" customFormat="false" ht="15.75" hidden="false" customHeight="false" outlineLevel="0" collapsed="false">
      <c r="B56" s="12"/>
    </row>
    <row r="57" customFormat="false" ht="15.75" hidden="false" customHeight="false" outlineLevel="0" collapsed="false">
      <c r="B57" s="12"/>
    </row>
    <row r="58" customFormat="false" ht="15.75" hidden="false" customHeight="false" outlineLevel="0" collapsed="false">
      <c r="B58" s="12"/>
    </row>
    <row r="59" customFormat="false" ht="15.75" hidden="false" customHeight="false" outlineLevel="0" collapsed="false">
      <c r="B59" s="12"/>
    </row>
    <row r="60" customFormat="false" ht="15.75" hidden="false" customHeight="false" outlineLevel="0" collapsed="false">
      <c r="B60" s="12"/>
    </row>
    <row r="61" customFormat="false" ht="15.75" hidden="false" customHeight="false" outlineLevel="0" collapsed="false">
      <c r="B61" s="12"/>
    </row>
    <row r="62" customFormat="false" ht="15.75" hidden="false" customHeight="false" outlineLevel="0" collapsed="false">
      <c r="B62" s="12"/>
    </row>
    <row r="63" customFormat="false" ht="15.75" hidden="false" customHeight="false" outlineLevel="0" collapsed="false">
      <c r="B63" s="12"/>
    </row>
    <row r="64" customFormat="false" ht="15.75" hidden="false" customHeight="false" outlineLevel="0" collapsed="false">
      <c r="B64" s="12"/>
    </row>
    <row r="65" customFormat="false" ht="15.75" hidden="false" customHeight="false" outlineLevel="0" collapsed="false">
      <c r="B65" s="12"/>
    </row>
    <row r="66" customFormat="false" ht="15.75" hidden="false" customHeight="false" outlineLevel="0" collapsed="false">
      <c r="B66" s="12"/>
    </row>
    <row r="67" customFormat="false" ht="15.75" hidden="false" customHeight="false" outlineLevel="0" collapsed="false">
      <c r="B67" s="12"/>
    </row>
    <row r="68" customFormat="false" ht="15.75" hidden="false" customHeight="false" outlineLevel="0" collapsed="false">
      <c r="B68" s="12"/>
    </row>
    <row r="69" customFormat="false" ht="15.75" hidden="false" customHeight="false" outlineLevel="0" collapsed="false">
      <c r="B69" s="12"/>
    </row>
    <row r="70" customFormat="false" ht="15.75" hidden="false" customHeight="false" outlineLevel="0" collapsed="false">
      <c r="B70" s="12"/>
    </row>
    <row r="71" customFormat="false" ht="15.75" hidden="false" customHeight="false" outlineLevel="0" collapsed="false">
      <c r="B71" s="12"/>
    </row>
    <row r="72" customFormat="false" ht="15.75" hidden="false" customHeight="false" outlineLevel="0" collapsed="false">
      <c r="B72" s="12"/>
    </row>
    <row r="73" customFormat="false" ht="15.75" hidden="false" customHeight="false" outlineLevel="0" collapsed="false">
      <c r="B73" s="12"/>
    </row>
    <row r="74" customFormat="false" ht="15.75" hidden="false" customHeight="false" outlineLevel="0" collapsed="false">
      <c r="B74" s="12"/>
    </row>
    <row r="75" customFormat="false" ht="15.75" hidden="false" customHeight="false" outlineLevel="0" collapsed="false">
      <c r="B75" s="12"/>
    </row>
    <row r="76" customFormat="false" ht="15.75" hidden="false" customHeight="false" outlineLevel="0" collapsed="false">
      <c r="B76" s="12"/>
    </row>
    <row r="77" customFormat="false" ht="15.75" hidden="false" customHeight="false" outlineLevel="0" collapsed="false">
      <c r="B77" s="12"/>
    </row>
    <row r="78" customFormat="false" ht="15.75" hidden="false" customHeight="false" outlineLevel="0" collapsed="false">
      <c r="B78" s="12"/>
    </row>
    <row r="79" customFormat="false" ht="15.75" hidden="false" customHeight="false" outlineLevel="0" collapsed="false">
      <c r="B79" s="12"/>
    </row>
    <row r="80" customFormat="false" ht="15.75" hidden="false" customHeight="false" outlineLevel="0" collapsed="false">
      <c r="B80" s="12"/>
    </row>
    <row r="81" customFormat="false" ht="15.75" hidden="false" customHeight="false" outlineLevel="0" collapsed="false">
      <c r="B81" s="12"/>
    </row>
    <row r="82" customFormat="false" ht="15.75" hidden="false" customHeight="false" outlineLevel="0" collapsed="false">
      <c r="B82" s="12"/>
    </row>
    <row r="83" customFormat="false" ht="15.75" hidden="false" customHeight="false" outlineLevel="0" collapsed="false">
      <c r="B83" s="12"/>
    </row>
    <row r="84" customFormat="false" ht="15.75" hidden="false" customHeight="false" outlineLevel="0" collapsed="false">
      <c r="B84" s="12"/>
    </row>
    <row r="85" customFormat="false" ht="15.75" hidden="false" customHeight="false" outlineLevel="0" collapsed="false">
      <c r="B85" s="12"/>
    </row>
    <row r="86" customFormat="false" ht="15.75" hidden="false" customHeight="false" outlineLevel="0" collapsed="false">
      <c r="B86" s="12"/>
    </row>
    <row r="87" customFormat="false" ht="15.75" hidden="false" customHeight="false" outlineLevel="0" collapsed="false">
      <c r="B87" s="12"/>
    </row>
    <row r="88" customFormat="false" ht="15.75" hidden="false" customHeight="false" outlineLevel="0" collapsed="false">
      <c r="B88" s="12"/>
    </row>
    <row r="89" customFormat="false" ht="15.75" hidden="false" customHeight="false" outlineLevel="0" collapsed="false">
      <c r="B89" s="12"/>
    </row>
    <row r="90" customFormat="false" ht="15.75" hidden="false" customHeight="false" outlineLevel="0" collapsed="false">
      <c r="B90" s="12"/>
    </row>
    <row r="91" customFormat="false" ht="15.75" hidden="false" customHeight="false" outlineLevel="0" collapsed="false">
      <c r="B91" s="12"/>
    </row>
    <row r="92" customFormat="false" ht="15.75" hidden="false" customHeight="false" outlineLevel="0" collapsed="false">
      <c r="B92" s="12"/>
    </row>
    <row r="93" customFormat="false" ht="15.75" hidden="false" customHeight="false" outlineLevel="0" collapsed="false">
      <c r="B93" s="12"/>
    </row>
    <row r="94" customFormat="false" ht="15.75" hidden="false" customHeight="false" outlineLevel="0" collapsed="false">
      <c r="B94" s="12"/>
    </row>
    <row r="95" customFormat="false" ht="15.75" hidden="false" customHeight="false" outlineLevel="0" collapsed="false">
      <c r="B95" s="12"/>
    </row>
    <row r="96" customFormat="false" ht="15.75" hidden="false" customHeight="false" outlineLevel="0" collapsed="false">
      <c r="B96" s="12"/>
    </row>
    <row r="97" customFormat="false" ht="15.75" hidden="false" customHeight="false" outlineLevel="0" collapsed="false">
      <c r="B97" s="12"/>
    </row>
    <row r="98" customFormat="false" ht="15.75" hidden="false" customHeight="false" outlineLevel="0" collapsed="false">
      <c r="B98" s="12"/>
    </row>
    <row r="99" customFormat="false" ht="15.75" hidden="false" customHeight="false" outlineLevel="0" collapsed="false">
      <c r="B99" s="12"/>
    </row>
    <row r="100" customFormat="false" ht="15.75" hidden="false" customHeight="false" outlineLevel="0" collapsed="false">
      <c r="B100" s="12"/>
    </row>
    <row r="101" customFormat="false" ht="15.75" hidden="false" customHeight="false" outlineLevel="0" collapsed="false">
      <c r="B101" s="12"/>
    </row>
    <row r="102" customFormat="false" ht="15.75" hidden="false" customHeight="false" outlineLevel="0" collapsed="false">
      <c r="B102" s="12"/>
    </row>
    <row r="103" customFormat="false" ht="15.75" hidden="false" customHeight="false" outlineLevel="0" collapsed="false">
      <c r="B103" s="12"/>
    </row>
    <row r="104" customFormat="false" ht="15.75" hidden="false" customHeight="false" outlineLevel="0" collapsed="false">
      <c r="B104" s="12"/>
    </row>
    <row r="105" customFormat="false" ht="15.75" hidden="false" customHeight="false" outlineLevel="0" collapsed="false">
      <c r="B105" s="12"/>
    </row>
    <row r="106" customFormat="false" ht="15.75" hidden="false" customHeight="false" outlineLevel="0" collapsed="false">
      <c r="B106" s="12"/>
    </row>
    <row r="107" customFormat="false" ht="15.75" hidden="false" customHeight="false" outlineLevel="0" collapsed="false">
      <c r="B107" s="12"/>
    </row>
    <row r="108" customFormat="false" ht="15.75" hidden="false" customHeight="false" outlineLevel="0" collapsed="false">
      <c r="B108" s="12"/>
    </row>
    <row r="109" customFormat="false" ht="15.75" hidden="false" customHeight="false" outlineLevel="0" collapsed="false">
      <c r="B109" s="12"/>
    </row>
    <row r="110" customFormat="false" ht="15.75" hidden="false" customHeight="false" outlineLevel="0" collapsed="false">
      <c r="B110" s="12"/>
    </row>
    <row r="111" customFormat="false" ht="15.75" hidden="false" customHeight="false" outlineLevel="0" collapsed="false">
      <c r="B111" s="12"/>
    </row>
    <row r="112" customFormat="false" ht="15.75" hidden="false" customHeight="false" outlineLevel="0" collapsed="false">
      <c r="B112" s="12"/>
    </row>
    <row r="113" customFormat="false" ht="15.75" hidden="false" customHeight="false" outlineLevel="0" collapsed="false">
      <c r="B113" s="12"/>
    </row>
    <row r="114" customFormat="false" ht="15.75" hidden="false" customHeight="false" outlineLevel="0" collapsed="false">
      <c r="B114" s="12"/>
    </row>
    <row r="115" customFormat="false" ht="15.75" hidden="false" customHeight="false" outlineLevel="0" collapsed="false">
      <c r="B115" s="12"/>
    </row>
    <row r="116" customFormat="false" ht="15.75" hidden="false" customHeight="false" outlineLevel="0" collapsed="false">
      <c r="B116" s="12"/>
    </row>
    <row r="117" customFormat="false" ht="15.75" hidden="false" customHeight="false" outlineLevel="0" collapsed="false">
      <c r="B117" s="12"/>
    </row>
    <row r="118" customFormat="false" ht="15.75" hidden="false" customHeight="false" outlineLevel="0" collapsed="false">
      <c r="B118" s="12"/>
    </row>
    <row r="119" customFormat="false" ht="15.75" hidden="false" customHeight="false" outlineLevel="0" collapsed="false">
      <c r="B119" s="12"/>
    </row>
    <row r="120" customFormat="false" ht="15.75" hidden="false" customHeight="false" outlineLevel="0" collapsed="false">
      <c r="B120" s="12"/>
    </row>
    <row r="121" customFormat="false" ht="15.75" hidden="false" customHeight="false" outlineLevel="0" collapsed="false">
      <c r="B121" s="12"/>
    </row>
    <row r="122" customFormat="false" ht="15.75" hidden="false" customHeight="false" outlineLevel="0" collapsed="false">
      <c r="B122" s="12"/>
    </row>
    <row r="123" customFormat="false" ht="15.75" hidden="false" customHeight="false" outlineLevel="0" collapsed="false">
      <c r="B123" s="12"/>
    </row>
    <row r="124" customFormat="false" ht="15.75" hidden="false" customHeight="false" outlineLevel="0" collapsed="false">
      <c r="B124" s="12"/>
    </row>
    <row r="125" customFormat="false" ht="15.75" hidden="false" customHeight="false" outlineLevel="0" collapsed="false">
      <c r="B125" s="12"/>
    </row>
    <row r="126" customFormat="false" ht="15.75" hidden="false" customHeight="false" outlineLevel="0" collapsed="false">
      <c r="B126" s="12"/>
    </row>
    <row r="127" customFormat="false" ht="15.75" hidden="false" customHeight="false" outlineLevel="0" collapsed="false">
      <c r="B127" s="12"/>
    </row>
    <row r="128" customFormat="false" ht="15.75" hidden="false" customHeight="false" outlineLevel="0" collapsed="false">
      <c r="B128" s="12"/>
    </row>
    <row r="129" customFormat="false" ht="15.75" hidden="false" customHeight="false" outlineLevel="0" collapsed="false">
      <c r="B129" s="12"/>
    </row>
    <row r="130" customFormat="false" ht="15.75" hidden="false" customHeight="false" outlineLevel="0" collapsed="false">
      <c r="B130" s="12"/>
    </row>
    <row r="131" customFormat="false" ht="15.75" hidden="false" customHeight="false" outlineLevel="0" collapsed="false">
      <c r="B131" s="12"/>
    </row>
    <row r="132" customFormat="false" ht="15.75" hidden="false" customHeight="false" outlineLevel="0" collapsed="false">
      <c r="B132" s="12"/>
    </row>
    <row r="133" customFormat="false" ht="15.75" hidden="false" customHeight="false" outlineLevel="0" collapsed="false">
      <c r="B133" s="12"/>
    </row>
    <row r="134" customFormat="false" ht="15.75" hidden="false" customHeight="false" outlineLevel="0" collapsed="false">
      <c r="B134" s="12"/>
    </row>
    <row r="135" customFormat="false" ht="15.75" hidden="false" customHeight="false" outlineLevel="0" collapsed="false">
      <c r="B135" s="12"/>
    </row>
    <row r="136" customFormat="false" ht="15.75" hidden="false" customHeight="false" outlineLevel="0" collapsed="false">
      <c r="B136" s="12"/>
    </row>
    <row r="137" customFormat="false" ht="15.75" hidden="false" customHeight="false" outlineLevel="0" collapsed="false">
      <c r="B137" s="12"/>
    </row>
    <row r="138" customFormat="false" ht="15.75" hidden="false" customHeight="false" outlineLevel="0" collapsed="false">
      <c r="B138" s="12"/>
    </row>
    <row r="139" customFormat="false" ht="15.75" hidden="false" customHeight="false" outlineLevel="0" collapsed="false">
      <c r="B139" s="12"/>
    </row>
    <row r="140" customFormat="false" ht="15.75" hidden="false" customHeight="false" outlineLevel="0" collapsed="false">
      <c r="B140" s="12"/>
    </row>
    <row r="141" customFormat="false" ht="15.75" hidden="false" customHeight="false" outlineLevel="0" collapsed="false">
      <c r="B141" s="12"/>
    </row>
    <row r="142" customFormat="false" ht="15.75" hidden="false" customHeight="false" outlineLevel="0" collapsed="false">
      <c r="B142" s="12"/>
    </row>
    <row r="143" customFormat="false" ht="15.75" hidden="false" customHeight="false" outlineLevel="0" collapsed="false">
      <c r="B143" s="12"/>
    </row>
    <row r="144" customFormat="false" ht="15.75" hidden="false" customHeight="false" outlineLevel="0" collapsed="false">
      <c r="B144" s="12"/>
    </row>
    <row r="145" customFormat="false" ht="15.75" hidden="false" customHeight="false" outlineLevel="0" collapsed="false">
      <c r="B145" s="12"/>
    </row>
    <row r="146" customFormat="false" ht="15.75" hidden="false" customHeight="false" outlineLevel="0" collapsed="false">
      <c r="B146" s="12"/>
    </row>
    <row r="147" customFormat="false" ht="15.75" hidden="false" customHeight="false" outlineLevel="0" collapsed="false">
      <c r="B147" s="12"/>
    </row>
    <row r="148" customFormat="false" ht="15.75" hidden="false" customHeight="false" outlineLevel="0" collapsed="false">
      <c r="B148" s="12"/>
    </row>
    <row r="149" customFormat="false" ht="15.75" hidden="false" customHeight="false" outlineLevel="0" collapsed="false">
      <c r="B149" s="12"/>
    </row>
    <row r="150" customFormat="false" ht="15.75" hidden="false" customHeight="false" outlineLevel="0" collapsed="false">
      <c r="B150" s="12"/>
    </row>
    <row r="151" customFormat="false" ht="15.75" hidden="false" customHeight="false" outlineLevel="0" collapsed="false">
      <c r="B151" s="12"/>
    </row>
    <row r="152" customFormat="false" ht="15.75" hidden="false" customHeight="false" outlineLevel="0" collapsed="false">
      <c r="B152" s="12"/>
    </row>
    <row r="153" customFormat="false" ht="15.75" hidden="false" customHeight="false" outlineLevel="0" collapsed="false">
      <c r="B153" s="12"/>
    </row>
    <row r="154" customFormat="false" ht="15.75" hidden="false" customHeight="false" outlineLevel="0" collapsed="false">
      <c r="B154" s="12"/>
    </row>
    <row r="155" customFormat="false" ht="15.75" hidden="false" customHeight="false" outlineLevel="0" collapsed="false">
      <c r="B155" s="12"/>
    </row>
    <row r="156" customFormat="false" ht="15.75" hidden="false" customHeight="false" outlineLevel="0" collapsed="false">
      <c r="B156" s="12"/>
    </row>
    <row r="157" customFormat="false" ht="15.75" hidden="false" customHeight="false" outlineLevel="0" collapsed="false">
      <c r="B157" s="12"/>
    </row>
    <row r="158" customFormat="false" ht="15.75" hidden="false" customHeight="false" outlineLevel="0" collapsed="false">
      <c r="B158" s="12"/>
    </row>
    <row r="159" customFormat="false" ht="15.75" hidden="false" customHeight="false" outlineLevel="0" collapsed="false">
      <c r="B159" s="12"/>
    </row>
    <row r="160" customFormat="false" ht="15.75" hidden="false" customHeight="false" outlineLevel="0" collapsed="false">
      <c r="B160" s="12"/>
    </row>
    <row r="161" customFormat="false" ht="15.75" hidden="false" customHeight="false" outlineLevel="0" collapsed="false">
      <c r="B161" s="12"/>
    </row>
    <row r="162" customFormat="false" ht="15.75" hidden="false" customHeight="false" outlineLevel="0" collapsed="false">
      <c r="B162" s="12"/>
    </row>
    <row r="163" customFormat="false" ht="15.75" hidden="false" customHeight="false" outlineLevel="0" collapsed="false">
      <c r="B163" s="12"/>
    </row>
    <row r="164" customFormat="false" ht="15.75" hidden="false" customHeight="false" outlineLevel="0" collapsed="false">
      <c r="B164" s="12"/>
    </row>
    <row r="165" customFormat="false" ht="15.75" hidden="false" customHeight="false" outlineLevel="0" collapsed="false">
      <c r="B165" s="12"/>
    </row>
    <row r="166" customFormat="false" ht="15.75" hidden="false" customHeight="false" outlineLevel="0" collapsed="false">
      <c r="B166" s="12"/>
    </row>
    <row r="167" customFormat="false" ht="15.75" hidden="false" customHeight="false" outlineLevel="0" collapsed="false">
      <c r="B167" s="12"/>
    </row>
    <row r="168" customFormat="false" ht="15.75" hidden="false" customHeight="false" outlineLevel="0" collapsed="false">
      <c r="B168" s="12"/>
    </row>
    <row r="169" customFormat="false" ht="15.75" hidden="false" customHeight="false" outlineLevel="0" collapsed="false">
      <c r="B169" s="12"/>
    </row>
    <row r="170" customFormat="false" ht="15.75" hidden="false" customHeight="false" outlineLevel="0" collapsed="false">
      <c r="B170" s="12"/>
    </row>
    <row r="171" customFormat="false" ht="15.75" hidden="false" customHeight="false" outlineLevel="0" collapsed="false">
      <c r="B171" s="12"/>
    </row>
    <row r="172" customFormat="false" ht="15.75" hidden="false" customHeight="false" outlineLevel="0" collapsed="false">
      <c r="B172" s="12"/>
    </row>
    <row r="173" customFormat="false" ht="15.75" hidden="false" customHeight="false" outlineLevel="0" collapsed="false">
      <c r="B173" s="12"/>
    </row>
    <row r="174" customFormat="false" ht="15.75" hidden="false" customHeight="false" outlineLevel="0" collapsed="false">
      <c r="B174" s="12"/>
    </row>
    <row r="175" customFormat="false" ht="15.75" hidden="false" customHeight="false" outlineLevel="0" collapsed="false">
      <c r="B175" s="12"/>
    </row>
    <row r="176" customFormat="false" ht="15.75" hidden="false" customHeight="false" outlineLevel="0" collapsed="false">
      <c r="B176" s="12"/>
    </row>
    <row r="177" customFormat="false" ht="15.75" hidden="false" customHeight="false" outlineLevel="0" collapsed="false">
      <c r="B177" s="12"/>
    </row>
    <row r="178" customFormat="false" ht="15.75" hidden="false" customHeight="false" outlineLevel="0" collapsed="false">
      <c r="B178" s="12"/>
    </row>
    <row r="179" customFormat="false" ht="15.75" hidden="false" customHeight="false" outlineLevel="0" collapsed="false">
      <c r="B179" s="12"/>
    </row>
    <row r="180" customFormat="false" ht="15.75" hidden="false" customHeight="false" outlineLevel="0" collapsed="false">
      <c r="B180" s="12"/>
    </row>
    <row r="181" customFormat="false" ht="15.75" hidden="false" customHeight="false" outlineLevel="0" collapsed="false">
      <c r="B181" s="12"/>
    </row>
    <row r="182" customFormat="false" ht="15.75" hidden="false" customHeight="false" outlineLevel="0" collapsed="false">
      <c r="B182" s="12"/>
    </row>
    <row r="183" customFormat="false" ht="15.75" hidden="false" customHeight="false" outlineLevel="0" collapsed="false">
      <c r="B183" s="12"/>
    </row>
    <row r="184" customFormat="false" ht="15.75" hidden="false" customHeight="false" outlineLevel="0" collapsed="false">
      <c r="B184" s="12"/>
    </row>
    <row r="185" customFormat="false" ht="15.75" hidden="false" customHeight="false" outlineLevel="0" collapsed="false">
      <c r="B185" s="12"/>
    </row>
    <row r="186" customFormat="false" ht="15.75" hidden="false" customHeight="false" outlineLevel="0" collapsed="false">
      <c r="B186" s="12"/>
    </row>
    <row r="187" customFormat="false" ht="15.75" hidden="false" customHeight="false" outlineLevel="0" collapsed="false">
      <c r="B187" s="12"/>
    </row>
    <row r="188" customFormat="false" ht="15.75" hidden="false" customHeight="false" outlineLevel="0" collapsed="false">
      <c r="B188" s="12"/>
    </row>
    <row r="189" customFormat="false" ht="15.75" hidden="false" customHeight="false" outlineLevel="0" collapsed="false">
      <c r="B189" s="12"/>
    </row>
    <row r="190" customFormat="false" ht="15.75" hidden="false" customHeight="false" outlineLevel="0" collapsed="false">
      <c r="B190" s="12"/>
    </row>
    <row r="191" customFormat="false" ht="15.75" hidden="false" customHeight="false" outlineLevel="0" collapsed="false">
      <c r="B191" s="12"/>
    </row>
    <row r="192" customFormat="false" ht="15.75" hidden="false" customHeight="false" outlineLevel="0" collapsed="false">
      <c r="B192" s="12"/>
    </row>
    <row r="193" customFormat="false" ht="15.75" hidden="false" customHeight="false" outlineLevel="0" collapsed="false">
      <c r="B193" s="12"/>
    </row>
    <row r="194" customFormat="false" ht="15.75" hidden="false" customHeight="false" outlineLevel="0" collapsed="false">
      <c r="B194" s="12"/>
    </row>
    <row r="195" customFormat="false" ht="15.75" hidden="false" customHeight="false" outlineLevel="0" collapsed="false">
      <c r="B195" s="12"/>
    </row>
    <row r="196" customFormat="false" ht="15.75" hidden="false" customHeight="false" outlineLevel="0" collapsed="false">
      <c r="B196" s="12"/>
    </row>
    <row r="197" customFormat="false" ht="15.75" hidden="false" customHeight="false" outlineLevel="0" collapsed="false">
      <c r="B197" s="12"/>
    </row>
    <row r="198" customFormat="false" ht="15.75" hidden="false" customHeight="false" outlineLevel="0" collapsed="false">
      <c r="B198" s="12"/>
    </row>
    <row r="199" customFormat="false" ht="15.75" hidden="false" customHeight="false" outlineLevel="0" collapsed="false">
      <c r="B199" s="12"/>
    </row>
    <row r="200" customFormat="false" ht="15.75" hidden="false" customHeight="false" outlineLevel="0" collapsed="false">
      <c r="B200" s="12"/>
    </row>
    <row r="201" customFormat="false" ht="15.75" hidden="false" customHeight="false" outlineLevel="0" collapsed="false">
      <c r="B201" s="12"/>
    </row>
    <row r="202" customFormat="false" ht="15.75" hidden="false" customHeight="false" outlineLevel="0" collapsed="false">
      <c r="B202" s="12"/>
    </row>
    <row r="203" customFormat="false" ht="15.75" hidden="false" customHeight="false" outlineLevel="0" collapsed="false">
      <c r="B203" s="12"/>
    </row>
    <row r="204" customFormat="false" ht="15.75" hidden="false" customHeight="false" outlineLevel="0" collapsed="false">
      <c r="B204" s="12"/>
    </row>
    <row r="205" customFormat="false" ht="15.75" hidden="false" customHeight="false" outlineLevel="0" collapsed="false">
      <c r="B205" s="12"/>
    </row>
    <row r="206" customFormat="false" ht="15.75" hidden="false" customHeight="false" outlineLevel="0" collapsed="false">
      <c r="B206" s="12"/>
    </row>
    <row r="207" customFormat="false" ht="15.75" hidden="false" customHeight="false" outlineLevel="0" collapsed="false">
      <c r="B207" s="12"/>
    </row>
    <row r="208" customFormat="false" ht="15.75" hidden="false" customHeight="false" outlineLevel="0" collapsed="false">
      <c r="B208" s="12"/>
    </row>
    <row r="209" customFormat="false" ht="15.75" hidden="false" customHeight="false" outlineLevel="0" collapsed="false">
      <c r="B209" s="12"/>
    </row>
    <row r="210" customFormat="false" ht="15.75" hidden="false" customHeight="false" outlineLevel="0" collapsed="false">
      <c r="B210" s="12"/>
    </row>
    <row r="211" customFormat="false" ht="15.75" hidden="false" customHeight="false" outlineLevel="0" collapsed="false">
      <c r="B211" s="12"/>
    </row>
    <row r="212" customFormat="false" ht="15.75" hidden="false" customHeight="false" outlineLevel="0" collapsed="false">
      <c r="B212" s="12"/>
    </row>
    <row r="213" customFormat="false" ht="15.75" hidden="false" customHeight="false" outlineLevel="0" collapsed="false">
      <c r="B213" s="12"/>
    </row>
    <row r="214" customFormat="false" ht="15.75" hidden="false" customHeight="false" outlineLevel="0" collapsed="false">
      <c r="B214" s="12"/>
    </row>
    <row r="215" customFormat="false" ht="15.75" hidden="false" customHeight="false" outlineLevel="0" collapsed="false">
      <c r="B215" s="12"/>
    </row>
    <row r="216" customFormat="false" ht="15.75" hidden="false" customHeight="false" outlineLevel="0" collapsed="false">
      <c r="B216" s="12"/>
    </row>
    <row r="217" customFormat="false" ht="15.75" hidden="false" customHeight="false" outlineLevel="0" collapsed="false">
      <c r="B217" s="12"/>
    </row>
    <row r="218" customFormat="false" ht="15.75" hidden="false" customHeight="false" outlineLevel="0" collapsed="false">
      <c r="B218" s="12"/>
    </row>
    <row r="219" customFormat="false" ht="15.75" hidden="false" customHeight="false" outlineLevel="0" collapsed="false">
      <c r="B219" s="12"/>
    </row>
    <row r="220" customFormat="false" ht="15.75" hidden="false" customHeight="false" outlineLevel="0" collapsed="false">
      <c r="B220" s="12"/>
    </row>
    <row r="221" customFormat="false" ht="15.75" hidden="false" customHeight="false" outlineLevel="0" collapsed="false">
      <c r="B221" s="12"/>
    </row>
    <row r="222" customFormat="false" ht="15.75" hidden="false" customHeight="false" outlineLevel="0" collapsed="false">
      <c r="B222" s="12"/>
    </row>
    <row r="223" customFormat="false" ht="15.75" hidden="false" customHeight="false" outlineLevel="0" collapsed="false">
      <c r="B223" s="12"/>
    </row>
    <row r="224" customFormat="false" ht="15.75" hidden="false" customHeight="false" outlineLevel="0" collapsed="false">
      <c r="B224" s="12"/>
    </row>
    <row r="225" customFormat="false" ht="15.75" hidden="false" customHeight="false" outlineLevel="0" collapsed="false">
      <c r="B225" s="12"/>
    </row>
    <row r="226" customFormat="false" ht="15.75" hidden="false" customHeight="false" outlineLevel="0" collapsed="false">
      <c r="B226" s="12"/>
    </row>
    <row r="227" customFormat="false" ht="15.75" hidden="false" customHeight="false" outlineLevel="0" collapsed="false">
      <c r="B227" s="12"/>
    </row>
    <row r="228" customFormat="false" ht="15.75" hidden="false" customHeight="false" outlineLevel="0" collapsed="false">
      <c r="B228" s="12"/>
    </row>
    <row r="229" customFormat="false" ht="15.75" hidden="false" customHeight="false" outlineLevel="0" collapsed="false">
      <c r="B229" s="12"/>
    </row>
    <row r="230" customFormat="false" ht="15.75" hidden="false" customHeight="false" outlineLevel="0" collapsed="false">
      <c r="B230" s="12"/>
    </row>
    <row r="231" customFormat="false" ht="15.75" hidden="false" customHeight="false" outlineLevel="0" collapsed="false">
      <c r="B231" s="12"/>
    </row>
    <row r="232" customFormat="false" ht="15.75" hidden="false" customHeight="false" outlineLevel="0" collapsed="false">
      <c r="B232" s="12"/>
    </row>
    <row r="233" customFormat="false" ht="15.75" hidden="false" customHeight="false" outlineLevel="0" collapsed="false">
      <c r="B233" s="12"/>
    </row>
    <row r="234" customFormat="false" ht="15.75" hidden="false" customHeight="false" outlineLevel="0" collapsed="false">
      <c r="B234" s="12"/>
    </row>
    <row r="235" customFormat="false" ht="15.75" hidden="false" customHeight="false" outlineLevel="0" collapsed="false">
      <c r="B235" s="12"/>
    </row>
    <row r="236" customFormat="false" ht="15.75" hidden="false" customHeight="false" outlineLevel="0" collapsed="false">
      <c r="B236" s="12"/>
    </row>
    <row r="237" customFormat="false" ht="15.75" hidden="false" customHeight="false" outlineLevel="0" collapsed="false">
      <c r="B237" s="12"/>
    </row>
    <row r="238" customFormat="false" ht="15.75" hidden="false" customHeight="false" outlineLevel="0" collapsed="false">
      <c r="B238" s="12"/>
    </row>
    <row r="239" customFormat="false" ht="15.75" hidden="false" customHeight="false" outlineLevel="0" collapsed="false">
      <c r="B239" s="12"/>
    </row>
    <row r="240" customFormat="false" ht="15.75" hidden="false" customHeight="false" outlineLevel="0" collapsed="false">
      <c r="B240" s="12"/>
    </row>
    <row r="241" customFormat="false" ht="15.75" hidden="false" customHeight="false" outlineLevel="0" collapsed="false">
      <c r="B241" s="12"/>
    </row>
    <row r="242" customFormat="false" ht="15.75" hidden="false" customHeight="false" outlineLevel="0" collapsed="false">
      <c r="B242" s="12"/>
    </row>
    <row r="243" customFormat="false" ht="15.75" hidden="false" customHeight="false" outlineLevel="0" collapsed="false">
      <c r="B243" s="12"/>
    </row>
    <row r="244" customFormat="false" ht="15.75" hidden="false" customHeight="false" outlineLevel="0" collapsed="false">
      <c r="B244" s="12"/>
    </row>
    <row r="245" customFormat="false" ht="15.75" hidden="false" customHeight="false" outlineLevel="0" collapsed="false">
      <c r="B245" s="12"/>
    </row>
    <row r="246" customFormat="false" ht="15.75" hidden="false" customHeight="false" outlineLevel="0" collapsed="false">
      <c r="B246" s="12"/>
    </row>
    <row r="247" customFormat="false" ht="15.75" hidden="false" customHeight="false" outlineLevel="0" collapsed="false">
      <c r="B247" s="12"/>
    </row>
    <row r="248" customFormat="false" ht="15.75" hidden="false" customHeight="false" outlineLevel="0" collapsed="false">
      <c r="B248" s="12"/>
    </row>
    <row r="249" customFormat="false" ht="15.75" hidden="false" customHeight="false" outlineLevel="0" collapsed="false">
      <c r="B249" s="12"/>
    </row>
    <row r="250" customFormat="false" ht="15.75" hidden="false" customHeight="false" outlineLevel="0" collapsed="false">
      <c r="B250" s="12"/>
    </row>
    <row r="251" customFormat="false" ht="15.75" hidden="false" customHeight="false" outlineLevel="0" collapsed="false">
      <c r="B251" s="12"/>
    </row>
    <row r="252" customFormat="false" ht="15.75" hidden="false" customHeight="false" outlineLevel="0" collapsed="false">
      <c r="B252" s="12"/>
    </row>
    <row r="253" customFormat="false" ht="15.75" hidden="false" customHeight="false" outlineLevel="0" collapsed="false">
      <c r="B253" s="12"/>
    </row>
    <row r="254" customFormat="false" ht="15.75" hidden="false" customHeight="false" outlineLevel="0" collapsed="false">
      <c r="B254" s="12"/>
    </row>
    <row r="255" customFormat="false" ht="15.75" hidden="false" customHeight="false" outlineLevel="0" collapsed="false">
      <c r="B255" s="12"/>
    </row>
    <row r="256" customFormat="false" ht="15.75" hidden="false" customHeight="false" outlineLevel="0" collapsed="false">
      <c r="B256" s="12"/>
    </row>
    <row r="257" customFormat="false" ht="15.75" hidden="false" customHeight="false" outlineLevel="0" collapsed="false">
      <c r="B257" s="12"/>
    </row>
    <row r="258" customFormat="false" ht="15.75" hidden="false" customHeight="false" outlineLevel="0" collapsed="false">
      <c r="B258" s="12"/>
    </row>
    <row r="259" customFormat="false" ht="15.75" hidden="false" customHeight="false" outlineLevel="0" collapsed="false">
      <c r="B259" s="12"/>
    </row>
    <row r="260" customFormat="false" ht="15.75" hidden="false" customHeight="false" outlineLevel="0" collapsed="false">
      <c r="B260" s="12"/>
    </row>
    <row r="261" customFormat="false" ht="15.75" hidden="false" customHeight="false" outlineLevel="0" collapsed="false">
      <c r="B261" s="12"/>
    </row>
    <row r="262" customFormat="false" ht="15.75" hidden="false" customHeight="false" outlineLevel="0" collapsed="false">
      <c r="B262" s="12"/>
    </row>
    <row r="263" customFormat="false" ht="15.75" hidden="false" customHeight="false" outlineLevel="0" collapsed="false">
      <c r="B263" s="12"/>
    </row>
    <row r="264" customFormat="false" ht="15.75" hidden="false" customHeight="false" outlineLevel="0" collapsed="false">
      <c r="B264" s="12"/>
    </row>
    <row r="265" customFormat="false" ht="15.75" hidden="false" customHeight="false" outlineLevel="0" collapsed="false">
      <c r="B265" s="12"/>
    </row>
    <row r="266" customFormat="false" ht="15.75" hidden="false" customHeight="false" outlineLevel="0" collapsed="false">
      <c r="B266" s="12"/>
    </row>
    <row r="267" customFormat="false" ht="15.75" hidden="false" customHeight="false" outlineLevel="0" collapsed="false">
      <c r="B267" s="12"/>
    </row>
    <row r="268" customFormat="false" ht="15.75" hidden="false" customHeight="false" outlineLevel="0" collapsed="false">
      <c r="B268" s="12"/>
    </row>
    <row r="269" customFormat="false" ht="15.75" hidden="false" customHeight="false" outlineLevel="0" collapsed="false">
      <c r="B269" s="12"/>
    </row>
    <row r="270" customFormat="false" ht="15.75" hidden="false" customHeight="false" outlineLevel="0" collapsed="false">
      <c r="B270" s="12"/>
    </row>
    <row r="271" customFormat="false" ht="15.75" hidden="false" customHeight="false" outlineLevel="0" collapsed="false">
      <c r="B271" s="12"/>
    </row>
    <row r="272" customFormat="false" ht="15.75" hidden="false" customHeight="false" outlineLevel="0" collapsed="false">
      <c r="B272" s="12"/>
    </row>
    <row r="273" customFormat="false" ht="15.75" hidden="false" customHeight="false" outlineLevel="0" collapsed="false">
      <c r="B273" s="12"/>
    </row>
    <row r="274" customFormat="false" ht="15.75" hidden="false" customHeight="false" outlineLevel="0" collapsed="false">
      <c r="B274" s="12"/>
    </row>
    <row r="275" customFormat="false" ht="15.75" hidden="false" customHeight="false" outlineLevel="0" collapsed="false">
      <c r="B275" s="12"/>
    </row>
    <row r="276" customFormat="false" ht="15.75" hidden="false" customHeight="false" outlineLevel="0" collapsed="false">
      <c r="B276" s="12"/>
    </row>
    <row r="277" customFormat="false" ht="15.75" hidden="false" customHeight="false" outlineLevel="0" collapsed="false">
      <c r="B277" s="12"/>
    </row>
    <row r="278" customFormat="false" ht="15.75" hidden="false" customHeight="false" outlineLevel="0" collapsed="false">
      <c r="B278" s="12"/>
    </row>
    <row r="279" customFormat="false" ht="15.75" hidden="false" customHeight="false" outlineLevel="0" collapsed="false">
      <c r="B279" s="12"/>
    </row>
    <row r="280" customFormat="false" ht="15.75" hidden="false" customHeight="false" outlineLevel="0" collapsed="false">
      <c r="B280" s="12"/>
    </row>
    <row r="281" customFormat="false" ht="15.75" hidden="false" customHeight="false" outlineLevel="0" collapsed="false">
      <c r="B281" s="12"/>
    </row>
    <row r="282" customFormat="false" ht="15.75" hidden="false" customHeight="false" outlineLevel="0" collapsed="false">
      <c r="B282" s="12"/>
    </row>
    <row r="283" customFormat="false" ht="15.75" hidden="false" customHeight="false" outlineLevel="0" collapsed="false">
      <c r="B283" s="12"/>
    </row>
    <row r="284" customFormat="false" ht="15.75" hidden="false" customHeight="false" outlineLevel="0" collapsed="false">
      <c r="B284" s="12"/>
    </row>
    <row r="285" customFormat="false" ht="15.75" hidden="false" customHeight="false" outlineLevel="0" collapsed="false">
      <c r="B285" s="12"/>
    </row>
    <row r="286" customFormat="false" ht="15.75" hidden="false" customHeight="false" outlineLevel="0" collapsed="false">
      <c r="B286" s="12"/>
    </row>
    <row r="287" customFormat="false" ht="15.75" hidden="false" customHeight="false" outlineLevel="0" collapsed="false">
      <c r="B287" s="12"/>
    </row>
    <row r="288" customFormat="false" ht="15.75" hidden="false" customHeight="false" outlineLevel="0" collapsed="false">
      <c r="B288" s="12"/>
    </row>
    <row r="289" customFormat="false" ht="15.75" hidden="false" customHeight="false" outlineLevel="0" collapsed="false">
      <c r="B289" s="12"/>
    </row>
    <row r="290" customFormat="false" ht="15.75" hidden="false" customHeight="false" outlineLevel="0" collapsed="false">
      <c r="B290" s="12"/>
    </row>
    <row r="291" customFormat="false" ht="15.75" hidden="false" customHeight="false" outlineLevel="0" collapsed="false">
      <c r="B291" s="12"/>
    </row>
    <row r="292" customFormat="false" ht="15.75" hidden="false" customHeight="false" outlineLevel="0" collapsed="false">
      <c r="B292" s="12"/>
    </row>
    <row r="293" customFormat="false" ht="15.75" hidden="false" customHeight="false" outlineLevel="0" collapsed="false">
      <c r="B293" s="12"/>
    </row>
    <row r="294" customFormat="false" ht="15.75" hidden="false" customHeight="false" outlineLevel="0" collapsed="false">
      <c r="B294" s="12"/>
    </row>
    <row r="295" customFormat="false" ht="15.75" hidden="false" customHeight="false" outlineLevel="0" collapsed="false">
      <c r="B295" s="12"/>
    </row>
    <row r="296" customFormat="false" ht="15.75" hidden="false" customHeight="false" outlineLevel="0" collapsed="false">
      <c r="B296" s="12"/>
    </row>
    <row r="297" customFormat="false" ht="15.75" hidden="false" customHeight="false" outlineLevel="0" collapsed="false">
      <c r="B297" s="12"/>
    </row>
    <row r="298" customFormat="false" ht="15.75" hidden="false" customHeight="false" outlineLevel="0" collapsed="false">
      <c r="B298" s="12"/>
    </row>
    <row r="299" customFormat="false" ht="15.75" hidden="false" customHeight="false" outlineLevel="0" collapsed="false">
      <c r="B299" s="12"/>
    </row>
    <row r="300" customFormat="false" ht="15.75" hidden="false" customHeight="false" outlineLevel="0" collapsed="false">
      <c r="B300" s="12"/>
    </row>
    <row r="301" customFormat="false" ht="15.75" hidden="false" customHeight="false" outlineLevel="0" collapsed="false">
      <c r="B301" s="12"/>
    </row>
    <row r="302" customFormat="false" ht="15.75" hidden="false" customHeight="false" outlineLevel="0" collapsed="false">
      <c r="B302" s="12"/>
    </row>
    <row r="303" customFormat="false" ht="15.75" hidden="false" customHeight="false" outlineLevel="0" collapsed="false">
      <c r="B303" s="12"/>
    </row>
    <row r="304" customFormat="false" ht="15.75" hidden="false" customHeight="false" outlineLevel="0" collapsed="false">
      <c r="B304" s="12"/>
    </row>
    <row r="305" customFormat="false" ht="15.75" hidden="false" customHeight="false" outlineLevel="0" collapsed="false">
      <c r="B305" s="12"/>
    </row>
    <row r="306" customFormat="false" ht="15.75" hidden="false" customHeight="false" outlineLevel="0" collapsed="false">
      <c r="B306" s="12"/>
    </row>
    <row r="307" customFormat="false" ht="15.75" hidden="false" customHeight="false" outlineLevel="0" collapsed="false">
      <c r="B307" s="12"/>
    </row>
    <row r="308" customFormat="false" ht="15.75" hidden="false" customHeight="false" outlineLevel="0" collapsed="false">
      <c r="B308" s="12"/>
    </row>
    <row r="309" customFormat="false" ht="15.75" hidden="false" customHeight="false" outlineLevel="0" collapsed="false">
      <c r="B309" s="12"/>
    </row>
    <row r="310" customFormat="false" ht="15.75" hidden="false" customHeight="false" outlineLevel="0" collapsed="false">
      <c r="B310" s="12"/>
    </row>
    <row r="311" customFormat="false" ht="15.75" hidden="false" customHeight="false" outlineLevel="0" collapsed="false">
      <c r="B311" s="12"/>
    </row>
    <row r="312" customFormat="false" ht="15.75" hidden="false" customHeight="false" outlineLevel="0" collapsed="false">
      <c r="B312" s="12"/>
    </row>
    <row r="313" customFormat="false" ht="15.75" hidden="false" customHeight="false" outlineLevel="0" collapsed="false">
      <c r="B313" s="12"/>
    </row>
    <row r="314" customFormat="false" ht="15.75" hidden="false" customHeight="false" outlineLevel="0" collapsed="false">
      <c r="B314" s="12"/>
    </row>
    <row r="315" customFormat="false" ht="15.75" hidden="false" customHeight="false" outlineLevel="0" collapsed="false">
      <c r="B315" s="12"/>
    </row>
    <row r="316" customFormat="false" ht="15.75" hidden="false" customHeight="false" outlineLevel="0" collapsed="false">
      <c r="B316" s="12"/>
    </row>
    <row r="317" customFormat="false" ht="15.75" hidden="false" customHeight="false" outlineLevel="0" collapsed="false">
      <c r="B317" s="12"/>
    </row>
    <row r="318" customFormat="false" ht="15.75" hidden="false" customHeight="false" outlineLevel="0" collapsed="false">
      <c r="B318" s="12"/>
    </row>
    <row r="319" customFormat="false" ht="15.75" hidden="false" customHeight="false" outlineLevel="0" collapsed="false">
      <c r="B319" s="12"/>
    </row>
    <row r="320" customFormat="false" ht="15.75" hidden="false" customHeight="false" outlineLevel="0" collapsed="false">
      <c r="B320" s="12"/>
    </row>
    <row r="321" customFormat="false" ht="15.75" hidden="false" customHeight="false" outlineLevel="0" collapsed="false">
      <c r="B321" s="12"/>
    </row>
    <row r="322" customFormat="false" ht="15.75" hidden="false" customHeight="false" outlineLevel="0" collapsed="false">
      <c r="B322" s="12"/>
    </row>
    <row r="323" customFormat="false" ht="15.75" hidden="false" customHeight="false" outlineLevel="0" collapsed="false">
      <c r="B323" s="12"/>
    </row>
    <row r="324" customFormat="false" ht="15.75" hidden="false" customHeight="false" outlineLevel="0" collapsed="false">
      <c r="B324" s="12"/>
    </row>
    <row r="325" customFormat="false" ht="15.75" hidden="false" customHeight="false" outlineLevel="0" collapsed="false">
      <c r="B325" s="12"/>
    </row>
    <row r="326" customFormat="false" ht="15.75" hidden="false" customHeight="false" outlineLevel="0" collapsed="false">
      <c r="B326" s="12"/>
    </row>
    <row r="327" customFormat="false" ht="15.75" hidden="false" customHeight="false" outlineLevel="0" collapsed="false">
      <c r="B327" s="12"/>
    </row>
    <row r="328" customFormat="false" ht="15.75" hidden="false" customHeight="false" outlineLevel="0" collapsed="false">
      <c r="B328" s="12"/>
    </row>
    <row r="329" customFormat="false" ht="15.75" hidden="false" customHeight="false" outlineLevel="0" collapsed="false">
      <c r="B329" s="12"/>
    </row>
    <row r="330" customFormat="false" ht="15.75" hidden="false" customHeight="false" outlineLevel="0" collapsed="false">
      <c r="B330" s="12"/>
    </row>
    <row r="331" customFormat="false" ht="15.75" hidden="false" customHeight="false" outlineLevel="0" collapsed="false">
      <c r="B331" s="12"/>
    </row>
    <row r="332" customFormat="false" ht="15.75" hidden="false" customHeight="false" outlineLevel="0" collapsed="false">
      <c r="B332" s="12"/>
    </row>
    <row r="333" customFormat="false" ht="15.75" hidden="false" customHeight="false" outlineLevel="0" collapsed="false">
      <c r="B333" s="12"/>
    </row>
    <row r="334" customFormat="false" ht="15.75" hidden="false" customHeight="false" outlineLevel="0" collapsed="false">
      <c r="B334" s="12"/>
    </row>
    <row r="335" customFormat="false" ht="15.75" hidden="false" customHeight="false" outlineLevel="0" collapsed="false">
      <c r="B335" s="12"/>
    </row>
    <row r="336" customFormat="false" ht="15.75" hidden="false" customHeight="false" outlineLevel="0" collapsed="false">
      <c r="B336" s="12"/>
    </row>
    <row r="337" customFormat="false" ht="15.75" hidden="false" customHeight="false" outlineLevel="0" collapsed="false">
      <c r="B337" s="12"/>
    </row>
    <row r="338" customFormat="false" ht="15.75" hidden="false" customHeight="false" outlineLevel="0" collapsed="false">
      <c r="B338" s="12"/>
    </row>
    <row r="339" customFormat="false" ht="15.75" hidden="false" customHeight="false" outlineLevel="0" collapsed="false">
      <c r="B339" s="12"/>
    </row>
    <row r="340" customFormat="false" ht="15.75" hidden="false" customHeight="false" outlineLevel="0" collapsed="false">
      <c r="B340" s="12"/>
    </row>
    <row r="341" customFormat="false" ht="15.75" hidden="false" customHeight="false" outlineLevel="0" collapsed="false">
      <c r="B341" s="12"/>
    </row>
    <row r="342" customFormat="false" ht="15.75" hidden="false" customHeight="false" outlineLevel="0" collapsed="false">
      <c r="B342" s="12"/>
    </row>
    <row r="343" customFormat="false" ht="15.75" hidden="false" customHeight="false" outlineLevel="0" collapsed="false">
      <c r="B343" s="12"/>
    </row>
    <row r="344" customFormat="false" ht="15.75" hidden="false" customHeight="false" outlineLevel="0" collapsed="false">
      <c r="B344" s="12"/>
    </row>
    <row r="345" customFormat="false" ht="15.75" hidden="false" customHeight="false" outlineLevel="0" collapsed="false">
      <c r="B345" s="12"/>
    </row>
    <row r="346" customFormat="false" ht="15.75" hidden="false" customHeight="false" outlineLevel="0" collapsed="false">
      <c r="B346" s="12"/>
    </row>
    <row r="347" customFormat="false" ht="15.75" hidden="false" customHeight="false" outlineLevel="0" collapsed="false">
      <c r="B347" s="12"/>
    </row>
    <row r="348" customFormat="false" ht="15.75" hidden="false" customHeight="false" outlineLevel="0" collapsed="false">
      <c r="B348" s="12"/>
    </row>
    <row r="349" customFormat="false" ht="15.75" hidden="false" customHeight="false" outlineLevel="0" collapsed="false">
      <c r="B349" s="12"/>
    </row>
    <row r="350" customFormat="false" ht="15.75" hidden="false" customHeight="false" outlineLevel="0" collapsed="false">
      <c r="B350" s="12"/>
    </row>
    <row r="351" customFormat="false" ht="15.75" hidden="false" customHeight="false" outlineLevel="0" collapsed="false">
      <c r="B351" s="12"/>
    </row>
    <row r="352" customFormat="false" ht="15.75" hidden="false" customHeight="false" outlineLevel="0" collapsed="false">
      <c r="B352" s="12"/>
    </row>
    <row r="353" customFormat="false" ht="15.75" hidden="false" customHeight="false" outlineLevel="0" collapsed="false">
      <c r="B353" s="12"/>
    </row>
    <row r="354" customFormat="false" ht="15.75" hidden="false" customHeight="false" outlineLevel="0" collapsed="false">
      <c r="B354" s="12"/>
    </row>
    <row r="355" customFormat="false" ht="15.75" hidden="false" customHeight="false" outlineLevel="0" collapsed="false">
      <c r="B355" s="12"/>
    </row>
    <row r="356" customFormat="false" ht="15.75" hidden="false" customHeight="false" outlineLevel="0" collapsed="false">
      <c r="B356" s="12"/>
    </row>
    <row r="357" customFormat="false" ht="15.75" hidden="false" customHeight="false" outlineLevel="0" collapsed="false">
      <c r="B357" s="12"/>
    </row>
    <row r="358" customFormat="false" ht="15.75" hidden="false" customHeight="false" outlineLevel="0" collapsed="false">
      <c r="B358" s="12"/>
    </row>
    <row r="359" customFormat="false" ht="15.75" hidden="false" customHeight="false" outlineLevel="0" collapsed="false">
      <c r="B359" s="12"/>
    </row>
    <row r="360" customFormat="false" ht="15.75" hidden="false" customHeight="false" outlineLevel="0" collapsed="false">
      <c r="B360" s="12"/>
    </row>
    <row r="361" customFormat="false" ht="15.75" hidden="false" customHeight="false" outlineLevel="0" collapsed="false">
      <c r="B361" s="12"/>
    </row>
    <row r="362" customFormat="false" ht="15.75" hidden="false" customHeight="false" outlineLevel="0" collapsed="false">
      <c r="B362" s="12"/>
    </row>
    <row r="363" customFormat="false" ht="15.75" hidden="false" customHeight="false" outlineLevel="0" collapsed="false">
      <c r="B363" s="12"/>
    </row>
    <row r="364" customFormat="false" ht="15.75" hidden="false" customHeight="false" outlineLevel="0" collapsed="false">
      <c r="B364" s="12"/>
    </row>
    <row r="365" customFormat="false" ht="15.75" hidden="false" customHeight="false" outlineLevel="0" collapsed="false">
      <c r="B365" s="12"/>
    </row>
    <row r="366" customFormat="false" ht="15.75" hidden="false" customHeight="false" outlineLevel="0" collapsed="false">
      <c r="B366" s="12"/>
    </row>
    <row r="367" customFormat="false" ht="15.75" hidden="false" customHeight="false" outlineLevel="0" collapsed="false">
      <c r="B367" s="12"/>
    </row>
    <row r="368" customFormat="false" ht="15.75" hidden="false" customHeight="false" outlineLevel="0" collapsed="false">
      <c r="B368" s="12"/>
    </row>
    <row r="369" customFormat="false" ht="15.75" hidden="false" customHeight="false" outlineLevel="0" collapsed="false">
      <c r="B369" s="12"/>
    </row>
    <row r="370" customFormat="false" ht="15.75" hidden="false" customHeight="false" outlineLevel="0" collapsed="false">
      <c r="B370" s="12"/>
    </row>
    <row r="371" customFormat="false" ht="15.75" hidden="false" customHeight="false" outlineLevel="0" collapsed="false">
      <c r="B371" s="12"/>
    </row>
    <row r="372" customFormat="false" ht="15.75" hidden="false" customHeight="false" outlineLevel="0" collapsed="false">
      <c r="B372" s="12"/>
    </row>
    <row r="373" customFormat="false" ht="15.75" hidden="false" customHeight="false" outlineLevel="0" collapsed="false">
      <c r="B373" s="12"/>
    </row>
    <row r="374" customFormat="false" ht="15.75" hidden="false" customHeight="false" outlineLevel="0" collapsed="false">
      <c r="B374" s="12"/>
    </row>
    <row r="375" customFormat="false" ht="15.75" hidden="false" customHeight="false" outlineLevel="0" collapsed="false">
      <c r="B375" s="12"/>
    </row>
    <row r="376" customFormat="false" ht="15.75" hidden="false" customHeight="false" outlineLevel="0" collapsed="false">
      <c r="B376" s="12"/>
    </row>
    <row r="377" customFormat="false" ht="15.75" hidden="false" customHeight="false" outlineLevel="0" collapsed="false">
      <c r="B377" s="12"/>
    </row>
    <row r="378" customFormat="false" ht="15.75" hidden="false" customHeight="false" outlineLevel="0" collapsed="false">
      <c r="B378" s="12"/>
    </row>
    <row r="379" customFormat="false" ht="15.75" hidden="false" customHeight="false" outlineLevel="0" collapsed="false">
      <c r="B379" s="12"/>
    </row>
    <row r="380" customFormat="false" ht="15.75" hidden="false" customHeight="false" outlineLevel="0" collapsed="false">
      <c r="B380" s="12"/>
    </row>
    <row r="381" customFormat="false" ht="15.75" hidden="false" customHeight="false" outlineLevel="0" collapsed="false">
      <c r="B381" s="12"/>
    </row>
    <row r="382" customFormat="false" ht="15.75" hidden="false" customHeight="false" outlineLevel="0" collapsed="false">
      <c r="B382" s="12"/>
    </row>
    <row r="383" customFormat="false" ht="15.75" hidden="false" customHeight="false" outlineLevel="0" collapsed="false">
      <c r="B383" s="12"/>
    </row>
    <row r="384" customFormat="false" ht="15.75" hidden="false" customHeight="false" outlineLevel="0" collapsed="false">
      <c r="B384" s="12"/>
    </row>
    <row r="385" customFormat="false" ht="15.75" hidden="false" customHeight="false" outlineLevel="0" collapsed="false">
      <c r="B385" s="12"/>
    </row>
    <row r="386" customFormat="false" ht="15.75" hidden="false" customHeight="false" outlineLevel="0" collapsed="false">
      <c r="B386" s="12"/>
    </row>
    <row r="387" customFormat="false" ht="15.75" hidden="false" customHeight="false" outlineLevel="0" collapsed="false">
      <c r="B387" s="12"/>
    </row>
    <row r="388" customFormat="false" ht="15.75" hidden="false" customHeight="false" outlineLevel="0" collapsed="false">
      <c r="B388" s="12"/>
    </row>
    <row r="389" customFormat="false" ht="15.75" hidden="false" customHeight="false" outlineLevel="0" collapsed="false">
      <c r="B389" s="12"/>
    </row>
    <row r="390" customFormat="false" ht="15.75" hidden="false" customHeight="false" outlineLevel="0" collapsed="false">
      <c r="B390" s="12"/>
    </row>
    <row r="391" customFormat="false" ht="15.75" hidden="false" customHeight="false" outlineLevel="0" collapsed="false">
      <c r="B391" s="12"/>
    </row>
    <row r="392" customFormat="false" ht="15.75" hidden="false" customHeight="false" outlineLevel="0" collapsed="false">
      <c r="B392" s="12"/>
    </row>
    <row r="393" customFormat="false" ht="15.75" hidden="false" customHeight="false" outlineLevel="0" collapsed="false">
      <c r="B393" s="12"/>
    </row>
    <row r="394" customFormat="false" ht="15.75" hidden="false" customHeight="false" outlineLevel="0" collapsed="false">
      <c r="B394" s="12"/>
    </row>
    <row r="395" customFormat="false" ht="15.75" hidden="false" customHeight="false" outlineLevel="0" collapsed="false">
      <c r="B395" s="12"/>
    </row>
    <row r="396" customFormat="false" ht="15.75" hidden="false" customHeight="false" outlineLevel="0" collapsed="false">
      <c r="B396" s="12"/>
    </row>
    <row r="397" customFormat="false" ht="15.75" hidden="false" customHeight="false" outlineLevel="0" collapsed="false">
      <c r="B397" s="12"/>
    </row>
    <row r="398" customFormat="false" ht="15.75" hidden="false" customHeight="false" outlineLevel="0" collapsed="false">
      <c r="B398" s="12"/>
    </row>
    <row r="399" customFormat="false" ht="15.75" hidden="false" customHeight="false" outlineLevel="0" collapsed="false">
      <c r="B399" s="12"/>
    </row>
    <row r="400" customFormat="false" ht="15.75" hidden="false" customHeight="false" outlineLevel="0" collapsed="false">
      <c r="B400" s="12"/>
    </row>
    <row r="401" customFormat="false" ht="15.75" hidden="false" customHeight="false" outlineLevel="0" collapsed="false">
      <c r="B401" s="12"/>
    </row>
    <row r="402" customFormat="false" ht="15.75" hidden="false" customHeight="false" outlineLevel="0" collapsed="false">
      <c r="B402" s="12"/>
    </row>
    <row r="403" customFormat="false" ht="15.75" hidden="false" customHeight="false" outlineLevel="0" collapsed="false">
      <c r="B403" s="12"/>
    </row>
    <row r="404" customFormat="false" ht="15.75" hidden="false" customHeight="false" outlineLevel="0" collapsed="false">
      <c r="B404" s="12"/>
    </row>
    <row r="405" customFormat="false" ht="15.75" hidden="false" customHeight="false" outlineLevel="0" collapsed="false">
      <c r="B405" s="12"/>
    </row>
    <row r="406" customFormat="false" ht="15.75" hidden="false" customHeight="false" outlineLevel="0" collapsed="false">
      <c r="B406" s="12"/>
    </row>
    <row r="407" customFormat="false" ht="15.75" hidden="false" customHeight="false" outlineLevel="0" collapsed="false">
      <c r="B407" s="12"/>
    </row>
    <row r="408" customFormat="false" ht="15.75" hidden="false" customHeight="false" outlineLevel="0" collapsed="false">
      <c r="B408" s="12"/>
    </row>
    <row r="409" customFormat="false" ht="15.75" hidden="false" customHeight="false" outlineLevel="0" collapsed="false">
      <c r="B409" s="12"/>
    </row>
    <row r="410" customFormat="false" ht="15.75" hidden="false" customHeight="false" outlineLevel="0" collapsed="false">
      <c r="B410" s="12"/>
    </row>
    <row r="411" customFormat="false" ht="15.75" hidden="false" customHeight="false" outlineLevel="0" collapsed="false">
      <c r="B411" s="12"/>
    </row>
    <row r="412" customFormat="false" ht="15.75" hidden="false" customHeight="false" outlineLevel="0" collapsed="false">
      <c r="B412" s="12"/>
    </row>
    <row r="413" customFormat="false" ht="15.75" hidden="false" customHeight="false" outlineLevel="0" collapsed="false">
      <c r="B413" s="12"/>
    </row>
    <row r="414" customFormat="false" ht="15.75" hidden="false" customHeight="false" outlineLevel="0" collapsed="false">
      <c r="B414" s="12"/>
    </row>
    <row r="415" customFormat="false" ht="15.75" hidden="false" customHeight="false" outlineLevel="0" collapsed="false">
      <c r="B415" s="12"/>
    </row>
    <row r="416" customFormat="false" ht="15.75" hidden="false" customHeight="false" outlineLevel="0" collapsed="false">
      <c r="B416" s="12"/>
    </row>
    <row r="417" customFormat="false" ht="15.75" hidden="false" customHeight="false" outlineLevel="0" collapsed="false">
      <c r="B417" s="12"/>
    </row>
    <row r="418" customFormat="false" ht="15.75" hidden="false" customHeight="false" outlineLevel="0" collapsed="false">
      <c r="B418" s="12"/>
    </row>
    <row r="419" customFormat="false" ht="15.75" hidden="false" customHeight="false" outlineLevel="0" collapsed="false">
      <c r="B419" s="12"/>
    </row>
    <row r="420" customFormat="false" ht="15.75" hidden="false" customHeight="false" outlineLevel="0" collapsed="false">
      <c r="B420" s="12"/>
    </row>
    <row r="421" customFormat="false" ht="15.75" hidden="false" customHeight="false" outlineLevel="0" collapsed="false">
      <c r="B421" s="12"/>
    </row>
    <row r="422" customFormat="false" ht="15.75" hidden="false" customHeight="false" outlineLevel="0" collapsed="false">
      <c r="B422" s="12"/>
    </row>
    <row r="423" customFormat="false" ht="15.75" hidden="false" customHeight="false" outlineLevel="0" collapsed="false">
      <c r="B423" s="12"/>
    </row>
    <row r="424" customFormat="false" ht="15.75" hidden="false" customHeight="false" outlineLevel="0" collapsed="false">
      <c r="B424" s="12"/>
    </row>
    <row r="425" customFormat="false" ht="15.75" hidden="false" customHeight="false" outlineLevel="0" collapsed="false">
      <c r="B425" s="12"/>
    </row>
    <row r="426" customFormat="false" ht="15.75" hidden="false" customHeight="false" outlineLevel="0" collapsed="false">
      <c r="B426" s="12"/>
    </row>
    <row r="427" customFormat="false" ht="15.75" hidden="false" customHeight="false" outlineLevel="0" collapsed="false">
      <c r="B427" s="12"/>
    </row>
    <row r="428" customFormat="false" ht="15.75" hidden="false" customHeight="false" outlineLevel="0" collapsed="false">
      <c r="B428" s="12"/>
    </row>
    <row r="429" customFormat="false" ht="15.75" hidden="false" customHeight="false" outlineLevel="0" collapsed="false">
      <c r="B429" s="12"/>
    </row>
    <row r="430" customFormat="false" ht="15.75" hidden="false" customHeight="false" outlineLevel="0" collapsed="false">
      <c r="B430" s="12"/>
    </row>
    <row r="431" customFormat="false" ht="15.75" hidden="false" customHeight="false" outlineLevel="0" collapsed="false">
      <c r="B431" s="12"/>
    </row>
    <row r="432" customFormat="false" ht="15.75" hidden="false" customHeight="false" outlineLevel="0" collapsed="false">
      <c r="B432" s="12"/>
    </row>
    <row r="433" customFormat="false" ht="15.75" hidden="false" customHeight="false" outlineLevel="0" collapsed="false">
      <c r="B433" s="12"/>
    </row>
    <row r="434" customFormat="false" ht="15.75" hidden="false" customHeight="false" outlineLevel="0" collapsed="false">
      <c r="B434" s="12"/>
    </row>
    <row r="435" customFormat="false" ht="15.75" hidden="false" customHeight="false" outlineLevel="0" collapsed="false">
      <c r="B435" s="12"/>
    </row>
    <row r="436" customFormat="false" ht="15.75" hidden="false" customHeight="false" outlineLevel="0" collapsed="false">
      <c r="B436" s="12"/>
    </row>
    <row r="437" customFormat="false" ht="15.75" hidden="false" customHeight="false" outlineLevel="0" collapsed="false">
      <c r="B437" s="12"/>
    </row>
    <row r="438" customFormat="false" ht="15.75" hidden="false" customHeight="false" outlineLevel="0" collapsed="false">
      <c r="B438" s="12"/>
    </row>
    <row r="439" customFormat="false" ht="15.75" hidden="false" customHeight="false" outlineLevel="0" collapsed="false">
      <c r="B439" s="12"/>
    </row>
    <row r="440" customFormat="false" ht="15.75" hidden="false" customHeight="false" outlineLevel="0" collapsed="false">
      <c r="B440" s="12"/>
    </row>
    <row r="441" customFormat="false" ht="15.75" hidden="false" customHeight="false" outlineLevel="0" collapsed="false">
      <c r="B441" s="12"/>
    </row>
    <row r="442" customFormat="false" ht="15.75" hidden="false" customHeight="false" outlineLevel="0" collapsed="false">
      <c r="B442" s="12"/>
    </row>
    <row r="443" customFormat="false" ht="15.75" hidden="false" customHeight="false" outlineLevel="0" collapsed="false">
      <c r="B443" s="12"/>
    </row>
    <row r="444" customFormat="false" ht="15.75" hidden="false" customHeight="false" outlineLevel="0" collapsed="false">
      <c r="B444" s="12"/>
    </row>
    <row r="445" customFormat="false" ht="15.75" hidden="false" customHeight="false" outlineLevel="0" collapsed="false">
      <c r="B445" s="12"/>
    </row>
    <row r="446" customFormat="false" ht="15.75" hidden="false" customHeight="false" outlineLevel="0" collapsed="false">
      <c r="B446" s="12"/>
    </row>
    <row r="447" customFormat="false" ht="15.75" hidden="false" customHeight="false" outlineLevel="0" collapsed="false">
      <c r="B447" s="12"/>
    </row>
    <row r="448" customFormat="false" ht="15.75" hidden="false" customHeight="false" outlineLevel="0" collapsed="false">
      <c r="B448" s="12"/>
    </row>
    <row r="449" customFormat="false" ht="15.75" hidden="false" customHeight="false" outlineLevel="0" collapsed="false">
      <c r="B449" s="12"/>
    </row>
    <row r="450" customFormat="false" ht="15.75" hidden="false" customHeight="false" outlineLevel="0" collapsed="false">
      <c r="B450" s="12"/>
    </row>
    <row r="451" customFormat="false" ht="15.75" hidden="false" customHeight="false" outlineLevel="0" collapsed="false">
      <c r="B451" s="12"/>
    </row>
    <row r="452" customFormat="false" ht="15.75" hidden="false" customHeight="false" outlineLevel="0" collapsed="false">
      <c r="B452" s="12"/>
    </row>
    <row r="453" customFormat="false" ht="15.75" hidden="false" customHeight="false" outlineLevel="0" collapsed="false">
      <c r="B453" s="12"/>
    </row>
    <row r="454" customFormat="false" ht="15.75" hidden="false" customHeight="false" outlineLevel="0" collapsed="false">
      <c r="B454" s="12"/>
    </row>
    <row r="455" customFormat="false" ht="15.75" hidden="false" customHeight="false" outlineLevel="0" collapsed="false">
      <c r="B455" s="12"/>
    </row>
    <row r="456" customFormat="false" ht="15.75" hidden="false" customHeight="false" outlineLevel="0" collapsed="false">
      <c r="B456" s="12"/>
    </row>
    <row r="457" customFormat="false" ht="15.75" hidden="false" customHeight="false" outlineLevel="0" collapsed="false">
      <c r="B457" s="12"/>
    </row>
    <row r="458" customFormat="false" ht="15.75" hidden="false" customHeight="false" outlineLevel="0" collapsed="false">
      <c r="B458" s="12"/>
    </row>
    <row r="459" customFormat="false" ht="15.75" hidden="false" customHeight="false" outlineLevel="0" collapsed="false">
      <c r="B459" s="12"/>
    </row>
    <row r="460" customFormat="false" ht="15.75" hidden="false" customHeight="false" outlineLevel="0" collapsed="false">
      <c r="B460" s="12"/>
    </row>
    <row r="461" customFormat="false" ht="15.75" hidden="false" customHeight="false" outlineLevel="0" collapsed="false">
      <c r="B461" s="12"/>
    </row>
    <row r="462" customFormat="false" ht="15.75" hidden="false" customHeight="false" outlineLevel="0" collapsed="false">
      <c r="B462" s="12"/>
    </row>
    <row r="463" customFormat="false" ht="15.75" hidden="false" customHeight="false" outlineLevel="0" collapsed="false">
      <c r="B463" s="12"/>
    </row>
    <row r="464" customFormat="false" ht="15.75" hidden="false" customHeight="false" outlineLevel="0" collapsed="false">
      <c r="B464" s="12"/>
    </row>
    <row r="465" customFormat="false" ht="15.75" hidden="false" customHeight="false" outlineLevel="0" collapsed="false">
      <c r="B465" s="12"/>
    </row>
    <row r="466" customFormat="false" ht="15.75" hidden="false" customHeight="false" outlineLevel="0" collapsed="false">
      <c r="B466" s="12"/>
    </row>
    <row r="467" customFormat="false" ht="15.75" hidden="false" customHeight="false" outlineLevel="0" collapsed="false">
      <c r="B467" s="12"/>
    </row>
    <row r="468" customFormat="false" ht="15.75" hidden="false" customHeight="false" outlineLevel="0" collapsed="false">
      <c r="B468" s="12"/>
    </row>
    <row r="469" customFormat="false" ht="15.75" hidden="false" customHeight="false" outlineLevel="0" collapsed="false">
      <c r="B469" s="12"/>
    </row>
    <row r="470" customFormat="false" ht="15.75" hidden="false" customHeight="false" outlineLevel="0" collapsed="false">
      <c r="B470" s="12"/>
    </row>
    <row r="471" customFormat="false" ht="15.75" hidden="false" customHeight="false" outlineLevel="0" collapsed="false">
      <c r="B471" s="12"/>
    </row>
    <row r="472" customFormat="false" ht="15.75" hidden="false" customHeight="false" outlineLevel="0" collapsed="false">
      <c r="B472" s="12"/>
    </row>
    <row r="473" customFormat="false" ht="15.75" hidden="false" customHeight="false" outlineLevel="0" collapsed="false">
      <c r="B473" s="12"/>
    </row>
    <row r="474" customFormat="false" ht="15.75" hidden="false" customHeight="false" outlineLevel="0" collapsed="false">
      <c r="B474" s="12"/>
    </row>
    <row r="475" customFormat="false" ht="15.75" hidden="false" customHeight="false" outlineLevel="0" collapsed="false">
      <c r="B475" s="12"/>
    </row>
    <row r="476" customFormat="false" ht="15.75" hidden="false" customHeight="false" outlineLevel="0" collapsed="false">
      <c r="B476" s="12"/>
    </row>
    <row r="477" customFormat="false" ht="15.75" hidden="false" customHeight="false" outlineLevel="0" collapsed="false">
      <c r="B477" s="12"/>
    </row>
    <row r="478" customFormat="false" ht="15.75" hidden="false" customHeight="false" outlineLevel="0" collapsed="false">
      <c r="B478" s="12"/>
    </row>
    <row r="479" customFormat="false" ht="15.75" hidden="false" customHeight="false" outlineLevel="0" collapsed="false">
      <c r="B479" s="12"/>
    </row>
    <row r="480" customFormat="false" ht="15.75" hidden="false" customHeight="false" outlineLevel="0" collapsed="false">
      <c r="B480" s="12"/>
    </row>
    <row r="481" customFormat="false" ht="15.75" hidden="false" customHeight="false" outlineLevel="0" collapsed="false">
      <c r="B481" s="12"/>
    </row>
    <row r="482" customFormat="false" ht="15.75" hidden="false" customHeight="false" outlineLevel="0" collapsed="false">
      <c r="B482" s="12"/>
    </row>
    <row r="483" customFormat="false" ht="15.75" hidden="false" customHeight="false" outlineLevel="0" collapsed="false">
      <c r="B483" s="12"/>
    </row>
    <row r="484" customFormat="false" ht="15.75" hidden="false" customHeight="false" outlineLevel="0" collapsed="false">
      <c r="B484" s="12"/>
    </row>
    <row r="485" customFormat="false" ht="15.75" hidden="false" customHeight="false" outlineLevel="0" collapsed="false">
      <c r="B485" s="12"/>
    </row>
    <row r="486" customFormat="false" ht="15.75" hidden="false" customHeight="false" outlineLevel="0" collapsed="false">
      <c r="B486" s="12"/>
    </row>
    <row r="487" customFormat="false" ht="15.75" hidden="false" customHeight="false" outlineLevel="0" collapsed="false">
      <c r="B487" s="12"/>
    </row>
    <row r="488" customFormat="false" ht="15.75" hidden="false" customHeight="false" outlineLevel="0" collapsed="false">
      <c r="B488" s="12"/>
    </row>
    <row r="489" customFormat="false" ht="15.75" hidden="false" customHeight="false" outlineLevel="0" collapsed="false">
      <c r="B489" s="12"/>
    </row>
    <row r="490" customFormat="false" ht="15.75" hidden="false" customHeight="false" outlineLevel="0" collapsed="false">
      <c r="B490" s="12"/>
    </row>
    <row r="491" customFormat="false" ht="15.75" hidden="false" customHeight="false" outlineLevel="0" collapsed="false">
      <c r="B491" s="12"/>
    </row>
    <row r="492" customFormat="false" ht="15.75" hidden="false" customHeight="false" outlineLevel="0" collapsed="false">
      <c r="B492" s="12"/>
    </row>
    <row r="493" customFormat="false" ht="15.75" hidden="false" customHeight="false" outlineLevel="0" collapsed="false">
      <c r="B493" s="12"/>
    </row>
    <row r="494" customFormat="false" ht="15.75" hidden="false" customHeight="false" outlineLevel="0" collapsed="false">
      <c r="B494" s="12"/>
    </row>
    <row r="495" customFormat="false" ht="15.75" hidden="false" customHeight="false" outlineLevel="0" collapsed="false">
      <c r="B495" s="12"/>
    </row>
    <row r="496" customFormat="false" ht="15.75" hidden="false" customHeight="false" outlineLevel="0" collapsed="false">
      <c r="B496" s="12"/>
    </row>
    <row r="497" customFormat="false" ht="15.75" hidden="false" customHeight="false" outlineLevel="0" collapsed="false">
      <c r="B497" s="12"/>
    </row>
    <row r="498" customFormat="false" ht="15.75" hidden="false" customHeight="false" outlineLevel="0" collapsed="false">
      <c r="B498" s="12"/>
    </row>
    <row r="499" customFormat="false" ht="15.75" hidden="false" customHeight="false" outlineLevel="0" collapsed="false">
      <c r="B499" s="12"/>
    </row>
    <row r="500" customFormat="false" ht="15.75" hidden="false" customHeight="false" outlineLevel="0" collapsed="false">
      <c r="B500" s="12"/>
    </row>
    <row r="501" customFormat="false" ht="15.75" hidden="false" customHeight="false" outlineLevel="0" collapsed="false">
      <c r="B501" s="12"/>
    </row>
    <row r="502" customFormat="false" ht="15.75" hidden="false" customHeight="false" outlineLevel="0" collapsed="false">
      <c r="B502" s="12"/>
    </row>
    <row r="503" customFormat="false" ht="15.75" hidden="false" customHeight="false" outlineLevel="0" collapsed="false">
      <c r="B503" s="12"/>
    </row>
    <row r="504" customFormat="false" ht="15.75" hidden="false" customHeight="false" outlineLevel="0" collapsed="false">
      <c r="B504" s="12"/>
    </row>
    <row r="505" customFormat="false" ht="15.75" hidden="false" customHeight="false" outlineLevel="0" collapsed="false">
      <c r="B505" s="12"/>
    </row>
    <row r="506" customFormat="false" ht="15.75" hidden="false" customHeight="false" outlineLevel="0" collapsed="false">
      <c r="B506" s="12"/>
    </row>
    <row r="507" customFormat="false" ht="15.75" hidden="false" customHeight="false" outlineLevel="0" collapsed="false">
      <c r="B507" s="12"/>
    </row>
    <row r="508" customFormat="false" ht="15.75" hidden="false" customHeight="false" outlineLevel="0" collapsed="false">
      <c r="B508" s="12"/>
    </row>
    <row r="509" customFormat="false" ht="15.75" hidden="false" customHeight="false" outlineLevel="0" collapsed="false">
      <c r="B509" s="12"/>
    </row>
    <row r="510" customFormat="false" ht="15.75" hidden="false" customHeight="false" outlineLevel="0" collapsed="false">
      <c r="B510" s="12"/>
    </row>
    <row r="511" customFormat="false" ht="15.75" hidden="false" customHeight="false" outlineLevel="0" collapsed="false">
      <c r="B511" s="12"/>
    </row>
    <row r="512" customFormat="false" ht="15.75" hidden="false" customHeight="false" outlineLevel="0" collapsed="false">
      <c r="B512" s="12"/>
    </row>
    <row r="513" customFormat="false" ht="15.75" hidden="false" customHeight="false" outlineLevel="0" collapsed="false">
      <c r="B513" s="12"/>
    </row>
    <row r="514" customFormat="false" ht="15.75" hidden="false" customHeight="false" outlineLevel="0" collapsed="false">
      <c r="B514" s="12"/>
    </row>
    <row r="515" customFormat="false" ht="15.75" hidden="false" customHeight="false" outlineLevel="0" collapsed="false">
      <c r="B515" s="12"/>
    </row>
    <row r="516" customFormat="false" ht="15.75" hidden="false" customHeight="false" outlineLevel="0" collapsed="false">
      <c r="B516" s="12"/>
    </row>
    <row r="517" customFormat="false" ht="15.75" hidden="false" customHeight="false" outlineLevel="0" collapsed="false">
      <c r="B517" s="12"/>
    </row>
    <row r="518" customFormat="false" ht="15.75" hidden="false" customHeight="false" outlineLevel="0" collapsed="false">
      <c r="B518" s="12"/>
    </row>
    <row r="519" customFormat="false" ht="15.75" hidden="false" customHeight="false" outlineLevel="0" collapsed="false">
      <c r="B519" s="12"/>
    </row>
    <row r="520" customFormat="false" ht="15.75" hidden="false" customHeight="false" outlineLevel="0" collapsed="false">
      <c r="B520" s="12"/>
    </row>
    <row r="521" customFormat="false" ht="15.75" hidden="false" customHeight="false" outlineLevel="0" collapsed="false">
      <c r="B521" s="12"/>
    </row>
    <row r="522" customFormat="false" ht="15.75" hidden="false" customHeight="false" outlineLevel="0" collapsed="false">
      <c r="B522" s="12"/>
    </row>
    <row r="523" customFormat="false" ht="15.75" hidden="false" customHeight="false" outlineLevel="0" collapsed="false">
      <c r="B523" s="12"/>
    </row>
    <row r="524" customFormat="false" ht="15.75" hidden="false" customHeight="false" outlineLevel="0" collapsed="false">
      <c r="B524" s="12"/>
    </row>
    <row r="525" customFormat="false" ht="15.75" hidden="false" customHeight="false" outlineLevel="0" collapsed="false">
      <c r="B525" s="12"/>
    </row>
    <row r="526" customFormat="false" ht="15.75" hidden="false" customHeight="false" outlineLevel="0" collapsed="false">
      <c r="B526" s="12"/>
    </row>
    <row r="527" customFormat="false" ht="15.75" hidden="false" customHeight="false" outlineLevel="0" collapsed="false">
      <c r="B527" s="12"/>
    </row>
    <row r="528" customFormat="false" ht="15.75" hidden="false" customHeight="false" outlineLevel="0" collapsed="false">
      <c r="B528" s="12"/>
    </row>
    <row r="529" customFormat="false" ht="15.75" hidden="false" customHeight="false" outlineLevel="0" collapsed="false">
      <c r="B529" s="12"/>
    </row>
    <row r="530" customFormat="false" ht="15.75" hidden="false" customHeight="false" outlineLevel="0" collapsed="false">
      <c r="B530" s="12"/>
    </row>
    <row r="531" customFormat="false" ht="15.75" hidden="false" customHeight="false" outlineLevel="0" collapsed="false">
      <c r="B531" s="12"/>
    </row>
    <row r="532" customFormat="false" ht="15.75" hidden="false" customHeight="false" outlineLevel="0" collapsed="false">
      <c r="B532" s="12"/>
    </row>
    <row r="533" customFormat="false" ht="15.75" hidden="false" customHeight="false" outlineLevel="0" collapsed="false">
      <c r="B533" s="12"/>
    </row>
    <row r="534" customFormat="false" ht="15.75" hidden="false" customHeight="false" outlineLevel="0" collapsed="false">
      <c r="B534" s="12"/>
    </row>
    <row r="535" customFormat="false" ht="15.75" hidden="false" customHeight="false" outlineLevel="0" collapsed="false">
      <c r="B535" s="12"/>
    </row>
    <row r="536" customFormat="false" ht="15.75" hidden="false" customHeight="false" outlineLevel="0" collapsed="false">
      <c r="B536" s="12"/>
    </row>
    <row r="537" customFormat="false" ht="15.75" hidden="false" customHeight="false" outlineLevel="0" collapsed="false">
      <c r="B537" s="12"/>
    </row>
    <row r="538" customFormat="false" ht="15.75" hidden="false" customHeight="false" outlineLevel="0" collapsed="false">
      <c r="B538" s="12"/>
    </row>
    <row r="539" customFormat="false" ht="15.75" hidden="false" customHeight="false" outlineLevel="0" collapsed="false">
      <c r="B539" s="12"/>
    </row>
    <row r="540" customFormat="false" ht="15.75" hidden="false" customHeight="false" outlineLevel="0" collapsed="false">
      <c r="B540" s="12"/>
    </row>
    <row r="541" customFormat="false" ht="15.75" hidden="false" customHeight="false" outlineLevel="0" collapsed="false">
      <c r="B541" s="12"/>
    </row>
    <row r="542" customFormat="false" ht="15.75" hidden="false" customHeight="false" outlineLevel="0" collapsed="false">
      <c r="B542" s="12"/>
    </row>
    <row r="543" customFormat="false" ht="15.75" hidden="false" customHeight="false" outlineLevel="0" collapsed="false">
      <c r="B543" s="12"/>
    </row>
    <row r="544" customFormat="false" ht="15.75" hidden="false" customHeight="false" outlineLevel="0" collapsed="false">
      <c r="B544" s="12"/>
    </row>
    <row r="545" customFormat="false" ht="15.75" hidden="false" customHeight="false" outlineLevel="0" collapsed="false">
      <c r="B545" s="12"/>
    </row>
    <row r="546" customFormat="false" ht="15.75" hidden="false" customHeight="false" outlineLevel="0" collapsed="false">
      <c r="B546" s="12"/>
    </row>
    <row r="547" customFormat="false" ht="15.75" hidden="false" customHeight="false" outlineLevel="0" collapsed="false">
      <c r="B547" s="12"/>
    </row>
    <row r="548" customFormat="false" ht="15.75" hidden="false" customHeight="false" outlineLevel="0" collapsed="false">
      <c r="B548" s="12"/>
    </row>
    <row r="549" customFormat="false" ht="15.75" hidden="false" customHeight="false" outlineLevel="0" collapsed="false">
      <c r="B549" s="12"/>
    </row>
    <row r="550" customFormat="false" ht="15.75" hidden="false" customHeight="false" outlineLevel="0" collapsed="false">
      <c r="B550" s="12"/>
    </row>
    <row r="551" customFormat="false" ht="15.75" hidden="false" customHeight="false" outlineLevel="0" collapsed="false">
      <c r="B551" s="12"/>
    </row>
    <row r="552" customFormat="false" ht="15.75" hidden="false" customHeight="false" outlineLevel="0" collapsed="false">
      <c r="B552" s="12"/>
    </row>
    <row r="553" customFormat="false" ht="15.75" hidden="false" customHeight="false" outlineLevel="0" collapsed="false">
      <c r="B553" s="12"/>
    </row>
    <row r="554" customFormat="false" ht="15.75" hidden="false" customHeight="false" outlineLevel="0" collapsed="false">
      <c r="B554" s="12"/>
    </row>
    <row r="555" customFormat="false" ht="15.75" hidden="false" customHeight="false" outlineLevel="0" collapsed="false">
      <c r="B555" s="12"/>
    </row>
    <row r="556" customFormat="false" ht="15.75" hidden="false" customHeight="false" outlineLevel="0" collapsed="false">
      <c r="B556" s="12"/>
    </row>
    <row r="557" customFormat="false" ht="15.75" hidden="false" customHeight="false" outlineLevel="0" collapsed="false">
      <c r="B557" s="12"/>
    </row>
    <row r="558" customFormat="false" ht="15.75" hidden="false" customHeight="false" outlineLevel="0" collapsed="false">
      <c r="B558" s="12"/>
    </row>
    <row r="559" customFormat="false" ht="15.75" hidden="false" customHeight="false" outlineLevel="0" collapsed="false">
      <c r="B559" s="12"/>
    </row>
    <row r="560" customFormat="false" ht="15.75" hidden="false" customHeight="false" outlineLevel="0" collapsed="false">
      <c r="B560" s="12"/>
    </row>
    <row r="561" customFormat="false" ht="15.75" hidden="false" customHeight="false" outlineLevel="0" collapsed="false">
      <c r="B561" s="12"/>
    </row>
    <row r="562" customFormat="false" ht="15.75" hidden="false" customHeight="false" outlineLevel="0" collapsed="false">
      <c r="B562" s="12"/>
    </row>
    <row r="563" customFormat="false" ht="15.75" hidden="false" customHeight="false" outlineLevel="0" collapsed="false">
      <c r="B563" s="12"/>
    </row>
    <row r="564" customFormat="false" ht="15.75" hidden="false" customHeight="false" outlineLevel="0" collapsed="false">
      <c r="B564" s="12"/>
    </row>
    <row r="565" customFormat="false" ht="15.75" hidden="false" customHeight="false" outlineLevel="0" collapsed="false">
      <c r="B565" s="12"/>
    </row>
    <row r="566" customFormat="false" ht="15.75" hidden="false" customHeight="false" outlineLevel="0" collapsed="false">
      <c r="B566" s="12"/>
    </row>
    <row r="567" customFormat="false" ht="15.75" hidden="false" customHeight="false" outlineLevel="0" collapsed="false">
      <c r="B567" s="12"/>
    </row>
    <row r="568" customFormat="false" ht="15.75" hidden="false" customHeight="false" outlineLevel="0" collapsed="false">
      <c r="B568" s="12"/>
    </row>
    <row r="569" customFormat="false" ht="15.75" hidden="false" customHeight="false" outlineLevel="0" collapsed="false">
      <c r="B569" s="12"/>
    </row>
    <row r="570" customFormat="false" ht="15.75" hidden="false" customHeight="false" outlineLevel="0" collapsed="false">
      <c r="B570" s="12"/>
    </row>
    <row r="571" customFormat="false" ht="15.75" hidden="false" customHeight="false" outlineLevel="0" collapsed="false">
      <c r="B571" s="12"/>
    </row>
    <row r="572" customFormat="false" ht="15.75" hidden="false" customHeight="false" outlineLevel="0" collapsed="false">
      <c r="B572" s="12"/>
    </row>
    <row r="573" customFormat="false" ht="15.75" hidden="false" customHeight="false" outlineLevel="0" collapsed="false">
      <c r="B573" s="12"/>
    </row>
    <row r="574" customFormat="false" ht="15.75" hidden="false" customHeight="false" outlineLevel="0" collapsed="false">
      <c r="B574" s="12"/>
    </row>
    <row r="575" customFormat="false" ht="15.75" hidden="false" customHeight="false" outlineLevel="0" collapsed="false">
      <c r="B575" s="12"/>
    </row>
    <row r="576" customFormat="false" ht="15.75" hidden="false" customHeight="false" outlineLevel="0" collapsed="false">
      <c r="B576" s="12"/>
    </row>
    <row r="577" customFormat="false" ht="15.75" hidden="false" customHeight="false" outlineLevel="0" collapsed="false">
      <c r="B577" s="12"/>
    </row>
    <row r="578" customFormat="false" ht="15.75" hidden="false" customHeight="false" outlineLevel="0" collapsed="false">
      <c r="B578" s="12"/>
    </row>
    <row r="579" customFormat="false" ht="15.75" hidden="false" customHeight="false" outlineLevel="0" collapsed="false">
      <c r="B579" s="12"/>
    </row>
    <row r="580" customFormat="false" ht="15.75" hidden="false" customHeight="false" outlineLevel="0" collapsed="false">
      <c r="B580" s="12"/>
    </row>
    <row r="581" customFormat="false" ht="15.75" hidden="false" customHeight="false" outlineLevel="0" collapsed="false">
      <c r="B581" s="12"/>
    </row>
    <row r="582" customFormat="false" ht="15.75" hidden="false" customHeight="false" outlineLevel="0" collapsed="false">
      <c r="B582" s="12"/>
    </row>
    <row r="583" customFormat="false" ht="15.75" hidden="false" customHeight="false" outlineLevel="0" collapsed="false">
      <c r="B583" s="12"/>
    </row>
    <row r="584" customFormat="false" ht="15.75" hidden="false" customHeight="false" outlineLevel="0" collapsed="false">
      <c r="B584" s="12"/>
    </row>
    <row r="585" customFormat="false" ht="15.75" hidden="false" customHeight="false" outlineLevel="0" collapsed="false">
      <c r="B585" s="12"/>
    </row>
    <row r="586" customFormat="false" ht="15.75" hidden="false" customHeight="false" outlineLevel="0" collapsed="false">
      <c r="B586" s="12"/>
    </row>
    <row r="587" customFormat="false" ht="15.75" hidden="false" customHeight="false" outlineLevel="0" collapsed="false">
      <c r="B587" s="12"/>
    </row>
    <row r="588" customFormat="false" ht="15.75" hidden="false" customHeight="false" outlineLevel="0" collapsed="false">
      <c r="B588" s="12"/>
    </row>
    <row r="589" customFormat="false" ht="15.75" hidden="false" customHeight="false" outlineLevel="0" collapsed="false">
      <c r="B589" s="12"/>
    </row>
    <row r="590" customFormat="false" ht="15.75" hidden="false" customHeight="false" outlineLevel="0" collapsed="false">
      <c r="B590" s="12"/>
    </row>
    <row r="591" customFormat="false" ht="15.75" hidden="false" customHeight="false" outlineLevel="0" collapsed="false">
      <c r="B591" s="12"/>
    </row>
    <row r="592" customFormat="false" ht="15.75" hidden="false" customHeight="false" outlineLevel="0" collapsed="false">
      <c r="B592" s="12"/>
    </row>
    <row r="593" customFormat="false" ht="15.75" hidden="false" customHeight="false" outlineLevel="0" collapsed="false">
      <c r="B593" s="12"/>
    </row>
    <row r="594" customFormat="false" ht="15.75" hidden="false" customHeight="false" outlineLevel="0" collapsed="false">
      <c r="B594" s="12"/>
    </row>
    <row r="595" customFormat="false" ht="15.75" hidden="false" customHeight="false" outlineLevel="0" collapsed="false">
      <c r="B595" s="12"/>
    </row>
    <row r="596" customFormat="false" ht="15.75" hidden="false" customHeight="false" outlineLevel="0" collapsed="false">
      <c r="B596" s="12"/>
    </row>
    <row r="597" customFormat="false" ht="15.75" hidden="false" customHeight="false" outlineLevel="0" collapsed="false">
      <c r="B597" s="12"/>
    </row>
    <row r="598" customFormat="false" ht="15.75" hidden="false" customHeight="false" outlineLevel="0" collapsed="false">
      <c r="B598" s="12"/>
    </row>
    <row r="599" customFormat="false" ht="15.75" hidden="false" customHeight="false" outlineLevel="0" collapsed="false">
      <c r="B599" s="12"/>
    </row>
    <row r="600" customFormat="false" ht="15.75" hidden="false" customHeight="false" outlineLevel="0" collapsed="false">
      <c r="B600" s="12"/>
    </row>
    <row r="601" customFormat="false" ht="15.75" hidden="false" customHeight="false" outlineLevel="0" collapsed="false">
      <c r="B601" s="12"/>
    </row>
    <row r="602" customFormat="false" ht="15.75" hidden="false" customHeight="false" outlineLevel="0" collapsed="false">
      <c r="B602" s="12"/>
    </row>
    <row r="603" customFormat="false" ht="15.75" hidden="false" customHeight="false" outlineLevel="0" collapsed="false">
      <c r="B603" s="12"/>
    </row>
    <row r="604" customFormat="false" ht="15.75" hidden="false" customHeight="false" outlineLevel="0" collapsed="false">
      <c r="B604" s="12"/>
    </row>
    <row r="605" customFormat="false" ht="15.75" hidden="false" customHeight="false" outlineLevel="0" collapsed="false">
      <c r="B605" s="12"/>
    </row>
    <row r="606" customFormat="false" ht="15.75" hidden="false" customHeight="false" outlineLevel="0" collapsed="false">
      <c r="B606" s="12"/>
    </row>
    <row r="607" customFormat="false" ht="15.75" hidden="false" customHeight="false" outlineLevel="0" collapsed="false">
      <c r="B607" s="12"/>
    </row>
    <row r="608" customFormat="false" ht="15.75" hidden="false" customHeight="false" outlineLevel="0" collapsed="false">
      <c r="B608" s="12"/>
    </row>
    <row r="609" customFormat="false" ht="15.75" hidden="false" customHeight="false" outlineLevel="0" collapsed="false">
      <c r="B609" s="12"/>
    </row>
    <row r="610" customFormat="false" ht="15.75" hidden="false" customHeight="false" outlineLevel="0" collapsed="false">
      <c r="B610" s="12"/>
    </row>
    <row r="611" customFormat="false" ht="15.75" hidden="false" customHeight="false" outlineLevel="0" collapsed="false">
      <c r="B611" s="12"/>
    </row>
    <row r="612" customFormat="false" ht="15.75" hidden="false" customHeight="false" outlineLevel="0" collapsed="false">
      <c r="B612" s="12"/>
    </row>
    <row r="613" customFormat="false" ht="15.75" hidden="false" customHeight="false" outlineLevel="0" collapsed="false">
      <c r="B613" s="12"/>
    </row>
    <row r="614" customFormat="false" ht="15.75" hidden="false" customHeight="false" outlineLevel="0" collapsed="false">
      <c r="B614" s="12"/>
    </row>
    <row r="615" customFormat="false" ht="15.75" hidden="false" customHeight="false" outlineLevel="0" collapsed="false">
      <c r="B615" s="12"/>
    </row>
    <row r="616" customFormat="false" ht="15.75" hidden="false" customHeight="false" outlineLevel="0" collapsed="false">
      <c r="B616" s="12"/>
    </row>
    <row r="617" customFormat="false" ht="15.75" hidden="false" customHeight="false" outlineLevel="0" collapsed="false">
      <c r="B617" s="12"/>
    </row>
    <row r="618" customFormat="false" ht="15.75" hidden="false" customHeight="false" outlineLevel="0" collapsed="false">
      <c r="B618" s="12"/>
    </row>
    <row r="619" customFormat="false" ht="15.75" hidden="false" customHeight="false" outlineLevel="0" collapsed="false">
      <c r="B619" s="12"/>
    </row>
    <row r="620" customFormat="false" ht="15.75" hidden="false" customHeight="false" outlineLevel="0" collapsed="false">
      <c r="B620" s="12"/>
    </row>
    <row r="621" customFormat="false" ht="15.75" hidden="false" customHeight="false" outlineLevel="0" collapsed="false">
      <c r="B621" s="12"/>
    </row>
    <row r="622" customFormat="false" ht="15.75" hidden="false" customHeight="false" outlineLevel="0" collapsed="false">
      <c r="B622" s="12"/>
    </row>
    <row r="623" customFormat="false" ht="15.75" hidden="false" customHeight="false" outlineLevel="0" collapsed="false">
      <c r="B623" s="12"/>
    </row>
    <row r="624" customFormat="false" ht="15.75" hidden="false" customHeight="false" outlineLevel="0" collapsed="false">
      <c r="B624" s="12"/>
    </row>
    <row r="625" customFormat="false" ht="15.75" hidden="false" customHeight="false" outlineLevel="0" collapsed="false">
      <c r="B625" s="12"/>
    </row>
    <row r="626" customFormat="false" ht="15.75" hidden="false" customHeight="false" outlineLevel="0" collapsed="false">
      <c r="B626" s="12"/>
    </row>
    <row r="627" customFormat="false" ht="15.75" hidden="false" customHeight="false" outlineLevel="0" collapsed="false">
      <c r="B627" s="12"/>
    </row>
    <row r="628" customFormat="false" ht="15.75" hidden="false" customHeight="false" outlineLevel="0" collapsed="false">
      <c r="B628" s="12"/>
    </row>
    <row r="629" customFormat="false" ht="15.75" hidden="false" customHeight="false" outlineLevel="0" collapsed="false">
      <c r="B629" s="12"/>
    </row>
    <row r="630" customFormat="false" ht="15.75" hidden="false" customHeight="false" outlineLevel="0" collapsed="false">
      <c r="B630" s="12"/>
    </row>
    <row r="631" customFormat="false" ht="15.75" hidden="false" customHeight="false" outlineLevel="0" collapsed="false">
      <c r="B631" s="12"/>
    </row>
    <row r="632" customFormat="false" ht="15.75" hidden="false" customHeight="false" outlineLevel="0" collapsed="false">
      <c r="B632" s="12"/>
    </row>
    <row r="633" customFormat="false" ht="15.75" hidden="false" customHeight="false" outlineLevel="0" collapsed="false">
      <c r="B633" s="12"/>
    </row>
    <row r="634" customFormat="false" ht="15.75" hidden="false" customHeight="false" outlineLevel="0" collapsed="false">
      <c r="B634" s="12"/>
    </row>
    <row r="635" customFormat="false" ht="15.75" hidden="false" customHeight="false" outlineLevel="0" collapsed="false">
      <c r="B635" s="12"/>
    </row>
    <row r="636" customFormat="false" ht="15.75" hidden="false" customHeight="false" outlineLevel="0" collapsed="false">
      <c r="B636" s="12"/>
    </row>
    <row r="637" customFormat="false" ht="15.75" hidden="false" customHeight="false" outlineLevel="0" collapsed="false">
      <c r="B637" s="12"/>
    </row>
    <row r="638" customFormat="false" ht="15.75" hidden="false" customHeight="false" outlineLevel="0" collapsed="false">
      <c r="B638" s="12"/>
    </row>
    <row r="639" customFormat="false" ht="15.75" hidden="false" customHeight="false" outlineLevel="0" collapsed="false">
      <c r="B639" s="12"/>
    </row>
    <row r="640" customFormat="false" ht="15.75" hidden="false" customHeight="false" outlineLevel="0" collapsed="false">
      <c r="B640" s="12"/>
    </row>
    <row r="641" customFormat="false" ht="15.75" hidden="false" customHeight="false" outlineLevel="0" collapsed="false">
      <c r="B641" s="12"/>
    </row>
    <row r="642" customFormat="false" ht="15.75" hidden="false" customHeight="false" outlineLevel="0" collapsed="false">
      <c r="B642" s="12"/>
    </row>
    <row r="643" customFormat="false" ht="15.75" hidden="false" customHeight="false" outlineLevel="0" collapsed="false">
      <c r="B643" s="12"/>
    </row>
    <row r="644" customFormat="false" ht="15.75" hidden="false" customHeight="false" outlineLevel="0" collapsed="false">
      <c r="B644" s="12"/>
    </row>
    <row r="645" customFormat="false" ht="15.75" hidden="false" customHeight="false" outlineLevel="0" collapsed="false">
      <c r="B645" s="12"/>
    </row>
    <row r="646" customFormat="false" ht="15.75" hidden="false" customHeight="false" outlineLevel="0" collapsed="false">
      <c r="B646" s="12"/>
    </row>
    <row r="647" customFormat="false" ht="15.75" hidden="false" customHeight="false" outlineLevel="0" collapsed="false">
      <c r="B647" s="12"/>
    </row>
    <row r="648" customFormat="false" ht="15.75" hidden="false" customHeight="false" outlineLevel="0" collapsed="false">
      <c r="B648" s="12"/>
    </row>
    <row r="649" customFormat="false" ht="15.75" hidden="false" customHeight="false" outlineLevel="0" collapsed="false">
      <c r="B649" s="12"/>
    </row>
    <row r="650" customFormat="false" ht="15.75" hidden="false" customHeight="false" outlineLevel="0" collapsed="false">
      <c r="B650" s="12"/>
    </row>
    <row r="651" customFormat="false" ht="15.75" hidden="false" customHeight="false" outlineLevel="0" collapsed="false">
      <c r="B651" s="12"/>
    </row>
    <row r="652" customFormat="false" ht="15.75" hidden="false" customHeight="false" outlineLevel="0" collapsed="false">
      <c r="B652" s="12"/>
    </row>
    <row r="653" customFormat="false" ht="15.75" hidden="false" customHeight="false" outlineLevel="0" collapsed="false">
      <c r="B653" s="12"/>
    </row>
    <row r="654" customFormat="false" ht="15.75" hidden="false" customHeight="false" outlineLevel="0" collapsed="false">
      <c r="B654" s="12"/>
    </row>
    <row r="655" customFormat="false" ht="15.75" hidden="false" customHeight="false" outlineLevel="0" collapsed="false">
      <c r="B655" s="12"/>
    </row>
    <row r="656" customFormat="false" ht="15.75" hidden="false" customHeight="false" outlineLevel="0" collapsed="false">
      <c r="B656" s="12"/>
    </row>
    <row r="657" customFormat="false" ht="15.75" hidden="false" customHeight="false" outlineLevel="0" collapsed="false">
      <c r="B657" s="12"/>
    </row>
    <row r="658" customFormat="false" ht="15.75" hidden="false" customHeight="false" outlineLevel="0" collapsed="false">
      <c r="B658" s="12"/>
    </row>
    <row r="659" customFormat="false" ht="15.75" hidden="false" customHeight="false" outlineLevel="0" collapsed="false">
      <c r="B659" s="12"/>
    </row>
    <row r="660" customFormat="false" ht="15.75" hidden="false" customHeight="false" outlineLevel="0" collapsed="false">
      <c r="B660" s="12"/>
    </row>
    <row r="661" customFormat="false" ht="15.75" hidden="false" customHeight="false" outlineLevel="0" collapsed="false">
      <c r="B661" s="12"/>
    </row>
    <row r="662" customFormat="false" ht="15.75" hidden="false" customHeight="false" outlineLevel="0" collapsed="false">
      <c r="B662" s="12"/>
    </row>
    <row r="663" customFormat="false" ht="15.75" hidden="false" customHeight="false" outlineLevel="0" collapsed="false">
      <c r="B663" s="12"/>
    </row>
    <row r="664" customFormat="false" ht="15.75" hidden="false" customHeight="false" outlineLevel="0" collapsed="false">
      <c r="B664" s="12"/>
    </row>
    <row r="665" customFormat="false" ht="15.75" hidden="false" customHeight="false" outlineLevel="0" collapsed="false">
      <c r="B665" s="12"/>
    </row>
    <row r="666" customFormat="false" ht="15.75" hidden="false" customHeight="false" outlineLevel="0" collapsed="false">
      <c r="B666" s="12"/>
    </row>
    <row r="667" customFormat="false" ht="15.75" hidden="false" customHeight="false" outlineLevel="0" collapsed="false">
      <c r="B667" s="12"/>
    </row>
    <row r="668" customFormat="false" ht="15.75" hidden="false" customHeight="false" outlineLevel="0" collapsed="false">
      <c r="B668" s="12"/>
    </row>
    <row r="669" customFormat="false" ht="15.75" hidden="false" customHeight="false" outlineLevel="0" collapsed="false">
      <c r="B669" s="12"/>
    </row>
    <row r="670" customFormat="false" ht="15.75" hidden="false" customHeight="false" outlineLevel="0" collapsed="false">
      <c r="B670" s="12"/>
    </row>
    <row r="671" customFormat="false" ht="15.75" hidden="false" customHeight="false" outlineLevel="0" collapsed="false">
      <c r="B671" s="12"/>
    </row>
    <row r="672" customFormat="false" ht="15.75" hidden="false" customHeight="false" outlineLevel="0" collapsed="false">
      <c r="B672" s="12"/>
    </row>
    <row r="673" customFormat="false" ht="15.75" hidden="false" customHeight="false" outlineLevel="0" collapsed="false">
      <c r="B673" s="12"/>
    </row>
    <row r="674" customFormat="false" ht="15.75" hidden="false" customHeight="false" outlineLevel="0" collapsed="false">
      <c r="B674" s="12"/>
    </row>
    <row r="675" customFormat="false" ht="15.75" hidden="false" customHeight="false" outlineLevel="0" collapsed="false">
      <c r="B675" s="12"/>
    </row>
    <row r="676" customFormat="false" ht="15.75" hidden="false" customHeight="false" outlineLevel="0" collapsed="false">
      <c r="B676" s="12"/>
    </row>
    <row r="677" customFormat="false" ht="15.75" hidden="false" customHeight="false" outlineLevel="0" collapsed="false">
      <c r="B677" s="12"/>
    </row>
    <row r="678" customFormat="false" ht="15.75" hidden="false" customHeight="false" outlineLevel="0" collapsed="false">
      <c r="B678" s="12"/>
    </row>
    <row r="679" customFormat="false" ht="15.75" hidden="false" customHeight="false" outlineLevel="0" collapsed="false">
      <c r="B679" s="12"/>
    </row>
    <row r="680" customFormat="false" ht="15.75" hidden="false" customHeight="false" outlineLevel="0" collapsed="false">
      <c r="B680" s="12"/>
    </row>
    <row r="681" customFormat="false" ht="15.75" hidden="false" customHeight="false" outlineLevel="0" collapsed="false">
      <c r="B681" s="12"/>
    </row>
    <row r="682" customFormat="false" ht="15.75" hidden="false" customHeight="false" outlineLevel="0" collapsed="false">
      <c r="B682" s="12"/>
    </row>
    <row r="683" customFormat="false" ht="15.75" hidden="false" customHeight="false" outlineLevel="0" collapsed="false">
      <c r="B683" s="12"/>
    </row>
    <row r="684" customFormat="false" ht="15.75" hidden="false" customHeight="false" outlineLevel="0" collapsed="false">
      <c r="B684" s="12"/>
    </row>
    <row r="685" customFormat="false" ht="15.75" hidden="false" customHeight="false" outlineLevel="0" collapsed="false">
      <c r="B685" s="12"/>
    </row>
    <row r="686" customFormat="false" ht="15.75" hidden="false" customHeight="false" outlineLevel="0" collapsed="false">
      <c r="B686" s="12"/>
    </row>
    <row r="687" customFormat="false" ht="15.75" hidden="false" customHeight="false" outlineLevel="0" collapsed="false">
      <c r="B687" s="12"/>
    </row>
    <row r="688" customFormat="false" ht="15.75" hidden="false" customHeight="false" outlineLevel="0" collapsed="false">
      <c r="B688" s="12"/>
    </row>
    <row r="689" customFormat="false" ht="15.75" hidden="false" customHeight="false" outlineLevel="0" collapsed="false">
      <c r="B689" s="12"/>
    </row>
    <row r="690" customFormat="false" ht="15.75" hidden="false" customHeight="false" outlineLevel="0" collapsed="false">
      <c r="B690" s="12"/>
    </row>
    <row r="691" customFormat="false" ht="15.75" hidden="false" customHeight="false" outlineLevel="0" collapsed="false">
      <c r="B691" s="12"/>
    </row>
    <row r="692" customFormat="false" ht="15.75" hidden="false" customHeight="false" outlineLevel="0" collapsed="false">
      <c r="B692" s="12"/>
    </row>
    <row r="693" customFormat="false" ht="15.75" hidden="false" customHeight="false" outlineLevel="0" collapsed="false">
      <c r="B693" s="12"/>
    </row>
    <row r="694" customFormat="false" ht="15.75" hidden="false" customHeight="false" outlineLevel="0" collapsed="false">
      <c r="B694" s="12"/>
    </row>
    <row r="695" customFormat="false" ht="15.75" hidden="false" customHeight="false" outlineLevel="0" collapsed="false">
      <c r="B695" s="12"/>
    </row>
    <row r="696" customFormat="false" ht="15.75" hidden="false" customHeight="false" outlineLevel="0" collapsed="false">
      <c r="B696" s="12"/>
    </row>
    <row r="697" customFormat="false" ht="15.75" hidden="false" customHeight="false" outlineLevel="0" collapsed="false">
      <c r="B697" s="12"/>
    </row>
    <row r="698" customFormat="false" ht="15.75" hidden="false" customHeight="false" outlineLevel="0" collapsed="false">
      <c r="B698" s="12"/>
    </row>
    <row r="699" customFormat="false" ht="15.75" hidden="false" customHeight="false" outlineLevel="0" collapsed="false">
      <c r="B699" s="12"/>
    </row>
    <row r="700" customFormat="false" ht="15.75" hidden="false" customHeight="false" outlineLevel="0" collapsed="false">
      <c r="B700" s="12"/>
    </row>
    <row r="701" customFormat="false" ht="15.75" hidden="false" customHeight="false" outlineLevel="0" collapsed="false">
      <c r="B701" s="12"/>
    </row>
    <row r="702" customFormat="false" ht="15.75" hidden="false" customHeight="false" outlineLevel="0" collapsed="false">
      <c r="B702" s="12"/>
    </row>
    <row r="703" customFormat="false" ht="15.75" hidden="false" customHeight="false" outlineLevel="0" collapsed="false">
      <c r="B703" s="12"/>
    </row>
    <row r="704" customFormat="false" ht="15.75" hidden="false" customHeight="false" outlineLevel="0" collapsed="false">
      <c r="B704" s="12"/>
    </row>
    <row r="705" customFormat="false" ht="15.75" hidden="false" customHeight="false" outlineLevel="0" collapsed="false">
      <c r="B705" s="12"/>
    </row>
    <row r="706" customFormat="false" ht="15.75" hidden="false" customHeight="false" outlineLevel="0" collapsed="false">
      <c r="B706" s="12"/>
    </row>
    <row r="707" customFormat="false" ht="15.75" hidden="false" customHeight="false" outlineLevel="0" collapsed="false">
      <c r="B707" s="12"/>
    </row>
    <row r="708" customFormat="false" ht="15.75" hidden="false" customHeight="false" outlineLevel="0" collapsed="false">
      <c r="B708" s="12"/>
    </row>
    <row r="709" customFormat="false" ht="15.75" hidden="false" customHeight="false" outlineLevel="0" collapsed="false">
      <c r="B709" s="12"/>
    </row>
    <row r="710" customFormat="false" ht="15.75" hidden="false" customHeight="false" outlineLevel="0" collapsed="false">
      <c r="B710" s="12"/>
    </row>
    <row r="711" customFormat="false" ht="15.75" hidden="false" customHeight="false" outlineLevel="0" collapsed="false">
      <c r="B711" s="12"/>
    </row>
    <row r="712" customFormat="false" ht="15.75" hidden="false" customHeight="false" outlineLevel="0" collapsed="false">
      <c r="B712" s="12"/>
    </row>
    <row r="713" customFormat="false" ht="15.75" hidden="false" customHeight="false" outlineLevel="0" collapsed="false">
      <c r="B713" s="12"/>
    </row>
    <row r="714" customFormat="false" ht="15.75" hidden="false" customHeight="false" outlineLevel="0" collapsed="false">
      <c r="B714" s="12"/>
    </row>
    <row r="715" customFormat="false" ht="15.75" hidden="false" customHeight="false" outlineLevel="0" collapsed="false">
      <c r="B715" s="12"/>
    </row>
    <row r="716" customFormat="false" ht="15.75" hidden="false" customHeight="false" outlineLevel="0" collapsed="false">
      <c r="B716" s="12"/>
    </row>
    <row r="717" customFormat="false" ht="15.75" hidden="false" customHeight="false" outlineLevel="0" collapsed="false">
      <c r="B717" s="12"/>
    </row>
    <row r="718" customFormat="false" ht="15.75" hidden="false" customHeight="false" outlineLevel="0" collapsed="false">
      <c r="B718" s="12"/>
    </row>
    <row r="719" customFormat="false" ht="15.75" hidden="false" customHeight="false" outlineLevel="0" collapsed="false">
      <c r="B719" s="12"/>
    </row>
    <row r="720" customFormat="false" ht="15.75" hidden="false" customHeight="false" outlineLevel="0" collapsed="false">
      <c r="B720" s="12"/>
    </row>
    <row r="721" customFormat="false" ht="15.75" hidden="false" customHeight="false" outlineLevel="0" collapsed="false">
      <c r="B721" s="12"/>
    </row>
    <row r="722" customFormat="false" ht="15.75" hidden="false" customHeight="false" outlineLevel="0" collapsed="false">
      <c r="B722" s="12"/>
    </row>
    <row r="723" customFormat="false" ht="15.75" hidden="false" customHeight="false" outlineLevel="0" collapsed="false">
      <c r="B723" s="12"/>
    </row>
    <row r="724" customFormat="false" ht="15.75" hidden="false" customHeight="false" outlineLevel="0" collapsed="false">
      <c r="B724" s="12"/>
    </row>
    <row r="725" customFormat="false" ht="15.75" hidden="false" customHeight="false" outlineLevel="0" collapsed="false">
      <c r="B725" s="12"/>
    </row>
    <row r="726" customFormat="false" ht="15.75" hidden="false" customHeight="false" outlineLevel="0" collapsed="false">
      <c r="B726" s="12"/>
    </row>
    <row r="727" customFormat="false" ht="15.75" hidden="false" customHeight="false" outlineLevel="0" collapsed="false">
      <c r="B727" s="12"/>
    </row>
    <row r="728" customFormat="false" ht="15.75" hidden="false" customHeight="false" outlineLevel="0" collapsed="false">
      <c r="B728" s="12"/>
    </row>
    <row r="729" customFormat="false" ht="15.75" hidden="false" customHeight="false" outlineLevel="0" collapsed="false">
      <c r="B729" s="12"/>
    </row>
    <row r="730" customFormat="false" ht="15.75" hidden="false" customHeight="false" outlineLevel="0" collapsed="false">
      <c r="B730" s="12"/>
    </row>
    <row r="731" customFormat="false" ht="15.75" hidden="false" customHeight="false" outlineLevel="0" collapsed="false">
      <c r="B731" s="12"/>
    </row>
    <row r="732" customFormat="false" ht="15.75" hidden="false" customHeight="false" outlineLevel="0" collapsed="false">
      <c r="B732" s="12"/>
    </row>
    <row r="733" customFormat="false" ht="15.75" hidden="false" customHeight="false" outlineLevel="0" collapsed="false">
      <c r="B733" s="12"/>
    </row>
    <row r="734" customFormat="false" ht="15.75" hidden="false" customHeight="false" outlineLevel="0" collapsed="false">
      <c r="B734" s="12"/>
    </row>
    <row r="735" customFormat="false" ht="15.75" hidden="false" customHeight="false" outlineLevel="0" collapsed="false">
      <c r="B735" s="12"/>
    </row>
    <row r="736" customFormat="false" ht="15.75" hidden="false" customHeight="false" outlineLevel="0" collapsed="false">
      <c r="B736" s="12"/>
    </row>
    <row r="737" customFormat="false" ht="15.75" hidden="false" customHeight="false" outlineLevel="0" collapsed="false">
      <c r="B737" s="12"/>
    </row>
    <row r="738" customFormat="false" ht="15.75" hidden="false" customHeight="false" outlineLevel="0" collapsed="false">
      <c r="B738" s="12"/>
    </row>
    <row r="739" customFormat="false" ht="15.75" hidden="false" customHeight="false" outlineLevel="0" collapsed="false">
      <c r="B739" s="12"/>
    </row>
    <row r="740" customFormat="false" ht="15.75" hidden="false" customHeight="false" outlineLevel="0" collapsed="false">
      <c r="B740" s="12"/>
    </row>
    <row r="741" customFormat="false" ht="15.75" hidden="false" customHeight="false" outlineLevel="0" collapsed="false">
      <c r="B741" s="12"/>
    </row>
    <row r="742" customFormat="false" ht="15.75" hidden="false" customHeight="false" outlineLevel="0" collapsed="false">
      <c r="B742" s="12"/>
    </row>
    <row r="743" customFormat="false" ht="15.75" hidden="false" customHeight="false" outlineLevel="0" collapsed="false">
      <c r="B743" s="12"/>
    </row>
    <row r="744" customFormat="false" ht="15.75" hidden="false" customHeight="false" outlineLevel="0" collapsed="false">
      <c r="B744" s="12"/>
    </row>
    <row r="745" customFormat="false" ht="15.75" hidden="false" customHeight="false" outlineLevel="0" collapsed="false">
      <c r="B745" s="12"/>
    </row>
    <row r="746" customFormat="false" ht="15.75" hidden="false" customHeight="false" outlineLevel="0" collapsed="false">
      <c r="B746" s="12"/>
    </row>
    <row r="747" customFormat="false" ht="15.75" hidden="false" customHeight="false" outlineLevel="0" collapsed="false">
      <c r="B747" s="12"/>
    </row>
    <row r="748" customFormat="false" ht="15.75" hidden="false" customHeight="false" outlineLevel="0" collapsed="false">
      <c r="B748" s="12"/>
    </row>
    <row r="749" customFormat="false" ht="15.75" hidden="false" customHeight="false" outlineLevel="0" collapsed="false">
      <c r="B749" s="12"/>
    </row>
    <row r="750" customFormat="false" ht="15.75" hidden="false" customHeight="false" outlineLevel="0" collapsed="false">
      <c r="B750" s="12"/>
    </row>
    <row r="751" customFormat="false" ht="15.75" hidden="false" customHeight="false" outlineLevel="0" collapsed="false">
      <c r="B751" s="12"/>
    </row>
    <row r="752" customFormat="false" ht="15.75" hidden="false" customHeight="false" outlineLevel="0" collapsed="false">
      <c r="B752" s="12"/>
    </row>
    <row r="753" customFormat="false" ht="15.75" hidden="false" customHeight="false" outlineLevel="0" collapsed="false">
      <c r="B753" s="12"/>
    </row>
    <row r="754" customFormat="false" ht="15.75" hidden="false" customHeight="false" outlineLevel="0" collapsed="false">
      <c r="B754" s="12"/>
    </row>
    <row r="755" customFormat="false" ht="15.75" hidden="false" customHeight="false" outlineLevel="0" collapsed="false">
      <c r="B755" s="12"/>
    </row>
    <row r="756" customFormat="false" ht="15.75" hidden="false" customHeight="false" outlineLevel="0" collapsed="false">
      <c r="B756" s="12"/>
    </row>
    <row r="757" customFormat="false" ht="15.75" hidden="false" customHeight="false" outlineLevel="0" collapsed="false">
      <c r="B757" s="12"/>
    </row>
    <row r="758" customFormat="false" ht="15.75" hidden="false" customHeight="false" outlineLevel="0" collapsed="false">
      <c r="B758" s="12"/>
    </row>
    <row r="759" customFormat="false" ht="15.75" hidden="false" customHeight="false" outlineLevel="0" collapsed="false">
      <c r="B759" s="12"/>
    </row>
    <row r="760" customFormat="false" ht="15.75" hidden="false" customHeight="false" outlineLevel="0" collapsed="false">
      <c r="B760" s="12"/>
    </row>
    <row r="761" customFormat="false" ht="15.75" hidden="false" customHeight="false" outlineLevel="0" collapsed="false">
      <c r="B761" s="12"/>
    </row>
    <row r="762" customFormat="false" ht="15.75" hidden="false" customHeight="false" outlineLevel="0" collapsed="false">
      <c r="B762" s="12"/>
    </row>
    <row r="763" customFormat="false" ht="15.75" hidden="false" customHeight="false" outlineLevel="0" collapsed="false">
      <c r="B763" s="12"/>
    </row>
    <row r="764" customFormat="false" ht="15.75" hidden="false" customHeight="false" outlineLevel="0" collapsed="false">
      <c r="B764" s="12"/>
    </row>
    <row r="765" customFormat="false" ht="15.75" hidden="false" customHeight="false" outlineLevel="0" collapsed="false">
      <c r="B765" s="12"/>
    </row>
    <row r="766" customFormat="false" ht="15.75" hidden="false" customHeight="false" outlineLevel="0" collapsed="false">
      <c r="B766" s="12"/>
    </row>
    <row r="767" customFormat="false" ht="15.75" hidden="false" customHeight="false" outlineLevel="0" collapsed="false">
      <c r="B767" s="12"/>
    </row>
    <row r="768" customFormat="false" ht="15.75" hidden="false" customHeight="false" outlineLevel="0" collapsed="false">
      <c r="B768" s="12"/>
    </row>
    <row r="769" customFormat="false" ht="15.75" hidden="false" customHeight="false" outlineLevel="0" collapsed="false">
      <c r="B769" s="12"/>
    </row>
    <row r="770" customFormat="false" ht="15.75" hidden="false" customHeight="false" outlineLevel="0" collapsed="false">
      <c r="B770" s="12"/>
    </row>
    <row r="771" customFormat="false" ht="15.75" hidden="false" customHeight="false" outlineLevel="0" collapsed="false">
      <c r="B771" s="12"/>
    </row>
    <row r="772" customFormat="false" ht="15.75" hidden="false" customHeight="false" outlineLevel="0" collapsed="false">
      <c r="B772" s="12"/>
    </row>
    <row r="773" customFormat="false" ht="15.75" hidden="false" customHeight="false" outlineLevel="0" collapsed="false">
      <c r="B773" s="12"/>
    </row>
    <row r="774" customFormat="false" ht="15.75" hidden="false" customHeight="false" outlineLevel="0" collapsed="false">
      <c r="B774" s="12"/>
    </row>
    <row r="775" customFormat="false" ht="15.75" hidden="false" customHeight="false" outlineLevel="0" collapsed="false">
      <c r="B775" s="12"/>
    </row>
    <row r="776" customFormat="false" ht="15.75" hidden="false" customHeight="false" outlineLevel="0" collapsed="false">
      <c r="B776" s="12"/>
    </row>
    <row r="777" customFormat="false" ht="15.75" hidden="false" customHeight="false" outlineLevel="0" collapsed="false">
      <c r="B777" s="12"/>
    </row>
    <row r="778" customFormat="false" ht="15.75" hidden="false" customHeight="false" outlineLevel="0" collapsed="false">
      <c r="B778" s="12"/>
    </row>
    <row r="779" customFormat="false" ht="15.75" hidden="false" customHeight="false" outlineLevel="0" collapsed="false">
      <c r="B779" s="12"/>
    </row>
    <row r="780" customFormat="false" ht="15.75" hidden="false" customHeight="false" outlineLevel="0" collapsed="false">
      <c r="B780" s="12"/>
    </row>
    <row r="781" customFormat="false" ht="15.75" hidden="false" customHeight="false" outlineLevel="0" collapsed="false">
      <c r="B781" s="12"/>
    </row>
    <row r="782" customFormat="false" ht="15.75" hidden="false" customHeight="false" outlineLevel="0" collapsed="false">
      <c r="B782" s="12"/>
    </row>
    <row r="783" customFormat="false" ht="15.75" hidden="false" customHeight="false" outlineLevel="0" collapsed="false">
      <c r="B783" s="12"/>
    </row>
    <row r="784" customFormat="false" ht="15.75" hidden="false" customHeight="false" outlineLevel="0" collapsed="false">
      <c r="B784" s="12"/>
    </row>
    <row r="785" customFormat="false" ht="15.75" hidden="false" customHeight="false" outlineLevel="0" collapsed="false">
      <c r="B785" s="12"/>
    </row>
    <row r="786" customFormat="false" ht="15.75" hidden="false" customHeight="false" outlineLevel="0" collapsed="false">
      <c r="B786" s="12"/>
    </row>
    <row r="787" customFormat="false" ht="15.75" hidden="false" customHeight="false" outlineLevel="0" collapsed="false">
      <c r="B787" s="12"/>
    </row>
    <row r="788" customFormat="false" ht="15.75" hidden="false" customHeight="false" outlineLevel="0" collapsed="false">
      <c r="B788" s="12"/>
    </row>
    <row r="789" customFormat="false" ht="15.75" hidden="false" customHeight="false" outlineLevel="0" collapsed="false">
      <c r="B789" s="12"/>
    </row>
    <row r="790" customFormat="false" ht="15.75" hidden="false" customHeight="false" outlineLevel="0" collapsed="false">
      <c r="B790" s="12"/>
    </row>
    <row r="791" customFormat="false" ht="15.75" hidden="false" customHeight="false" outlineLevel="0" collapsed="false">
      <c r="B791" s="12"/>
    </row>
    <row r="792" customFormat="false" ht="15.75" hidden="false" customHeight="false" outlineLevel="0" collapsed="false">
      <c r="B792" s="12"/>
    </row>
    <row r="793" customFormat="false" ht="15.75" hidden="false" customHeight="false" outlineLevel="0" collapsed="false">
      <c r="B793" s="12"/>
    </row>
    <row r="794" customFormat="false" ht="15.75" hidden="false" customHeight="false" outlineLevel="0" collapsed="false">
      <c r="B794" s="12"/>
    </row>
    <row r="795" customFormat="false" ht="15.75" hidden="false" customHeight="false" outlineLevel="0" collapsed="false">
      <c r="B795" s="12"/>
    </row>
    <row r="796" customFormat="false" ht="15.75" hidden="false" customHeight="false" outlineLevel="0" collapsed="false">
      <c r="B796" s="12"/>
    </row>
    <row r="797" customFormat="false" ht="15.75" hidden="false" customHeight="false" outlineLevel="0" collapsed="false">
      <c r="B797" s="12"/>
    </row>
    <row r="798" customFormat="false" ht="15.75" hidden="false" customHeight="false" outlineLevel="0" collapsed="false">
      <c r="B798" s="12"/>
    </row>
    <row r="799" customFormat="false" ht="15.75" hidden="false" customHeight="false" outlineLevel="0" collapsed="false">
      <c r="B799" s="12"/>
    </row>
    <row r="800" customFormat="false" ht="15.75" hidden="false" customHeight="false" outlineLevel="0" collapsed="false">
      <c r="B800" s="12"/>
    </row>
    <row r="801" customFormat="false" ht="15.75" hidden="false" customHeight="false" outlineLevel="0" collapsed="false">
      <c r="B801" s="12"/>
    </row>
    <row r="802" customFormat="false" ht="15.75" hidden="false" customHeight="false" outlineLevel="0" collapsed="false">
      <c r="B802" s="12"/>
    </row>
    <row r="803" customFormat="false" ht="15.75" hidden="false" customHeight="false" outlineLevel="0" collapsed="false">
      <c r="B803" s="12"/>
    </row>
    <row r="804" customFormat="false" ht="15.75" hidden="false" customHeight="false" outlineLevel="0" collapsed="false">
      <c r="B804" s="12"/>
    </row>
    <row r="805" customFormat="false" ht="15.75" hidden="false" customHeight="false" outlineLevel="0" collapsed="false">
      <c r="B805" s="12"/>
    </row>
    <row r="806" customFormat="false" ht="15.75" hidden="false" customHeight="false" outlineLevel="0" collapsed="false">
      <c r="B806" s="12"/>
    </row>
    <row r="807" customFormat="false" ht="15.75" hidden="false" customHeight="false" outlineLevel="0" collapsed="false">
      <c r="B807" s="12"/>
    </row>
    <row r="808" customFormat="false" ht="15.75" hidden="false" customHeight="false" outlineLevel="0" collapsed="false">
      <c r="B808" s="12"/>
    </row>
    <row r="809" customFormat="false" ht="15.75" hidden="false" customHeight="false" outlineLevel="0" collapsed="false">
      <c r="B809" s="12"/>
    </row>
    <row r="810" customFormat="false" ht="15.75" hidden="false" customHeight="false" outlineLevel="0" collapsed="false">
      <c r="B810" s="12"/>
    </row>
    <row r="811" customFormat="false" ht="15.75" hidden="false" customHeight="false" outlineLevel="0" collapsed="false">
      <c r="B811" s="12"/>
    </row>
    <row r="812" customFormat="false" ht="15.75" hidden="false" customHeight="false" outlineLevel="0" collapsed="false">
      <c r="B812" s="12"/>
    </row>
    <row r="813" customFormat="false" ht="15.75" hidden="false" customHeight="false" outlineLevel="0" collapsed="false">
      <c r="B813" s="12"/>
    </row>
    <row r="814" customFormat="false" ht="15.75" hidden="false" customHeight="false" outlineLevel="0" collapsed="false">
      <c r="B814" s="12"/>
    </row>
    <row r="815" customFormat="false" ht="15.75" hidden="false" customHeight="false" outlineLevel="0" collapsed="false">
      <c r="B815" s="12"/>
    </row>
    <row r="816" customFormat="false" ht="15.75" hidden="false" customHeight="false" outlineLevel="0" collapsed="false">
      <c r="B816" s="12"/>
    </row>
    <row r="817" customFormat="false" ht="15.75" hidden="false" customHeight="false" outlineLevel="0" collapsed="false">
      <c r="B817" s="12"/>
    </row>
    <row r="818" customFormat="false" ht="15.75" hidden="false" customHeight="false" outlineLevel="0" collapsed="false">
      <c r="B818" s="12"/>
    </row>
    <row r="819" customFormat="false" ht="15.75" hidden="false" customHeight="false" outlineLevel="0" collapsed="false">
      <c r="B819" s="12"/>
    </row>
    <row r="820" customFormat="false" ht="15.75" hidden="false" customHeight="false" outlineLevel="0" collapsed="false">
      <c r="B820" s="12"/>
    </row>
    <row r="821" customFormat="false" ht="15.75" hidden="false" customHeight="false" outlineLevel="0" collapsed="false">
      <c r="B821" s="12"/>
    </row>
    <row r="822" customFormat="false" ht="15.75" hidden="false" customHeight="false" outlineLevel="0" collapsed="false">
      <c r="B822" s="12"/>
    </row>
    <row r="823" customFormat="false" ht="15.75" hidden="false" customHeight="false" outlineLevel="0" collapsed="false">
      <c r="B823" s="12"/>
    </row>
    <row r="824" customFormat="false" ht="15.75" hidden="false" customHeight="false" outlineLevel="0" collapsed="false">
      <c r="B824" s="12"/>
    </row>
    <row r="825" customFormat="false" ht="15.75" hidden="false" customHeight="false" outlineLevel="0" collapsed="false">
      <c r="B825" s="12"/>
    </row>
    <row r="826" customFormat="false" ht="15.75" hidden="false" customHeight="false" outlineLevel="0" collapsed="false">
      <c r="B826" s="12"/>
    </row>
    <row r="827" customFormat="false" ht="15.75" hidden="false" customHeight="false" outlineLevel="0" collapsed="false">
      <c r="B827" s="12"/>
    </row>
    <row r="828" customFormat="false" ht="15.75" hidden="false" customHeight="false" outlineLevel="0" collapsed="false">
      <c r="B828" s="12"/>
    </row>
    <row r="829" customFormat="false" ht="15.75" hidden="false" customHeight="false" outlineLevel="0" collapsed="false">
      <c r="B829" s="12"/>
    </row>
    <row r="830" customFormat="false" ht="15.75" hidden="false" customHeight="false" outlineLevel="0" collapsed="false">
      <c r="B830" s="12"/>
    </row>
    <row r="831" customFormat="false" ht="15.75" hidden="false" customHeight="false" outlineLevel="0" collapsed="false">
      <c r="B831" s="12"/>
    </row>
    <row r="832" customFormat="false" ht="15.75" hidden="false" customHeight="false" outlineLevel="0" collapsed="false">
      <c r="B832" s="12"/>
    </row>
    <row r="833" customFormat="false" ht="15.75" hidden="false" customHeight="false" outlineLevel="0" collapsed="false">
      <c r="B833" s="12"/>
    </row>
    <row r="834" customFormat="false" ht="15.75" hidden="false" customHeight="false" outlineLevel="0" collapsed="false">
      <c r="B834" s="12"/>
    </row>
    <row r="835" customFormat="false" ht="15.75" hidden="false" customHeight="false" outlineLevel="0" collapsed="false">
      <c r="B835" s="12"/>
    </row>
    <row r="836" customFormat="false" ht="15.75" hidden="false" customHeight="false" outlineLevel="0" collapsed="false">
      <c r="B836" s="12"/>
    </row>
    <row r="837" customFormat="false" ht="15.75" hidden="false" customHeight="false" outlineLevel="0" collapsed="false">
      <c r="B837" s="12"/>
    </row>
    <row r="838" customFormat="false" ht="15.75" hidden="false" customHeight="false" outlineLevel="0" collapsed="false">
      <c r="B838" s="12"/>
    </row>
    <row r="839" customFormat="false" ht="15.75" hidden="false" customHeight="false" outlineLevel="0" collapsed="false">
      <c r="B839" s="12"/>
    </row>
    <row r="840" customFormat="false" ht="15.75" hidden="false" customHeight="false" outlineLevel="0" collapsed="false">
      <c r="B840" s="12"/>
    </row>
    <row r="841" customFormat="false" ht="15.75" hidden="false" customHeight="false" outlineLevel="0" collapsed="false">
      <c r="B841" s="12"/>
    </row>
    <row r="842" customFormat="false" ht="15.75" hidden="false" customHeight="false" outlineLevel="0" collapsed="false">
      <c r="B842" s="12"/>
    </row>
    <row r="843" customFormat="false" ht="15.75" hidden="false" customHeight="false" outlineLevel="0" collapsed="false">
      <c r="B843" s="12"/>
    </row>
    <row r="844" customFormat="false" ht="15.75" hidden="false" customHeight="false" outlineLevel="0" collapsed="false">
      <c r="B844" s="12"/>
    </row>
    <row r="845" customFormat="false" ht="15.75" hidden="false" customHeight="false" outlineLevel="0" collapsed="false">
      <c r="B845" s="12"/>
    </row>
    <row r="846" customFormat="false" ht="15.75" hidden="false" customHeight="false" outlineLevel="0" collapsed="false">
      <c r="B846" s="12"/>
    </row>
    <row r="847" customFormat="false" ht="15.75" hidden="false" customHeight="false" outlineLevel="0" collapsed="false">
      <c r="B847" s="12"/>
    </row>
    <row r="848" customFormat="false" ht="15.75" hidden="false" customHeight="false" outlineLevel="0" collapsed="false">
      <c r="B848" s="12"/>
    </row>
    <row r="849" customFormat="false" ht="15.75" hidden="false" customHeight="false" outlineLevel="0" collapsed="false">
      <c r="B849" s="12"/>
    </row>
    <row r="850" customFormat="false" ht="15.75" hidden="false" customHeight="false" outlineLevel="0" collapsed="false">
      <c r="B850" s="12"/>
    </row>
    <row r="851" customFormat="false" ht="15.75" hidden="false" customHeight="false" outlineLevel="0" collapsed="false">
      <c r="B851" s="12"/>
    </row>
    <row r="852" customFormat="false" ht="15.75" hidden="false" customHeight="false" outlineLevel="0" collapsed="false">
      <c r="B852" s="12"/>
    </row>
    <row r="853" customFormat="false" ht="15.75" hidden="false" customHeight="false" outlineLevel="0" collapsed="false">
      <c r="B853" s="12"/>
    </row>
    <row r="854" customFormat="false" ht="15.75" hidden="false" customHeight="false" outlineLevel="0" collapsed="false">
      <c r="B854" s="12"/>
    </row>
    <row r="855" customFormat="false" ht="15.75" hidden="false" customHeight="false" outlineLevel="0" collapsed="false">
      <c r="B855" s="12"/>
    </row>
    <row r="856" customFormat="false" ht="15.75" hidden="false" customHeight="false" outlineLevel="0" collapsed="false">
      <c r="B856" s="12"/>
    </row>
    <row r="857" customFormat="false" ht="15.75" hidden="false" customHeight="false" outlineLevel="0" collapsed="false">
      <c r="B857" s="12"/>
    </row>
    <row r="858" customFormat="false" ht="15.75" hidden="false" customHeight="false" outlineLevel="0" collapsed="false">
      <c r="B858" s="12"/>
    </row>
    <row r="859" customFormat="false" ht="15.75" hidden="false" customHeight="false" outlineLevel="0" collapsed="false">
      <c r="B859" s="12"/>
    </row>
    <row r="860" customFormat="false" ht="15.75" hidden="false" customHeight="false" outlineLevel="0" collapsed="false">
      <c r="B860" s="12"/>
    </row>
    <row r="861" customFormat="false" ht="15.75" hidden="false" customHeight="false" outlineLevel="0" collapsed="false">
      <c r="B861" s="12"/>
    </row>
    <row r="862" customFormat="false" ht="15.75" hidden="false" customHeight="false" outlineLevel="0" collapsed="false">
      <c r="B862" s="12"/>
    </row>
    <row r="863" customFormat="false" ht="15.75" hidden="false" customHeight="false" outlineLevel="0" collapsed="false">
      <c r="B863" s="12"/>
    </row>
    <row r="864" customFormat="false" ht="15.75" hidden="false" customHeight="false" outlineLevel="0" collapsed="false">
      <c r="B864" s="12"/>
    </row>
    <row r="865" customFormat="false" ht="15.75" hidden="false" customHeight="false" outlineLevel="0" collapsed="false">
      <c r="B865" s="12"/>
    </row>
    <row r="866" customFormat="false" ht="15.75" hidden="false" customHeight="false" outlineLevel="0" collapsed="false">
      <c r="B866" s="12"/>
    </row>
    <row r="867" customFormat="false" ht="15.75" hidden="false" customHeight="false" outlineLevel="0" collapsed="false">
      <c r="B867" s="12"/>
    </row>
    <row r="868" customFormat="false" ht="15.75" hidden="false" customHeight="false" outlineLevel="0" collapsed="false">
      <c r="B868" s="12"/>
    </row>
    <row r="869" customFormat="false" ht="15.75" hidden="false" customHeight="false" outlineLevel="0" collapsed="false">
      <c r="B869" s="12"/>
    </row>
    <row r="870" customFormat="false" ht="15.75" hidden="false" customHeight="false" outlineLevel="0" collapsed="false">
      <c r="B870" s="12"/>
    </row>
    <row r="871" customFormat="false" ht="15.75" hidden="false" customHeight="false" outlineLevel="0" collapsed="false">
      <c r="B871" s="12"/>
    </row>
    <row r="872" customFormat="false" ht="15.75" hidden="false" customHeight="false" outlineLevel="0" collapsed="false">
      <c r="B872" s="12"/>
    </row>
    <row r="873" customFormat="false" ht="15.75" hidden="false" customHeight="false" outlineLevel="0" collapsed="false">
      <c r="B873" s="12"/>
    </row>
    <row r="874" customFormat="false" ht="15.75" hidden="false" customHeight="false" outlineLevel="0" collapsed="false">
      <c r="B874" s="12"/>
    </row>
    <row r="875" customFormat="false" ht="15.75" hidden="false" customHeight="false" outlineLevel="0" collapsed="false">
      <c r="B875" s="12"/>
    </row>
    <row r="876" customFormat="false" ht="15.75" hidden="false" customHeight="false" outlineLevel="0" collapsed="false">
      <c r="B876" s="12"/>
    </row>
    <row r="877" customFormat="false" ht="15.75" hidden="false" customHeight="false" outlineLevel="0" collapsed="false">
      <c r="B877" s="12"/>
    </row>
    <row r="878" customFormat="false" ht="15.75" hidden="false" customHeight="false" outlineLevel="0" collapsed="false">
      <c r="B878" s="12"/>
    </row>
    <row r="879" customFormat="false" ht="15.75" hidden="false" customHeight="false" outlineLevel="0" collapsed="false">
      <c r="B879" s="12"/>
    </row>
    <row r="880" customFormat="false" ht="15.75" hidden="false" customHeight="false" outlineLevel="0" collapsed="false">
      <c r="B880" s="12"/>
    </row>
    <row r="881" customFormat="false" ht="15.75" hidden="false" customHeight="false" outlineLevel="0" collapsed="false">
      <c r="B881" s="12"/>
    </row>
    <row r="882" customFormat="false" ht="15.75" hidden="false" customHeight="false" outlineLevel="0" collapsed="false">
      <c r="B882" s="12"/>
    </row>
    <row r="883" customFormat="false" ht="15.75" hidden="false" customHeight="false" outlineLevel="0" collapsed="false">
      <c r="B883" s="12"/>
    </row>
    <row r="884" customFormat="false" ht="15.75" hidden="false" customHeight="false" outlineLevel="0" collapsed="false">
      <c r="B884" s="12"/>
    </row>
    <row r="885" customFormat="false" ht="15.75" hidden="false" customHeight="false" outlineLevel="0" collapsed="false">
      <c r="B885" s="12"/>
    </row>
    <row r="886" customFormat="false" ht="15.75" hidden="false" customHeight="false" outlineLevel="0" collapsed="false">
      <c r="B886" s="12"/>
    </row>
    <row r="887" customFormat="false" ht="15.75" hidden="false" customHeight="false" outlineLevel="0" collapsed="false">
      <c r="B887" s="12"/>
    </row>
    <row r="888" customFormat="false" ht="15.75" hidden="false" customHeight="false" outlineLevel="0" collapsed="false">
      <c r="B888" s="12"/>
    </row>
    <row r="889" customFormat="false" ht="15.75" hidden="false" customHeight="false" outlineLevel="0" collapsed="false">
      <c r="B889" s="12"/>
    </row>
    <row r="890" customFormat="false" ht="15.75" hidden="false" customHeight="false" outlineLevel="0" collapsed="false">
      <c r="B890" s="12"/>
    </row>
    <row r="891" customFormat="false" ht="15.75" hidden="false" customHeight="false" outlineLevel="0" collapsed="false">
      <c r="B891" s="12"/>
    </row>
    <row r="892" customFormat="false" ht="15.75" hidden="false" customHeight="false" outlineLevel="0" collapsed="false">
      <c r="B892" s="12"/>
    </row>
    <row r="893" customFormat="false" ht="15.75" hidden="false" customHeight="false" outlineLevel="0" collapsed="false">
      <c r="B893" s="12"/>
    </row>
    <row r="894" customFormat="false" ht="15.75" hidden="false" customHeight="false" outlineLevel="0" collapsed="false">
      <c r="B894" s="12"/>
    </row>
    <row r="895" customFormat="false" ht="15.75" hidden="false" customHeight="false" outlineLevel="0" collapsed="false">
      <c r="B895" s="12"/>
    </row>
    <row r="896" customFormat="false" ht="15.75" hidden="false" customHeight="false" outlineLevel="0" collapsed="false">
      <c r="B896" s="12"/>
    </row>
    <row r="897" customFormat="false" ht="15.75" hidden="false" customHeight="false" outlineLevel="0" collapsed="false">
      <c r="B897" s="12"/>
    </row>
    <row r="898" customFormat="false" ht="15.75" hidden="false" customHeight="false" outlineLevel="0" collapsed="false">
      <c r="B898" s="12"/>
    </row>
    <row r="899" customFormat="false" ht="15.75" hidden="false" customHeight="false" outlineLevel="0" collapsed="false">
      <c r="B899" s="12"/>
    </row>
    <row r="900" customFormat="false" ht="15.75" hidden="false" customHeight="false" outlineLevel="0" collapsed="false">
      <c r="B900" s="12"/>
    </row>
    <row r="901" customFormat="false" ht="15.75" hidden="false" customHeight="false" outlineLevel="0" collapsed="false">
      <c r="B901" s="12"/>
    </row>
    <row r="902" customFormat="false" ht="15.75" hidden="false" customHeight="false" outlineLevel="0" collapsed="false">
      <c r="B902" s="12"/>
    </row>
    <row r="903" customFormat="false" ht="15.75" hidden="false" customHeight="false" outlineLevel="0" collapsed="false">
      <c r="B903" s="12"/>
    </row>
    <row r="904" customFormat="false" ht="15.75" hidden="false" customHeight="false" outlineLevel="0" collapsed="false">
      <c r="B904" s="12"/>
    </row>
    <row r="905" customFormat="false" ht="15.75" hidden="false" customHeight="false" outlineLevel="0" collapsed="false">
      <c r="B905" s="12"/>
    </row>
    <row r="906" customFormat="false" ht="15.75" hidden="false" customHeight="false" outlineLevel="0" collapsed="false">
      <c r="B906" s="12"/>
    </row>
    <row r="907" customFormat="false" ht="15.75" hidden="false" customHeight="false" outlineLevel="0" collapsed="false">
      <c r="B907" s="12"/>
    </row>
    <row r="908" customFormat="false" ht="15.75" hidden="false" customHeight="false" outlineLevel="0" collapsed="false">
      <c r="B908" s="12"/>
    </row>
    <row r="909" customFormat="false" ht="15.75" hidden="false" customHeight="false" outlineLevel="0" collapsed="false">
      <c r="B909" s="12"/>
    </row>
    <row r="910" customFormat="false" ht="15.75" hidden="false" customHeight="false" outlineLevel="0" collapsed="false">
      <c r="B910" s="12"/>
    </row>
    <row r="911" customFormat="false" ht="15.75" hidden="false" customHeight="false" outlineLevel="0" collapsed="false">
      <c r="B911" s="12"/>
    </row>
    <row r="912" customFormat="false" ht="15.75" hidden="false" customHeight="false" outlineLevel="0" collapsed="false">
      <c r="B912" s="12"/>
    </row>
    <row r="913" customFormat="false" ht="15.75" hidden="false" customHeight="false" outlineLevel="0" collapsed="false">
      <c r="B913" s="12"/>
    </row>
    <row r="914" customFormat="false" ht="15.75" hidden="false" customHeight="false" outlineLevel="0" collapsed="false">
      <c r="B914" s="12"/>
    </row>
    <row r="915" customFormat="false" ht="15.75" hidden="false" customHeight="false" outlineLevel="0" collapsed="false">
      <c r="B915" s="12"/>
    </row>
    <row r="916" customFormat="false" ht="15.75" hidden="false" customHeight="false" outlineLevel="0" collapsed="false">
      <c r="B916" s="12"/>
    </row>
    <row r="917" customFormat="false" ht="15.75" hidden="false" customHeight="false" outlineLevel="0" collapsed="false">
      <c r="B917" s="12"/>
    </row>
    <row r="918" customFormat="false" ht="15.75" hidden="false" customHeight="false" outlineLevel="0" collapsed="false">
      <c r="B918" s="12"/>
    </row>
    <row r="919" customFormat="false" ht="15.75" hidden="false" customHeight="false" outlineLevel="0" collapsed="false">
      <c r="B919" s="12"/>
    </row>
    <row r="920" customFormat="false" ht="15.75" hidden="false" customHeight="false" outlineLevel="0" collapsed="false">
      <c r="B920" s="12"/>
    </row>
    <row r="921" customFormat="false" ht="15.75" hidden="false" customHeight="false" outlineLevel="0" collapsed="false">
      <c r="B921" s="12"/>
    </row>
    <row r="922" customFormat="false" ht="15.75" hidden="false" customHeight="false" outlineLevel="0" collapsed="false">
      <c r="B922" s="12"/>
    </row>
    <row r="923" customFormat="false" ht="15.75" hidden="false" customHeight="false" outlineLevel="0" collapsed="false">
      <c r="B923" s="12"/>
    </row>
    <row r="924" customFormat="false" ht="15.75" hidden="false" customHeight="false" outlineLevel="0" collapsed="false">
      <c r="B924" s="12"/>
    </row>
    <row r="925" customFormat="false" ht="15.75" hidden="false" customHeight="false" outlineLevel="0" collapsed="false">
      <c r="B925" s="12"/>
    </row>
    <row r="926" customFormat="false" ht="15.75" hidden="false" customHeight="false" outlineLevel="0" collapsed="false">
      <c r="B926" s="12"/>
    </row>
    <row r="927" customFormat="false" ht="15.75" hidden="false" customHeight="false" outlineLevel="0" collapsed="false">
      <c r="B927" s="12"/>
    </row>
    <row r="928" customFormat="false" ht="15.75" hidden="false" customHeight="false" outlineLevel="0" collapsed="false">
      <c r="B928" s="12"/>
    </row>
    <row r="929" customFormat="false" ht="15.75" hidden="false" customHeight="false" outlineLevel="0" collapsed="false">
      <c r="B929" s="12"/>
    </row>
    <row r="930" customFormat="false" ht="15.75" hidden="false" customHeight="false" outlineLevel="0" collapsed="false">
      <c r="B930" s="12"/>
    </row>
    <row r="931" customFormat="false" ht="15.75" hidden="false" customHeight="false" outlineLevel="0" collapsed="false">
      <c r="B931" s="12"/>
    </row>
    <row r="932" customFormat="false" ht="15.75" hidden="false" customHeight="false" outlineLevel="0" collapsed="false">
      <c r="B932" s="12"/>
    </row>
    <row r="933" customFormat="false" ht="15.75" hidden="false" customHeight="false" outlineLevel="0" collapsed="false">
      <c r="B933" s="12"/>
    </row>
    <row r="934" customFormat="false" ht="15.75" hidden="false" customHeight="false" outlineLevel="0" collapsed="false">
      <c r="B934" s="12"/>
    </row>
    <row r="935" customFormat="false" ht="15.75" hidden="false" customHeight="false" outlineLevel="0" collapsed="false">
      <c r="B935" s="12"/>
    </row>
    <row r="936" customFormat="false" ht="15.75" hidden="false" customHeight="false" outlineLevel="0" collapsed="false">
      <c r="B936" s="12"/>
    </row>
    <row r="937" customFormat="false" ht="15.75" hidden="false" customHeight="false" outlineLevel="0" collapsed="false">
      <c r="B937" s="12"/>
    </row>
    <row r="938" customFormat="false" ht="15.75" hidden="false" customHeight="false" outlineLevel="0" collapsed="false">
      <c r="B938" s="12"/>
    </row>
    <row r="939" customFormat="false" ht="15.75" hidden="false" customHeight="false" outlineLevel="0" collapsed="false">
      <c r="B939" s="12"/>
    </row>
    <row r="940" customFormat="false" ht="15.75" hidden="false" customHeight="false" outlineLevel="0" collapsed="false">
      <c r="B940" s="12"/>
    </row>
    <row r="941" customFormat="false" ht="15.75" hidden="false" customHeight="false" outlineLevel="0" collapsed="false">
      <c r="B941" s="12"/>
    </row>
    <row r="942" customFormat="false" ht="15.75" hidden="false" customHeight="false" outlineLevel="0" collapsed="false">
      <c r="B942" s="12"/>
    </row>
    <row r="943" customFormat="false" ht="15.75" hidden="false" customHeight="false" outlineLevel="0" collapsed="false">
      <c r="B943" s="12"/>
    </row>
    <row r="944" customFormat="false" ht="15.75" hidden="false" customHeight="false" outlineLevel="0" collapsed="false">
      <c r="B944" s="12"/>
    </row>
    <row r="945" customFormat="false" ht="15.75" hidden="false" customHeight="false" outlineLevel="0" collapsed="false">
      <c r="B945" s="12"/>
    </row>
    <row r="946" customFormat="false" ht="15.75" hidden="false" customHeight="false" outlineLevel="0" collapsed="false">
      <c r="B946" s="12"/>
    </row>
    <row r="947" customFormat="false" ht="15.75" hidden="false" customHeight="false" outlineLevel="0" collapsed="false">
      <c r="B947" s="12"/>
    </row>
    <row r="948" customFormat="false" ht="15.75" hidden="false" customHeight="false" outlineLevel="0" collapsed="false">
      <c r="B948" s="12"/>
    </row>
    <row r="949" customFormat="false" ht="15.75" hidden="false" customHeight="false" outlineLevel="0" collapsed="false">
      <c r="B949" s="12"/>
    </row>
    <row r="950" customFormat="false" ht="15.75" hidden="false" customHeight="false" outlineLevel="0" collapsed="false">
      <c r="B950" s="12"/>
    </row>
    <row r="951" customFormat="false" ht="15.75" hidden="false" customHeight="false" outlineLevel="0" collapsed="false">
      <c r="B951" s="12"/>
    </row>
    <row r="952" customFormat="false" ht="15.75" hidden="false" customHeight="false" outlineLevel="0" collapsed="false">
      <c r="B952" s="12"/>
    </row>
    <row r="953" customFormat="false" ht="15.75" hidden="false" customHeight="false" outlineLevel="0" collapsed="false">
      <c r="B953" s="12"/>
    </row>
    <row r="954" customFormat="false" ht="15.75" hidden="false" customHeight="false" outlineLevel="0" collapsed="false">
      <c r="B954" s="12"/>
    </row>
    <row r="955" customFormat="false" ht="15.75" hidden="false" customHeight="false" outlineLevel="0" collapsed="false">
      <c r="B955" s="12"/>
    </row>
    <row r="956" customFormat="false" ht="15.75" hidden="false" customHeight="false" outlineLevel="0" collapsed="false">
      <c r="B956" s="12"/>
    </row>
    <row r="957" customFormat="false" ht="15.75" hidden="false" customHeight="false" outlineLevel="0" collapsed="false">
      <c r="B957" s="12"/>
    </row>
    <row r="958" customFormat="false" ht="15.75" hidden="false" customHeight="false" outlineLevel="0" collapsed="false">
      <c r="B958" s="12"/>
    </row>
    <row r="959" customFormat="false" ht="15.75" hidden="false" customHeight="false" outlineLevel="0" collapsed="false">
      <c r="B959" s="12"/>
    </row>
    <row r="960" customFormat="false" ht="15.75" hidden="false" customHeight="false" outlineLevel="0" collapsed="false">
      <c r="B960" s="12"/>
    </row>
    <row r="961" customFormat="false" ht="15.75" hidden="false" customHeight="false" outlineLevel="0" collapsed="false">
      <c r="B961" s="12"/>
    </row>
    <row r="962" customFormat="false" ht="15.75" hidden="false" customHeight="false" outlineLevel="0" collapsed="false">
      <c r="B962" s="12"/>
    </row>
    <row r="963" customFormat="false" ht="15.75" hidden="false" customHeight="false" outlineLevel="0" collapsed="false">
      <c r="B963" s="12"/>
    </row>
    <row r="964" customFormat="false" ht="15.75" hidden="false" customHeight="false" outlineLevel="0" collapsed="false">
      <c r="B964" s="12"/>
    </row>
    <row r="965" customFormat="false" ht="15.75" hidden="false" customHeight="false" outlineLevel="0" collapsed="false">
      <c r="B965" s="12"/>
    </row>
    <row r="966" customFormat="false" ht="15.75" hidden="false" customHeight="false" outlineLevel="0" collapsed="false">
      <c r="B966" s="12"/>
    </row>
    <row r="967" customFormat="false" ht="15.75" hidden="false" customHeight="false" outlineLevel="0" collapsed="false">
      <c r="B967" s="12"/>
    </row>
    <row r="968" customFormat="false" ht="15.75" hidden="false" customHeight="false" outlineLevel="0" collapsed="false">
      <c r="B968" s="12"/>
    </row>
    <row r="969" customFormat="false" ht="15.75" hidden="false" customHeight="false" outlineLevel="0" collapsed="false">
      <c r="B969" s="12"/>
    </row>
    <row r="970" customFormat="false" ht="15.75" hidden="false" customHeight="false" outlineLevel="0" collapsed="false">
      <c r="B970" s="12"/>
    </row>
    <row r="971" customFormat="false" ht="15.75" hidden="false" customHeight="false" outlineLevel="0" collapsed="false">
      <c r="B971" s="12"/>
    </row>
    <row r="972" customFormat="false" ht="15.75" hidden="false" customHeight="false" outlineLevel="0" collapsed="false">
      <c r="B972" s="12"/>
    </row>
    <row r="973" customFormat="false" ht="15.75" hidden="false" customHeight="false" outlineLevel="0" collapsed="false">
      <c r="B973" s="12"/>
    </row>
    <row r="974" customFormat="false" ht="15.75" hidden="false" customHeight="false" outlineLevel="0" collapsed="false">
      <c r="B974" s="12"/>
    </row>
    <row r="975" customFormat="false" ht="15.75" hidden="false" customHeight="false" outlineLevel="0" collapsed="false">
      <c r="B975" s="12"/>
    </row>
    <row r="976" customFormat="false" ht="15.75" hidden="false" customHeight="false" outlineLevel="0" collapsed="false">
      <c r="B976" s="12"/>
    </row>
    <row r="977" customFormat="false" ht="15.75" hidden="false" customHeight="false" outlineLevel="0" collapsed="false">
      <c r="B977" s="12"/>
    </row>
    <row r="978" customFormat="false" ht="15.75" hidden="false" customHeight="false" outlineLevel="0" collapsed="false">
      <c r="B978" s="12"/>
    </row>
    <row r="979" customFormat="false" ht="15.75" hidden="false" customHeight="false" outlineLevel="0" collapsed="false">
      <c r="B979" s="12"/>
    </row>
    <row r="980" customFormat="false" ht="15.75" hidden="false" customHeight="false" outlineLevel="0" collapsed="false">
      <c r="B980" s="12"/>
    </row>
    <row r="981" customFormat="false" ht="15.75" hidden="false" customHeight="false" outlineLevel="0" collapsed="false">
      <c r="B981" s="12"/>
    </row>
    <row r="982" customFormat="false" ht="15.75" hidden="false" customHeight="false" outlineLevel="0" collapsed="false">
      <c r="B982" s="12"/>
    </row>
    <row r="983" customFormat="false" ht="15.75" hidden="false" customHeight="false" outlineLevel="0" collapsed="false">
      <c r="B983" s="12"/>
    </row>
    <row r="984" customFormat="false" ht="15.75" hidden="false" customHeight="false" outlineLevel="0" collapsed="false">
      <c r="B984" s="12"/>
    </row>
    <row r="985" customFormat="false" ht="15.75" hidden="false" customHeight="false" outlineLevel="0" collapsed="false">
      <c r="B985" s="12"/>
    </row>
    <row r="986" customFormat="false" ht="15.75" hidden="false" customHeight="false" outlineLevel="0" collapsed="false">
      <c r="B986" s="12"/>
    </row>
    <row r="987" customFormat="false" ht="15.75" hidden="false" customHeight="false" outlineLevel="0" collapsed="false">
      <c r="B987" s="12"/>
    </row>
    <row r="988" customFormat="false" ht="15.75" hidden="false" customHeight="false" outlineLevel="0" collapsed="false">
      <c r="B988" s="12"/>
    </row>
    <row r="989" customFormat="false" ht="15.75" hidden="false" customHeight="false" outlineLevel="0" collapsed="false">
      <c r="B989" s="12"/>
    </row>
    <row r="990" customFormat="false" ht="15.75" hidden="false" customHeight="false" outlineLevel="0" collapsed="false">
      <c r="B990" s="12"/>
    </row>
    <row r="991" customFormat="false" ht="15.75" hidden="false" customHeight="false" outlineLevel="0" collapsed="false">
      <c r="B991" s="12"/>
    </row>
    <row r="992" customFormat="false" ht="15.75" hidden="false" customHeight="false" outlineLevel="0" collapsed="false">
      <c r="B992" s="12"/>
    </row>
    <row r="993" customFormat="false" ht="15.75" hidden="false" customHeight="false" outlineLevel="0" collapsed="false">
      <c r="B993" s="12"/>
    </row>
    <row r="994" customFormat="false" ht="15.75" hidden="false" customHeight="false" outlineLevel="0" collapsed="false">
      <c r="B994" s="12"/>
    </row>
    <row r="995" customFormat="false" ht="15.75" hidden="false" customHeight="false" outlineLevel="0" collapsed="false">
      <c r="B995" s="12"/>
    </row>
    <row r="996" customFormat="false" ht="15.75" hidden="false" customHeight="false" outlineLevel="0" collapsed="false">
      <c r="B996" s="12"/>
    </row>
    <row r="997" customFormat="false" ht="15.75" hidden="false" customHeight="false" outlineLevel="0" collapsed="false">
      <c r="B997" s="12"/>
    </row>
    <row r="998" customFormat="false" ht="15.75" hidden="false" customHeight="false" outlineLevel="0" collapsed="false">
      <c r="B998" s="12"/>
    </row>
    <row r="999" customFormat="false" ht="15.75" hidden="false" customHeight="false" outlineLevel="0" collapsed="false">
      <c r="B999" s="1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20" t="s">
        <v>244</v>
      </c>
    </row>
    <row r="2" customFormat="false" ht="15.75" hidden="false" customHeight="false" outlineLevel="0" collapsed="false">
      <c r="A2" s="20" t="s">
        <v>852</v>
      </c>
    </row>
    <row r="3" customFormat="false" ht="15.75" hidden="false" customHeight="false" outlineLevel="0" collapsed="false">
      <c r="A3" s="20" t="s">
        <v>76</v>
      </c>
    </row>
    <row r="4" customFormat="false" ht="15.75" hidden="false" customHeight="false" outlineLevel="0" collapsed="false">
      <c r="A4" s="20" t="s">
        <v>40</v>
      </c>
    </row>
    <row r="5" customFormat="false" ht="15.75" hidden="false" customHeight="false" outlineLevel="0" collapsed="false">
      <c r="A5" s="20" t="s">
        <v>20</v>
      </c>
    </row>
    <row r="6" customFormat="false" ht="15.75" hidden="false" customHeight="false" outlineLevel="0" collapsed="false">
      <c r="A6" s="20" t="s">
        <v>184</v>
      </c>
    </row>
    <row r="7" customFormat="false" ht="15.75" hidden="false" customHeight="false" outlineLevel="0" collapsed="false">
      <c r="A7" s="20" t="s">
        <v>16</v>
      </c>
    </row>
    <row r="8" customFormat="false" ht="15.75" hidden="false" customHeight="false" outlineLevel="0" collapsed="false">
      <c r="A8" s="20" t="s">
        <v>406</v>
      </c>
    </row>
    <row r="9" customFormat="false" ht="15.75" hidden="false" customHeight="false" outlineLevel="0" collapsed="false">
      <c r="A9" s="20" t="s">
        <v>86</v>
      </c>
    </row>
    <row r="10" customFormat="false" ht="15.75" hidden="false" customHeight="false" outlineLevel="0" collapsed="false">
      <c r="A10" s="20" t="s">
        <v>52</v>
      </c>
    </row>
    <row r="11" customFormat="false" ht="15.75" hidden="false" customHeight="false" outlineLevel="0" collapsed="false">
      <c r="A11" s="20" t="s">
        <v>23</v>
      </c>
    </row>
    <row r="12" customFormat="false" ht="15.75" hidden="false" customHeight="false" outlineLevel="0" collapsed="false">
      <c r="A12" s="20" t="s">
        <v>118</v>
      </c>
    </row>
    <row r="13" customFormat="false" ht="15.75" hidden="false" customHeight="false" outlineLevel="0" collapsed="false">
      <c r="A13" s="20" t="s">
        <v>303</v>
      </c>
    </row>
    <row r="14" customFormat="false" ht="15.75" hidden="false" customHeight="false" outlineLevel="0" collapsed="false">
      <c r="A14" s="20" t="s">
        <v>1305</v>
      </c>
    </row>
    <row r="15" customFormat="false" ht="15.75" hidden="false" customHeight="false" outlineLevel="0" collapsed="false">
      <c r="A15" s="20" t="s">
        <v>26</v>
      </c>
    </row>
    <row r="16" customFormat="false" ht="15.75" hidden="false" customHeight="false" outlineLevel="0" collapsed="false">
      <c r="A16" s="20" t="s">
        <v>35</v>
      </c>
    </row>
    <row r="17" customFormat="false" ht="15.75" hidden="false" customHeight="false" outlineLevel="0" collapsed="false">
      <c r="A17" s="20" t="s">
        <v>687</v>
      </c>
    </row>
    <row r="18" customFormat="false" ht="15.75" hidden="false" customHeight="false" outlineLevel="0" collapsed="false">
      <c r="A18" s="8" t="s">
        <v>353</v>
      </c>
    </row>
    <row r="19" customFormat="false" ht="15.75" hidden="false" customHeight="false" outlineLevel="0" collapsed="false">
      <c r="A19" s="20" t="s">
        <v>139</v>
      </c>
    </row>
    <row r="20" customFormat="false" ht="15.75" hidden="false" customHeight="false" outlineLevel="0" collapsed="false">
      <c r="A20" s="20" t="s">
        <v>44</v>
      </c>
    </row>
    <row r="21" customFormat="false" ht="15.75" hidden="false" customHeight="false" outlineLevel="0" collapsed="false">
      <c r="A21" s="20" t="s">
        <v>30</v>
      </c>
    </row>
    <row r="22" customFormat="false" ht="15.75" hidden="false" customHeight="false" outlineLevel="0" collapsed="false">
      <c r="A22" s="20" t="s">
        <v>295</v>
      </c>
    </row>
    <row r="23" customFormat="false" ht="15.75" hidden="false" customHeight="false" outlineLevel="0" collapsed="false">
      <c r="A23" s="20" t="s">
        <v>136</v>
      </c>
    </row>
    <row r="24" customFormat="false" ht="15.75" hidden="false" customHeight="false" outlineLevel="0" collapsed="false">
      <c r="A24" s="20" t="s">
        <v>49</v>
      </c>
    </row>
    <row r="25" customFormat="false" ht="15.75" hidden="false" customHeight="false" outlineLevel="0" collapsed="false">
      <c r="A25" s="20" t="s">
        <v>222</v>
      </c>
    </row>
    <row r="26" customFormat="false" ht="15.75" hidden="false" customHeight="false" outlineLevel="0" collapsed="false">
      <c r="A26" s="20" t="s">
        <v>215</v>
      </c>
    </row>
    <row r="27" customFormat="false" ht="15.75" hidden="false" customHeight="false" outlineLevel="0" collapsed="false">
      <c r="A27" s="20" t="s">
        <v>327</v>
      </c>
    </row>
    <row r="28" customFormat="false" ht="15.75" hidden="false" customHeight="false" outlineLevel="0" collapsed="false">
      <c r="A28" s="20" t="s">
        <v>125</v>
      </c>
    </row>
    <row r="29" customFormat="false" ht="15.75" hidden="false" customHeight="false" outlineLevel="0" collapsed="false">
      <c r="A29" s="20" t="s">
        <v>106</v>
      </c>
    </row>
    <row r="30" customFormat="false" ht="15.75" hidden="false" customHeight="false" outlineLevel="0" collapsed="false">
      <c r="A30" s="20" t="s">
        <v>155</v>
      </c>
    </row>
    <row r="31" customFormat="false" ht="15.75" hidden="false" customHeight="false" outlineLevel="0" collapsed="false">
      <c r="A31" s="20" t="s">
        <v>58</v>
      </c>
    </row>
    <row r="32" customFormat="false" ht="15.75" hidden="false" customHeight="false" outlineLevel="0" collapsed="false">
      <c r="A32" s="20" t="s">
        <v>111</v>
      </c>
    </row>
    <row r="33" customFormat="false" ht="15.75" hidden="false" customHeight="false" outlineLevel="0" collapsed="false">
      <c r="A33" s="20" t="s">
        <v>1247</v>
      </c>
    </row>
    <row r="34" customFormat="false" ht="15.75" hidden="false" customHeight="false" outlineLevel="0" collapsed="false">
      <c r="A34" s="20" t="s">
        <v>67</v>
      </c>
    </row>
    <row r="35" customFormat="false" ht="15.75" hidden="false" customHeight="false" outlineLevel="0" collapsed="false">
      <c r="A35" s="20" t="s">
        <v>72</v>
      </c>
    </row>
    <row r="36" customFormat="false" ht="15.75" hidden="false" customHeight="false" outlineLevel="0" collapsed="false">
      <c r="A36" s="20" t="s">
        <v>313</v>
      </c>
    </row>
    <row r="37" customFormat="false" ht="15.75" hidden="false" customHeight="false" outlineLevel="0" collapsed="false">
      <c r="A37" s="20" t="s">
        <v>350</v>
      </c>
    </row>
    <row r="38" customFormat="false" ht="15.75" hidden="false" customHeight="false" outlineLevel="0" collapsed="false">
      <c r="A38" s="20" t="s">
        <v>188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1"/>
  </cols>
  <sheetData>
    <row r="1" customFormat="false" ht="15.75" hidden="false" customHeight="false" outlineLevel="0" collapsed="false">
      <c r="A1" s="8" t="s">
        <v>14</v>
      </c>
      <c r="B1" s="8" t="s">
        <v>1917</v>
      </c>
    </row>
    <row r="2" customFormat="false" ht="15.75" hidden="false" customHeight="false" outlineLevel="0" collapsed="false">
      <c r="A2" s="8" t="s">
        <v>28</v>
      </c>
      <c r="B2" s="8" t="s">
        <v>1918</v>
      </c>
    </row>
    <row r="3" customFormat="false" ht="15.75" hidden="false" customHeight="false" outlineLevel="0" collapsed="false">
      <c r="A3" s="20" t="s">
        <v>1919</v>
      </c>
      <c r="B3" s="8" t="s">
        <v>244</v>
      </c>
    </row>
    <row r="4" customFormat="false" ht="15.75" hidden="false" customHeight="false" outlineLevel="0" collapsed="false">
      <c r="A4" s="8" t="s">
        <v>38</v>
      </c>
      <c r="B4" s="8" t="s">
        <v>1917</v>
      </c>
    </row>
    <row r="5" customFormat="false" ht="15.75" hidden="false" customHeight="false" outlineLevel="0" collapsed="false">
      <c r="A5" s="20" t="s">
        <v>60</v>
      </c>
      <c r="B5" s="8" t="s">
        <v>1920</v>
      </c>
    </row>
    <row r="6" customFormat="false" ht="15.75" hidden="false" customHeight="false" outlineLevel="0" collapsed="false">
      <c r="A6" s="8" t="s">
        <v>65</v>
      </c>
      <c r="B6" s="8" t="s">
        <v>1918</v>
      </c>
    </row>
    <row r="7" customFormat="false" ht="15.75" hidden="false" customHeight="false" outlineLevel="0" collapsed="false">
      <c r="A7" s="20" t="s">
        <v>74</v>
      </c>
      <c r="B7" s="8" t="s">
        <v>1918</v>
      </c>
    </row>
    <row r="8" customFormat="false" ht="15.75" hidden="false" customHeight="false" outlineLevel="0" collapsed="false">
      <c r="A8" s="20" t="s">
        <v>82</v>
      </c>
      <c r="B8" s="8" t="s">
        <v>1918</v>
      </c>
    </row>
    <row r="9" customFormat="false" ht="15.75" hidden="false" customHeight="false" outlineLevel="0" collapsed="false">
      <c r="A9" s="20" t="s">
        <v>84</v>
      </c>
      <c r="B9" s="8" t="s">
        <v>1921</v>
      </c>
    </row>
    <row r="10" customFormat="false" ht="15.75" hidden="false" customHeight="false" outlineLevel="0" collapsed="false">
      <c r="A10" s="20" t="s">
        <v>90</v>
      </c>
      <c r="B10" s="8" t="s">
        <v>1922</v>
      </c>
    </row>
    <row r="11" customFormat="false" ht="15.75" hidden="false" customHeight="false" outlineLevel="0" collapsed="false">
      <c r="A11" s="8" t="s">
        <v>95</v>
      </c>
      <c r="B11" s="8" t="s">
        <v>1922</v>
      </c>
    </row>
    <row r="12" customFormat="false" ht="15.75" hidden="false" customHeight="false" outlineLevel="0" collapsed="false">
      <c r="A12" s="20" t="s">
        <v>98</v>
      </c>
      <c r="B12" s="8" t="s">
        <v>1922</v>
      </c>
    </row>
    <row r="13" customFormat="false" ht="15.75" hidden="false" customHeight="false" outlineLevel="0" collapsed="false">
      <c r="A13" s="8" t="s">
        <v>131</v>
      </c>
      <c r="B13" s="8" t="s">
        <v>1917</v>
      </c>
    </row>
    <row r="14" customFormat="false" ht="15.75" hidden="false" customHeight="false" outlineLevel="0" collapsed="false">
      <c r="A14" s="20" t="s">
        <v>134</v>
      </c>
      <c r="B14" s="8" t="s">
        <v>1921</v>
      </c>
    </row>
    <row r="15" customFormat="false" ht="15.75" hidden="false" customHeight="false" outlineLevel="0" collapsed="false">
      <c r="A15" s="20" t="s">
        <v>183</v>
      </c>
      <c r="B15" s="8" t="s">
        <v>1922</v>
      </c>
    </row>
    <row r="16" customFormat="false" ht="15.75" hidden="false" customHeight="false" outlineLevel="0" collapsed="false">
      <c r="A16" s="20" t="s">
        <v>186</v>
      </c>
      <c r="B16" s="8" t="s">
        <v>1921</v>
      </c>
    </row>
    <row r="17" customFormat="false" ht="15.75" hidden="false" customHeight="false" outlineLevel="0" collapsed="false">
      <c r="A17" s="8" t="s">
        <v>190</v>
      </c>
      <c r="B17" s="8" t="s">
        <v>1917</v>
      </c>
    </row>
    <row r="18" customFormat="false" ht="15.75" hidden="false" customHeight="false" outlineLevel="0" collapsed="false">
      <c r="A18" s="20" t="s">
        <v>193</v>
      </c>
      <c r="B18" s="8" t="s">
        <v>1922</v>
      </c>
    </row>
    <row r="19" customFormat="false" ht="15.75" hidden="false" customHeight="false" outlineLevel="0" collapsed="false">
      <c r="A19" s="20" t="s">
        <v>196</v>
      </c>
      <c r="B19" s="8" t="s">
        <v>1922</v>
      </c>
    </row>
    <row r="20" customFormat="false" ht="15.75" hidden="false" customHeight="false" outlineLevel="0" collapsed="false">
      <c r="A20" s="20" t="s">
        <v>209</v>
      </c>
      <c r="B20" s="8" t="s">
        <v>1921</v>
      </c>
    </row>
    <row r="21" customFormat="false" ht="15.75" hidden="false" customHeight="false" outlineLevel="0" collapsed="false">
      <c r="A21" s="8" t="s">
        <v>277</v>
      </c>
      <c r="B21" s="8" t="s">
        <v>1922</v>
      </c>
    </row>
    <row r="22" customFormat="false" ht="15.75" hidden="false" customHeight="false" outlineLevel="0" collapsed="false">
      <c r="A22" s="20" t="s">
        <v>280</v>
      </c>
      <c r="B22" s="8" t="s">
        <v>1920</v>
      </c>
    </row>
    <row r="23" customFormat="false" ht="15.75" hidden="false" customHeight="false" outlineLevel="0" collapsed="false">
      <c r="A23" s="20" t="s">
        <v>291</v>
      </c>
      <c r="B23" s="8" t="s">
        <v>1918</v>
      </c>
    </row>
    <row r="24" customFormat="false" ht="15.75" hidden="false" customHeight="false" outlineLevel="0" collapsed="false">
      <c r="A24" s="20" t="s">
        <v>297</v>
      </c>
      <c r="B24" s="8" t="s">
        <v>1918</v>
      </c>
    </row>
    <row r="25" customFormat="false" ht="15.75" hidden="false" customHeight="false" outlineLevel="0" collapsed="false">
      <c r="A25" s="20" t="s">
        <v>311</v>
      </c>
      <c r="B25" s="8" t="s">
        <v>1923</v>
      </c>
    </row>
    <row r="26" customFormat="false" ht="15.75" hidden="false" customHeight="false" outlineLevel="0" collapsed="false">
      <c r="A26" s="8" t="s">
        <v>315</v>
      </c>
      <c r="B26" s="8" t="s">
        <v>1918</v>
      </c>
    </row>
    <row r="27" customFormat="false" ht="15.75" hidden="false" customHeight="false" outlineLevel="0" collapsed="false">
      <c r="A27" s="20" t="s">
        <v>318</v>
      </c>
      <c r="B27" s="8" t="s">
        <v>1922</v>
      </c>
    </row>
    <row r="28" customFormat="false" ht="15.75" hidden="false" customHeight="false" outlineLevel="0" collapsed="false">
      <c r="A28" s="20" t="s">
        <v>321</v>
      </c>
      <c r="B28" s="8" t="s">
        <v>1918</v>
      </c>
    </row>
    <row r="29" customFormat="false" ht="15.75" hidden="false" customHeight="false" outlineLevel="0" collapsed="false">
      <c r="A29" s="8" t="s">
        <v>387</v>
      </c>
      <c r="B29" s="8" t="s">
        <v>1924</v>
      </c>
    </row>
    <row r="30" customFormat="false" ht="15.75" hidden="false" customHeight="false" outlineLevel="0" collapsed="false">
      <c r="A30" s="8" t="s">
        <v>394</v>
      </c>
      <c r="B30" s="8" t="s">
        <v>1918</v>
      </c>
    </row>
    <row r="31" customFormat="false" ht="15.75" hidden="false" customHeight="false" outlineLevel="0" collapsed="false">
      <c r="A31" s="20" t="s">
        <v>397</v>
      </c>
      <c r="B31" s="8" t="s">
        <v>1925</v>
      </c>
    </row>
    <row r="32" customFormat="false" ht="15.75" hidden="false" customHeight="false" outlineLevel="0" collapsed="false">
      <c r="A32" s="20" t="s">
        <v>400</v>
      </c>
      <c r="B32" s="8" t="s">
        <v>1918</v>
      </c>
    </row>
    <row r="33" customFormat="false" ht="15.75" hidden="false" customHeight="false" outlineLevel="0" collapsed="false">
      <c r="A33" s="20" t="s">
        <v>416</v>
      </c>
      <c r="B33" s="8" t="s">
        <v>1918</v>
      </c>
    </row>
    <row r="34" customFormat="false" ht="15.75" hidden="false" customHeight="false" outlineLevel="0" collapsed="false">
      <c r="A34" s="20" t="s">
        <v>419</v>
      </c>
      <c r="B34" s="8" t="s">
        <v>1918</v>
      </c>
    </row>
    <row r="35" customFormat="false" ht="15.75" hidden="false" customHeight="false" outlineLevel="0" collapsed="false">
      <c r="A35" s="20" t="s">
        <v>453</v>
      </c>
      <c r="B35" s="8" t="s">
        <v>1926</v>
      </c>
    </row>
    <row r="36" customFormat="false" ht="15.75" hidden="false" customHeight="false" outlineLevel="0" collapsed="false">
      <c r="A36" s="8" t="s">
        <v>456</v>
      </c>
      <c r="B36" s="8" t="s">
        <v>1920</v>
      </c>
    </row>
    <row r="37" customFormat="false" ht="15.75" hidden="false" customHeight="false" outlineLevel="0" collapsed="false">
      <c r="A37" s="8" t="s">
        <v>459</v>
      </c>
      <c r="B37" s="8" t="s">
        <v>1922</v>
      </c>
    </row>
    <row r="38" customFormat="false" ht="15.75" hidden="false" customHeight="false" outlineLevel="0" collapsed="false">
      <c r="A38" s="8" t="s">
        <v>462</v>
      </c>
      <c r="B38" s="8" t="s">
        <v>1922</v>
      </c>
    </row>
    <row r="39" customFormat="false" ht="15.75" hidden="false" customHeight="false" outlineLevel="0" collapsed="false">
      <c r="A39" s="20" t="s">
        <v>465</v>
      </c>
      <c r="B39" s="8" t="s">
        <v>1918</v>
      </c>
    </row>
    <row r="40" customFormat="false" ht="15.75" hidden="false" customHeight="false" outlineLevel="0" collapsed="false">
      <c r="A40" s="8" t="s">
        <v>469</v>
      </c>
      <c r="B40" s="8" t="s">
        <v>1920</v>
      </c>
    </row>
    <row r="41" customFormat="false" ht="15.75" hidden="false" customHeight="false" outlineLevel="0" collapsed="false">
      <c r="A41" s="8" t="s">
        <v>490</v>
      </c>
      <c r="B41" s="8" t="s">
        <v>1918</v>
      </c>
    </row>
    <row r="42" customFormat="false" ht="15.75" hidden="false" customHeight="false" outlineLevel="0" collapsed="false">
      <c r="A42" s="20" t="s">
        <v>501</v>
      </c>
      <c r="B42" s="8" t="s">
        <v>1917</v>
      </c>
    </row>
    <row r="43" customFormat="false" ht="15.75" hidden="false" customHeight="false" outlineLevel="0" collapsed="false">
      <c r="A43" s="8" t="s">
        <v>586</v>
      </c>
      <c r="B43" s="8" t="s">
        <v>1917</v>
      </c>
    </row>
    <row r="44" customFormat="false" ht="15.75" hidden="false" customHeight="false" outlineLevel="0" collapsed="false">
      <c r="A44" s="20" t="s">
        <v>591</v>
      </c>
      <c r="B44" s="8" t="s">
        <v>1918</v>
      </c>
    </row>
    <row r="45" customFormat="false" ht="15.75" hidden="false" customHeight="false" outlineLevel="0" collapsed="false">
      <c r="A45" s="20" t="s">
        <v>739</v>
      </c>
      <c r="B45" s="8" t="s">
        <v>1918</v>
      </c>
    </row>
    <row r="46" customFormat="false" ht="15.75" hidden="false" customHeight="false" outlineLevel="0" collapsed="false">
      <c r="A46" s="20" t="s">
        <v>767</v>
      </c>
      <c r="B46" s="8" t="s">
        <v>1918</v>
      </c>
    </row>
    <row r="47" customFormat="false" ht="15.75" hidden="false" customHeight="false" outlineLevel="0" collapsed="false">
      <c r="A47" s="20" t="s">
        <v>776</v>
      </c>
      <c r="B47" s="8" t="s">
        <v>1918</v>
      </c>
    </row>
    <row r="48" customFormat="false" ht="15.75" hidden="false" customHeight="false" outlineLevel="0" collapsed="false">
      <c r="A48" s="8" t="s">
        <v>779</v>
      </c>
      <c r="B48" s="8" t="s">
        <v>1922</v>
      </c>
    </row>
    <row r="49" customFormat="false" ht="15.75" hidden="false" customHeight="false" outlineLevel="0" collapsed="false">
      <c r="A49" s="20" t="s">
        <v>782</v>
      </c>
      <c r="B49" s="8" t="s">
        <v>1918</v>
      </c>
    </row>
    <row r="50" customFormat="false" ht="15.75" hidden="false" customHeight="false" outlineLevel="0" collapsed="false">
      <c r="A50" s="8" t="s">
        <v>794</v>
      </c>
      <c r="B50" s="8" t="s">
        <v>1922</v>
      </c>
    </row>
    <row r="51" customFormat="false" ht="15.75" hidden="false" customHeight="false" outlineLevel="0" collapsed="false">
      <c r="A51" s="8" t="s">
        <v>797</v>
      </c>
      <c r="B51" s="8" t="s">
        <v>1927</v>
      </c>
    </row>
    <row r="52" customFormat="false" ht="15.75" hidden="false" customHeight="false" outlineLevel="0" collapsed="false">
      <c r="A52" s="20" t="s">
        <v>800</v>
      </c>
      <c r="B52" s="8" t="s">
        <v>1918</v>
      </c>
    </row>
    <row r="53" customFormat="false" ht="15.75" hidden="false" customHeight="false" outlineLevel="0" collapsed="false">
      <c r="A53" s="20" t="s">
        <v>807</v>
      </c>
      <c r="B53" s="8" t="s">
        <v>1927</v>
      </c>
    </row>
    <row r="54" customFormat="false" ht="15.75" hidden="false" customHeight="false" outlineLevel="0" collapsed="false">
      <c r="A54" s="20" t="s">
        <v>814</v>
      </c>
      <c r="B54" s="8" t="s">
        <v>1925</v>
      </c>
    </row>
    <row r="55" customFormat="false" ht="15.75" hidden="false" customHeight="false" outlineLevel="0" collapsed="false">
      <c r="A55" s="20" t="s">
        <v>842</v>
      </c>
      <c r="B55" s="8" t="s">
        <v>1918</v>
      </c>
    </row>
    <row r="56" customFormat="false" ht="15.75" hidden="false" customHeight="false" outlineLevel="0" collapsed="false">
      <c r="A56" s="20" t="s">
        <v>872</v>
      </c>
      <c r="B56" s="8" t="s">
        <v>1918</v>
      </c>
    </row>
    <row r="57" customFormat="false" ht="15.75" hidden="false" customHeight="false" outlineLevel="0" collapsed="false">
      <c r="A57" s="20" t="s">
        <v>891</v>
      </c>
      <c r="B57" s="8" t="s">
        <v>1927</v>
      </c>
    </row>
    <row r="58" customFormat="false" ht="15.75" hidden="false" customHeight="false" outlineLevel="0" collapsed="false">
      <c r="A58" s="20" t="s">
        <v>896</v>
      </c>
      <c r="B58" s="8" t="s">
        <v>1918</v>
      </c>
    </row>
    <row r="59" customFormat="false" ht="15.75" hidden="false" customHeight="false" outlineLevel="0" collapsed="false">
      <c r="A59" s="20" t="s">
        <v>899</v>
      </c>
      <c r="B59" s="8" t="s">
        <v>1928</v>
      </c>
    </row>
    <row r="60" customFormat="false" ht="15.75" hidden="false" customHeight="false" outlineLevel="0" collapsed="false">
      <c r="A60" s="20" t="s">
        <v>909</v>
      </c>
      <c r="B60" s="8" t="s">
        <v>1918</v>
      </c>
    </row>
    <row r="61" customFormat="false" ht="15.75" hidden="false" customHeight="false" outlineLevel="0" collapsed="false">
      <c r="A61" s="20" t="s">
        <v>912</v>
      </c>
      <c r="B61" s="8" t="s">
        <v>1918</v>
      </c>
    </row>
    <row r="62" customFormat="false" ht="15.75" hidden="false" customHeight="false" outlineLevel="0" collapsed="false">
      <c r="A62" s="20" t="s">
        <v>915</v>
      </c>
      <c r="B62" s="8" t="s">
        <v>1917</v>
      </c>
    </row>
    <row r="63" customFormat="false" ht="15.75" hidden="false" customHeight="false" outlineLevel="0" collapsed="false">
      <c r="A63" s="20" t="s">
        <v>920</v>
      </c>
      <c r="B63" s="8" t="s">
        <v>1922</v>
      </c>
    </row>
    <row r="64" customFormat="false" ht="15.75" hidden="false" customHeight="false" outlineLevel="0" collapsed="false">
      <c r="A64" s="20" t="s">
        <v>961</v>
      </c>
      <c r="B64" s="8" t="s">
        <v>1918</v>
      </c>
    </row>
    <row r="65" customFormat="false" ht="15.75" hidden="false" customHeight="false" outlineLevel="0" collapsed="false">
      <c r="A65" s="8" t="s">
        <v>974</v>
      </c>
      <c r="B65" s="8" t="s">
        <v>1918</v>
      </c>
    </row>
    <row r="66" customFormat="false" ht="15.75" hidden="false" customHeight="false" outlineLevel="0" collapsed="false">
      <c r="A66" s="20" t="s">
        <v>979</v>
      </c>
      <c r="B66" s="8" t="s">
        <v>1929</v>
      </c>
    </row>
    <row r="67" customFormat="false" ht="15.75" hidden="false" customHeight="false" outlineLevel="0" collapsed="false">
      <c r="A67" s="20" t="s">
        <v>994</v>
      </c>
      <c r="B67" s="8" t="s">
        <v>1930</v>
      </c>
    </row>
    <row r="68" customFormat="false" ht="15.75" hidden="false" customHeight="false" outlineLevel="0" collapsed="false">
      <c r="A68" s="20" t="s">
        <v>1000</v>
      </c>
      <c r="B68" s="8" t="s">
        <v>1917</v>
      </c>
    </row>
    <row r="69" customFormat="false" ht="15.75" hidden="false" customHeight="false" outlineLevel="0" collapsed="false">
      <c r="A69" s="8" t="s">
        <v>1051</v>
      </c>
      <c r="B69" s="8" t="s">
        <v>1917</v>
      </c>
    </row>
    <row r="70" customFormat="false" ht="15.75" hidden="false" customHeight="false" outlineLevel="0" collapsed="false">
      <c r="A70" s="20" t="s">
        <v>1062</v>
      </c>
      <c r="B70" s="8" t="s">
        <v>1922</v>
      </c>
    </row>
    <row r="71" customFormat="false" ht="15.75" hidden="false" customHeight="false" outlineLevel="0" collapsed="false">
      <c r="A71" s="20" t="s">
        <v>1075</v>
      </c>
      <c r="B71" s="8" t="s">
        <v>1918</v>
      </c>
    </row>
    <row r="72" customFormat="false" ht="15.75" hidden="false" customHeight="false" outlineLevel="0" collapsed="false">
      <c r="A72" s="8" t="s">
        <v>1088</v>
      </c>
      <c r="B72" s="8" t="s">
        <v>1918</v>
      </c>
    </row>
    <row r="73" customFormat="false" ht="15.75" hidden="false" customHeight="false" outlineLevel="0" collapsed="false">
      <c r="A73" s="20" t="s">
        <v>1091</v>
      </c>
      <c r="B73" s="8" t="s">
        <v>1918</v>
      </c>
    </row>
    <row r="74" customFormat="false" ht="15.75" hidden="false" customHeight="false" outlineLevel="0" collapsed="false">
      <c r="A74" s="20" t="s">
        <v>1093</v>
      </c>
      <c r="B74" s="8" t="s">
        <v>1922</v>
      </c>
    </row>
    <row r="75" customFormat="false" ht="15.75" hidden="false" customHeight="false" outlineLevel="0" collapsed="false">
      <c r="A75" s="20" t="s">
        <v>1096</v>
      </c>
      <c r="B75" s="8" t="s">
        <v>1922</v>
      </c>
    </row>
    <row r="76" customFormat="false" ht="15.75" hidden="false" customHeight="false" outlineLevel="0" collapsed="false">
      <c r="A76" s="8" t="s">
        <v>1117</v>
      </c>
      <c r="B76" s="8" t="s">
        <v>1918</v>
      </c>
    </row>
    <row r="77" customFormat="false" ht="15.75" hidden="false" customHeight="false" outlineLevel="0" collapsed="false">
      <c r="A77" s="8" t="s">
        <v>1120</v>
      </c>
      <c r="B77" s="8" t="s">
        <v>1931</v>
      </c>
    </row>
    <row r="78" customFormat="false" ht="15.75" hidden="false" customHeight="false" outlineLevel="0" collapsed="false">
      <c r="A78" s="20" t="s">
        <v>1129</v>
      </c>
      <c r="B78" s="8" t="s">
        <v>1917</v>
      </c>
    </row>
    <row r="79" customFormat="false" ht="15.75" hidden="false" customHeight="false" outlineLevel="0" collapsed="false">
      <c r="A79" s="20" t="s">
        <v>1140</v>
      </c>
      <c r="B79" s="8" t="s">
        <v>1925</v>
      </c>
    </row>
    <row r="80" customFormat="false" ht="15.75" hidden="false" customHeight="false" outlineLevel="0" collapsed="false">
      <c r="A80" s="20" t="s">
        <v>1159</v>
      </c>
      <c r="B80" s="8" t="s">
        <v>1922</v>
      </c>
    </row>
    <row r="81" customFormat="false" ht="15.75" hidden="false" customHeight="false" outlineLevel="0" collapsed="false">
      <c r="A81" s="20" t="s">
        <v>1191</v>
      </c>
      <c r="B81" s="8" t="s">
        <v>1921</v>
      </c>
    </row>
    <row r="82" customFormat="false" ht="15.75" hidden="false" customHeight="false" outlineLevel="0" collapsed="false">
      <c r="A82" s="20" t="s">
        <v>1209</v>
      </c>
      <c r="B82" s="8" t="s">
        <v>1921</v>
      </c>
    </row>
    <row r="83" customFormat="false" ht="15.75" hidden="false" customHeight="false" outlineLevel="0" collapsed="false">
      <c r="A83" s="20" t="s">
        <v>1255</v>
      </c>
      <c r="B83" s="8" t="s">
        <v>1918</v>
      </c>
    </row>
    <row r="84" customFormat="false" ht="15.75" hidden="false" customHeight="false" outlineLevel="0" collapsed="false">
      <c r="A84" s="20" t="s">
        <v>1258</v>
      </c>
      <c r="B84" s="8" t="s">
        <v>1918</v>
      </c>
    </row>
    <row r="85" customFormat="false" ht="15.75" hidden="false" customHeight="false" outlineLevel="0" collapsed="false">
      <c r="A85" s="20" t="s">
        <v>1265</v>
      </c>
      <c r="B85" s="8" t="s">
        <v>1922</v>
      </c>
    </row>
    <row r="86" customFormat="false" ht="15.75" hidden="false" customHeight="false" outlineLevel="0" collapsed="false">
      <c r="A86" s="8" t="s">
        <v>1279</v>
      </c>
      <c r="B86" s="8" t="s">
        <v>1922</v>
      </c>
    </row>
    <row r="87" customFormat="false" ht="15.75" hidden="false" customHeight="false" outlineLevel="0" collapsed="false">
      <c r="A87" s="20" t="s">
        <v>1295</v>
      </c>
      <c r="B87" s="8" t="s">
        <v>1925</v>
      </c>
    </row>
    <row r="88" customFormat="false" ht="15.75" hidden="false" customHeight="false" outlineLevel="0" collapsed="false">
      <c r="A88" s="20" t="s">
        <v>1315</v>
      </c>
      <c r="B88" s="8" t="s">
        <v>1922</v>
      </c>
    </row>
    <row r="89" customFormat="false" ht="15.75" hidden="false" customHeight="false" outlineLevel="0" collapsed="false">
      <c r="A89" s="20" t="s">
        <v>1320</v>
      </c>
      <c r="B89" s="8" t="s">
        <v>1922</v>
      </c>
    </row>
    <row r="90" customFormat="false" ht="15.75" hidden="false" customHeight="false" outlineLevel="0" collapsed="false">
      <c r="A90" s="20" t="s">
        <v>1329</v>
      </c>
      <c r="B90" s="8" t="s">
        <v>1918</v>
      </c>
    </row>
    <row r="91" customFormat="false" ht="15.75" hidden="false" customHeight="false" outlineLevel="0" collapsed="false">
      <c r="A91" s="20" t="s">
        <v>1334</v>
      </c>
      <c r="B91" s="8" t="s">
        <v>1922</v>
      </c>
    </row>
    <row r="92" customFormat="false" ht="15.75" hidden="false" customHeight="false" outlineLevel="0" collapsed="false">
      <c r="A92" s="8" t="s">
        <v>1337</v>
      </c>
      <c r="B92" s="8" t="s">
        <v>1931</v>
      </c>
    </row>
    <row r="93" customFormat="false" ht="15.75" hidden="false" customHeight="false" outlineLevel="0" collapsed="false">
      <c r="A93" s="20" t="s">
        <v>1340</v>
      </c>
      <c r="B93" s="8" t="s">
        <v>1925</v>
      </c>
    </row>
    <row r="94" customFormat="false" ht="15.75" hidden="false" customHeight="false" outlineLevel="0" collapsed="false">
      <c r="A94" s="8" t="s">
        <v>1402</v>
      </c>
      <c r="B94" s="8" t="s">
        <v>1922</v>
      </c>
    </row>
    <row r="95" customFormat="false" ht="15.75" hidden="false" customHeight="false" outlineLevel="0" collapsed="false">
      <c r="A95" s="8" t="s">
        <v>1407</v>
      </c>
      <c r="B95" s="8" t="s">
        <v>1918</v>
      </c>
    </row>
    <row r="96" customFormat="false" ht="15.75" hidden="false" customHeight="false" outlineLevel="0" collapsed="false">
      <c r="A96" s="20" t="s">
        <v>1410</v>
      </c>
      <c r="B96" s="8" t="s">
        <v>1921</v>
      </c>
    </row>
    <row r="97" customFormat="false" ht="15.75" hidden="false" customHeight="false" outlineLevel="0" collapsed="false">
      <c r="A97" s="20" t="s">
        <v>1413</v>
      </c>
      <c r="B97" s="8" t="s">
        <v>1917</v>
      </c>
    </row>
    <row r="98" customFormat="false" ht="15.75" hidden="false" customHeight="false" outlineLevel="0" collapsed="false">
      <c r="A98" s="20" t="s">
        <v>1428</v>
      </c>
      <c r="B98" s="8" t="s">
        <v>1922</v>
      </c>
    </row>
    <row r="99" customFormat="false" ht="15.75" hidden="false" customHeight="false" outlineLevel="0" collapsed="false">
      <c r="A99" s="20" t="s">
        <v>1433</v>
      </c>
      <c r="B99" s="8" t="s">
        <v>1918</v>
      </c>
    </row>
    <row r="100" customFormat="false" ht="15.75" hidden="false" customHeight="false" outlineLevel="0" collapsed="false">
      <c r="A100" s="20" t="s">
        <v>1436</v>
      </c>
      <c r="B100" s="8" t="s">
        <v>1920</v>
      </c>
    </row>
    <row r="101" customFormat="false" ht="15.75" hidden="false" customHeight="false" outlineLevel="0" collapsed="false">
      <c r="A101" s="20" t="s">
        <v>1444</v>
      </c>
      <c r="B101" s="8" t="s">
        <v>1918</v>
      </c>
    </row>
    <row r="102" customFormat="false" ht="15.75" hidden="false" customHeight="false" outlineLevel="0" collapsed="false">
      <c r="A102" s="20" t="s">
        <v>1453</v>
      </c>
      <c r="B102" s="8" t="s">
        <v>1918</v>
      </c>
    </row>
    <row r="103" customFormat="false" ht="15.75" hidden="false" customHeight="false" outlineLevel="0" collapsed="false">
      <c r="A103" s="20" t="s">
        <v>1460</v>
      </c>
      <c r="B103" s="8" t="s">
        <v>1918</v>
      </c>
    </row>
    <row r="104" customFormat="false" ht="15.75" hidden="false" customHeight="false" outlineLevel="0" collapsed="false">
      <c r="A104" s="20" t="s">
        <v>1474</v>
      </c>
      <c r="B104" s="8" t="s">
        <v>1921</v>
      </c>
    </row>
    <row r="105" customFormat="false" ht="15.75" hidden="false" customHeight="false" outlineLevel="0" collapsed="false">
      <c r="A105" s="20" t="s">
        <v>1565</v>
      </c>
      <c r="B105" s="8" t="s">
        <v>1922</v>
      </c>
    </row>
    <row r="106" customFormat="false" ht="15.75" hidden="false" customHeight="false" outlineLevel="0" collapsed="false">
      <c r="A106" s="20" t="s">
        <v>1568</v>
      </c>
      <c r="B106" s="8" t="s">
        <v>1918</v>
      </c>
    </row>
    <row r="107" customFormat="false" ht="15.75" hidden="false" customHeight="false" outlineLevel="0" collapsed="false">
      <c r="A107" s="20" t="s">
        <v>1571</v>
      </c>
      <c r="B107" s="8" t="s">
        <v>1918</v>
      </c>
    </row>
    <row r="108" customFormat="false" ht="15.75" hidden="false" customHeight="false" outlineLevel="0" collapsed="false">
      <c r="A108" s="20" t="s">
        <v>1574</v>
      </c>
      <c r="B108" s="8" t="s">
        <v>1922</v>
      </c>
    </row>
    <row r="109" customFormat="false" ht="15.75" hidden="false" customHeight="false" outlineLevel="0" collapsed="false">
      <c r="A109" s="20" t="s">
        <v>1577</v>
      </c>
      <c r="B109" s="8" t="s">
        <v>1920</v>
      </c>
    </row>
    <row r="110" customFormat="false" ht="15.75" hidden="false" customHeight="false" outlineLevel="0" collapsed="false">
      <c r="A110" s="20" t="s">
        <v>1596</v>
      </c>
      <c r="B110" s="8" t="s">
        <v>1932</v>
      </c>
    </row>
    <row r="111" customFormat="false" ht="15.75" hidden="false" customHeight="false" outlineLevel="0" collapsed="false">
      <c r="A111" s="8" t="s">
        <v>1601</v>
      </c>
      <c r="B111" s="8" t="s">
        <v>1918</v>
      </c>
    </row>
    <row r="112" customFormat="false" ht="15.75" hidden="false" customHeight="false" outlineLevel="0" collapsed="false">
      <c r="A112" s="20" t="s">
        <v>1606</v>
      </c>
      <c r="B112" s="8" t="s">
        <v>1918</v>
      </c>
    </row>
    <row r="113" customFormat="false" ht="15.75" hidden="false" customHeight="false" outlineLevel="0" collapsed="false">
      <c r="A113" s="8" t="s">
        <v>1611</v>
      </c>
      <c r="B113" s="8" t="s">
        <v>1918</v>
      </c>
    </row>
    <row r="114" customFormat="false" ht="15.75" hidden="false" customHeight="false" outlineLevel="0" collapsed="false">
      <c r="A114" s="20" t="s">
        <v>1614</v>
      </c>
      <c r="B114" s="8" t="s">
        <v>1918</v>
      </c>
    </row>
    <row r="115" customFormat="false" ht="15.75" hidden="false" customHeight="false" outlineLevel="0" collapsed="false">
      <c r="A115" s="8" t="s">
        <v>1622</v>
      </c>
      <c r="B115" s="8" t="s">
        <v>1922</v>
      </c>
    </row>
    <row r="116" customFormat="false" ht="15.75" hidden="false" customHeight="false" outlineLevel="0" collapsed="false">
      <c r="A116" s="20" t="s">
        <v>1625</v>
      </c>
      <c r="B116" s="8" t="s">
        <v>1918</v>
      </c>
    </row>
    <row r="117" customFormat="false" ht="15.75" hidden="false" customHeight="false" outlineLevel="0" collapsed="false">
      <c r="A117" s="20" t="s">
        <v>1632</v>
      </c>
      <c r="B117" s="8" t="s">
        <v>1918</v>
      </c>
    </row>
    <row r="118" customFormat="false" ht="15.75" hidden="false" customHeight="false" outlineLevel="0" collapsed="false">
      <c r="A118" s="8" t="s">
        <v>1639</v>
      </c>
      <c r="B118" s="8" t="s">
        <v>1924</v>
      </c>
    </row>
    <row r="119" customFormat="false" ht="15.75" hidden="false" customHeight="false" outlineLevel="0" collapsed="false">
      <c r="A119" s="8" t="s">
        <v>1641</v>
      </c>
      <c r="B119" s="8" t="s">
        <v>1925</v>
      </c>
    </row>
    <row r="120" customFormat="false" ht="15.75" hidden="false" customHeight="false" outlineLevel="0" collapsed="false">
      <c r="A120" s="20" t="s">
        <v>1664</v>
      </c>
      <c r="B120" s="8" t="s">
        <v>1925</v>
      </c>
    </row>
    <row r="121" customFormat="false" ht="15.75" hidden="false" customHeight="false" outlineLevel="0" collapsed="false">
      <c r="A121" s="20" t="s">
        <v>1709</v>
      </c>
      <c r="B121" s="8" t="s">
        <v>1922</v>
      </c>
    </row>
    <row r="122" customFormat="false" ht="15.75" hidden="false" customHeight="false" outlineLevel="0" collapsed="false">
      <c r="A122" s="20" t="s">
        <v>1716</v>
      </c>
      <c r="B122" s="8" t="s">
        <v>1922</v>
      </c>
    </row>
    <row r="123" customFormat="false" ht="15.75" hidden="false" customHeight="false" outlineLevel="0" collapsed="false">
      <c r="A123" s="20" t="s">
        <v>1719</v>
      </c>
      <c r="B123" s="8" t="s">
        <v>1922</v>
      </c>
    </row>
    <row r="124" customFormat="false" ht="15.75" hidden="false" customHeight="false" outlineLevel="0" collapsed="false">
      <c r="A124" s="20" t="s">
        <v>1726</v>
      </c>
      <c r="B124" s="8" t="s">
        <v>1921</v>
      </c>
    </row>
    <row r="125" customFormat="false" ht="15.75" hidden="false" customHeight="false" outlineLevel="0" collapsed="false">
      <c r="A125" s="20" t="s">
        <v>1769</v>
      </c>
      <c r="B125" s="8" t="s">
        <v>1929</v>
      </c>
    </row>
    <row r="126" customFormat="false" ht="15.75" hidden="false" customHeight="false" outlineLevel="0" collapsed="false">
      <c r="A126" s="20" t="s">
        <v>1776</v>
      </c>
      <c r="B126" s="8" t="s">
        <v>1933</v>
      </c>
    </row>
    <row r="127" customFormat="false" ht="15.75" hidden="false" customHeight="false" outlineLevel="0" collapsed="false">
      <c r="A127" s="8" t="s">
        <v>1779</v>
      </c>
      <c r="B127" s="8" t="s">
        <v>1934</v>
      </c>
    </row>
    <row r="128" customFormat="false" ht="15.75" hidden="false" customHeight="false" outlineLevel="0" collapsed="false">
      <c r="A128" s="20" t="s">
        <v>1781</v>
      </c>
      <c r="B128" s="8" t="s">
        <v>1918</v>
      </c>
    </row>
    <row r="129" customFormat="false" ht="15.75" hidden="false" customHeight="false" outlineLevel="0" collapsed="false">
      <c r="A129" s="8" t="s">
        <v>1784</v>
      </c>
      <c r="B129" s="8" t="s">
        <v>1931</v>
      </c>
    </row>
    <row r="130" customFormat="false" ht="15.75" hidden="false" customHeight="false" outlineLevel="0" collapsed="false">
      <c r="A130" s="8" t="s">
        <v>1789</v>
      </c>
      <c r="B130" s="8" t="s">
        <v>1931</v>
      </c>
    </row>
    <row r="131" customFormat="false" ht="15.75" hidden="false" customHeight="false" outlineLevel="0" collapsed="false">
      <c r="A131" s="20" t="s">
        <v>1792</v>
      </c>
      <c r="B131" s="8" t="s">
        <v>1935</v>
      </c>
    </row>
    <row r="132" customFormat="false" ht="15.75" hidden="false" customHeight="false" outlineLevel="0" collapsed="false">
      <c r="B132" s="20"/>
    </row>
    <row r="133" customFormat="false" ht="15.75" hidden="false" customHeight="false" outlineLevel="0" collapsed="false">
      <c r="B133" s="20"/>
    </row>
    <row r="134" customFormat="false" ht="15.75" hidden="false" customHeight="false" outlineLevel="0" collapsed="false">
      <c r="B134" s="20"/>
    </row>
    <row r="135" customFormat="false" ht="15.75" hidden="false" customHeight="false" outlineLevel="0" collapsed="false">
      <c r="B135" s="20"/>
    </row>
    <row r="136" customFormat="false" ht="15.75" hidden="false" customHeight="false" outlineLevel="0" collapsed="false">
      <c r="B136" s="20"/>
    </row>
    <row r="137" customFormat="false" ht="15.75" hidden="false" customHeight="false" outlineLevel="0" collapsed="false">
      <c r="B137" s="20"/>
    </row>
    <row r="138" customFormat="false" ht="15.75" hidden="false" customHeight="false" outlineLevel="0" collapsed="false">
      <c r="B138" s="20"/>
    </row>
    <row r="139" customFormat="false" ht="15.75" hidden="false" customHeight="false" outlineLevel="0" collapsed="false">
      <c r="B139" s="20"/>
    </row>
    <row r="140" customFormat="false" ht="15.75" hidden="false" customHeight="false" outlineLevel="0" collapsed="false">
      <c r="B140" s="20"/>
    </row>
    <row r="141" customFormat="false" ht="15.75" hidden="false" customHeight="false" outlineLevel="0" collapsed="false">
      <c r="B141" s="20"/>
    </row>
    <row r="142" customFormat="false" ht="15.75" hidden="false" customHeight="false" outlineLevel="0" collapsed="false">
      <c r="B142" s="20"/>
    </row>
    <row r="143" customFormat="false" ht="15.75" hidden="false" customHeight="false" outlineLevel="0" collapsed="false">
      <c r="B143" s="20"/>
    </row>
    <row r="144" customFormat="false" ht="15.75" hidden="false" customHeight="false" outlineLevel="0" collapsed="false">
      <c r="B144" s="20"/>
    </row>
    <row r="145" customFormat="false" ht="15.75" hidden="false" customHeight="false" outlineLevel="0" collapsed="false">
      <c r="B145" s="20"/>
    </row>
    <row r="146" customFormat="false" ht="15.75" hidden="false" customHeight="false" outlineLevel="0" collapsed="false">
      <c r="B146" s="20"/>
    </row>
    <row r="147" customFormat="false" ht="15.75" hidden="false" customHeight="false" outlineLevel="0" collapsed="false">
      <c r="B147" s="20"/>
    </row>
    <row r="148" customFormat="false" ht="15.75" hidden="false" customHeight="false" outlineLevel="0" collapsed="false">
      <c r="B148" s="20"/>
    </row>
    <row r="149" customFormat="false" ht="15.75" hidden="false" customHeight="false" outlineLevel="0" collapsed="false">
      <c r="B149" s="20"/>
    </row>
    <row r="150" customFormat="false" ht="15.75" hidden="false" customHeight="false" outlineLevel="0" collapsed="false">
      <c r="B150" s="20"/>
    </row>
    <row r="151" customFormat="false" ht="15.75" hidden="false" customHeight="false" outlineLevel="0" collapsed="false">
      <c r="B151" s="20"/>
    </row>
    <row r="152" customFormat="false" ht="15.75" hidden="false" customHeight="false" outlineLevel="0" collapsed="false">
      <c r="B152" s="20"/>
    </row>
    <row r="153" customFormat="false" ht="15.75" hidden="false" customHeight="false" outlineLevel="0" collapsed="false">
      <c r="B153" s="20"/>
    </row>
    <row r="154" customFormat="false" ht="15.75" hidden="false" customHeight="false" outlineLevel="0" collapsed="false">
      <c r="B154" s="20"/>
    </row>
    <row r="155" customFormat="false" ht="15.75" hidden="false" customHeight="false" outlineLevel="0" collapsed="false">
      <c r="B155" s="20"/>
    </row>
    <row r="156" customFormat="false" ht="15.75" hidden="false" customHeight="false" outlineLevel="0" collapsed="false">
      <c r="B156" s="20"/>
    </row>
    <row r="157" customFormat="false" ht="15.75" hidden="false" customHeight="false" outlineLevel="0" collapsed="false">
      <c r="B157" s="20"/>
    </row>
    <row r="158" customFormat="false" ht="15.75" hidden="false" customHeight="false" outlineLevel="0" collapsed="false">
      <c r="B158" s="20"/>
    </row>
    <row r="159" customFormat="false" ht="15.75" hidden="false" customHeight="false" outlineLevel="0" collapsed="false">
      <c r="B159" s="20"/>
    </row>
    <row r="160" customFormat="false" ht="15.75" hidden="false" customHeight="false" outlineLevel="0" collapsed="false">
      <c r="B160" s="20"/>
    </row>
    <row r="161" customFormat="false" ht="15.75" hidden="false" customHeight="false" outlineLevel="0" collapsed="false">
      <c r="B161" s="20"/>
    </row>
    <row r="162" customFormat="false" ht="15.75" hidden="false" customHeight="false" outlineLevel="0" collapsed="false">
      <c r="B162" s="20"/>
    </row>
    <row r="163" customFormat="false" ht="15.75" hidden="false" customHeight="false" outlineLevel="0" collapsed="false">
      <c r="B163" s="20"/>
    </row>
    <row r="164" customFormat="false" ht="15.75" hidden="false" customHeight="false" outlineLevel="0" collapsed="false">
      <c r="B164" s="20"/>
    </row>
    <row r="165" customFormat="false" ht="15.75" hidden="false" customHeight="false" outlineLevel="0" collapsed="false">
      <c r="B165" s="20"/>
    </row>
    <row r="166" customFormat="false" ht="15.75" hidden="false" customHeight="false" outlineLevel="0" collapsed="false">
      <c r="B166" s="20"/>
    </row>
    <row r="167" customFormat="false" ht="15.75" hidden="false" customHeight="false" outlineLevel="0" collapsed="false">
      <c r="B167" s="20"/>
    </row>
    <row r="168" customFormat="false" ht="15.75" hidden="false" customHeight="false" outlineLevel="0" collapsed="false">
      <c r="B168" s="20"/>
    </row>
    <row r="169" customFormat="false" ht="15.75" hidden="false" customHeight="false" outlineLevel="0" collapsed="false">
      <c r="B169" s="20"/>
    </row>
    <row r="170" customFormat="false" ht="15.75" hidden="false" customHeight="false" outlineLevel="0" collapsed="false">
      <c r="B170" s="20"/>
    </row>
    <row r="171" customFormat="false" ht="15.75" hidden="false" customHeight="false" outlineLevel="0" collapsed="false">
      <c r="B171" s="20"/>
    </row>
    <row r="172" customFormat="false" ht="15.75" hidden="false" customHeight="false" outlineLevel="0" collapsed="false">
      <c r="B172" s="20"/>
    </row>
    <row r="173" customFormat="false" ht="15.75" hidden="false" customHeight="false" outlineLevel="0" collapsed="false">
      <c r="B173" s="20"/>
    </row>
    <row r="174" customFormat="false" ht="15.75" hidden="false" customHeight="false" outlineLevel="0" collapsed="false">
      <c r="B174" s="20"/>
    </row>
    <row r="175" customFormat="false" ht="15.75" hidden="false" customHeight="false" outlineLevel="0" collapsed="false">
      <c r="B175" s="20"/>
    </row>
    <row r="176" customFormat="false" ht="15.75" hidden="false" customHeight="false" outlineLevel="0" collapsed="false">
      <c r="B176" s="20"/>
    </row>
    <row r="177" customFormat="false" ht="15.75" hidden="false" customHeight="false" outlineLevel="0" collapsed="false">
      <c r="B177" s="20"/>
    </row>
    <row r="178" customFormat="false" ht="15.75" hidden="false" customHeight="false" outlineLevel="0" collapsed="false">
      <c r="B178" s="20"/>
    </row>
    <row r="179" customFormat="false" ht="15.75" hidden="false" customHeight="false" outlineLevel="0" collapsed="false">
      <c r="B179" s="20"/>
    </row>
    <row r="180" customFormat="false" ht="15.75" hidden="false" customHeight="false" outlineLevel="0" collapsed="false">
      <c r="B180" s="20"/>
    </row>
    <row r="181" customFormat="false" ht="15.75" hidden="false" customHeight="false" outlineLevel="0" collapsed="false">
      <c r="B181" s="20"/>
    </row>
    <row r="182" customFormat="false" ht="15.75" hidden="false" customHeight="false" outlineLevel="0" collapsed="false">
      <c r="B182" s="20"/>
    </row>
    <row r="183" customFormat="false" ht="15.75" hidden="false" customHeight="false" outlineLevel="0" collapsed="false">
      <c r="B183" s="20"/>
    </row>
    <row r="184" customFormat="false" ht="15.75" hidden="false" customHeight="false" outlineLevel="0" collapsed="false">
      <c r="B184" s="20"/>
    </row>
    <row r="185" customFormat="false" ht="15.75" hidden="false" customHeight="false" outlineLevel="0" collapsed="false">
      <c r="B185" s="20"/>
    </row>
    <row r="186" customFormat="false" ht="15.75" hidden="false" customHeight="false" outlineLevel="0" collapsed="false">
      <c r="B186" s="20"/>
    </row>
    <row r="187" customFormat="false" ht="15.75" hidden="false" customHeight="false" outlineLevel="0" collapsed="false">
      <c r="B187" s="20"/>
    </row>
    <row r="188" customFormat="false" ht="15.75" hidden="false" customHeight="false" outlineLevel="0" collapsed="false">
      <c r="B188" s="20"/>
    </row>
    <row r="189" customFormat="false" ht="15.75" hidden="false" customHeight="false" outlineLevel="0" collapsed="false">
      <c r="B189" s="20"/>
    </row>
    <row r="190" customFormat="false" ht="15.75" hidden="false" customHeight="false" outlineLevel="0" collapsed="false">
      <c r="B190" s="20"/>
    </row>
    <row r="191" customFormat="false" ht="15.75" hidden="false" customHeight="false" outlineLevel="0" collapsed="false">
      <c r="B191" s="20"/>
    </row>
    <row r="192" customFormat="false" ht="15.75" hidden="false" customHeight="false" outlineLevel="0" collapsed="false">
      <c r="B192" s="20"/>
    </row>
    <row r="193" customFormat="false" ht="15.75" hidden="false" customHeight="false" outlineLevel="0" collapsed="false">
      <c r="B193" s="20"/>
    </row>
    <row r="194" customFormat="false" ht="15.75" hidden="false" customHeight="false" outlineLevel="0" collapsed="false">
      <c r="B194" s="20"/>
    </row>
    <row r="195" customFormat="false" ht="15.75" hidden="false" customHeight="false" outlineLevel="0" collapsed="false">
      <c r="B195" s="20"/>
    </row>
    <row r="196" customFormat="false" ht="15.75" hidden="false" customHeight="false" outlineLevel="0" collapsed="false">
      <c r="B196" s="20"/>
    </row>
    <row r="197" customFormat="false" ht="15.75" hidden="false" customHeight="false" outlineLevel="0" collapsed="false">
      <c r="B197" s="20"/>
    </row>
    <row r="198" customFormat="false" ht="15.75" hidden="false" customHeight="false" outlineLevel="0" collapsed="false">
      <c r="B198" s="20"/>
    </row>
    <row r="199" customFormat="false" ht="15.75" hidden="false" customHeight="false" outlineLevel="0" collapsed="false">
      <c r="B199" s="20"/>
    </row>
    <row r="200" customFormat="false" ht="15.75" hidden="false" customHeight="false" outlineLevel="0" collapsed="false">
      <c r="B200" s="20"/>
    </row>
    <row r="201" customFormat="false" ht="15.75" hidden="false" customHeight="false" outlineLevel="0" collapsed="false">
      <c r="B201" s="20"/>
    </row>
    <row r="202" customFormat="false" ht="15.75" hidden="false" customHeight="false" outlineLevel="0" collapsed="false">
      <c r="B202" s="20"/>
    </row>
    <row r="203" customFormat="false" ht="15.75" hidden="false" customHeight="false" outlineLevel="0" collapsed="false">
      <c r="B203" s="20"/>
    </row>
    <row r="204" customFormat="false" ht="15.75" hidden="false" customHeight="false" outlineLevel="0" collapsed="false">
      <c r="B204" s="20"/>
    </row>
    <row r="205" customFormat="false" ht="15.75" hidden="false" customHeight="false" outlineLevel="0" collapsed="false">
      <c r="B205" s="20"/>
    </row>
    <row r="206" customFormat="false" ht="15.75" hidden="false" customHeight="false" outlineLevel="0" collapsed="false">
      <c r="B206" s="20"/>
    </row>
    <row r="207" customFormat="false" ht="15.75" hidden="false" customHeight="false" outlineLevel="0" collapsed="false">
      <c r="B207" s="20"/>
    </row>
    <row r="208" customFormat="false" ht="15.75" hidden="false" customHeight="false" outlineLevel="0" collapsed="false">
      <c r="B208" s="20"/>
    </row>
    <row r="209" customFormat="false" ht="15.75" hidden="false" customHeight="false" outlineLevel="0" collapsed="false">
      <c r="B209" s="20"/>
    </row>
    <row r="210" customFormat="false" ht="15.75" hidden="false" customHeight="false" outlineLevel="0" collapsed="false">
      <c r="B210" s="20"/>
    </row>
    <row r="211" customFormat="false" ht="15.75" hidden="false" customHeight="false" outlineLevel="0" collapsed="false">
      <c r="B211" s="20"/>
    </row>
    <row r="212" customFormat="false" ht="15.75" hidden="false" customHeight="false" outlineLevel="0" collapsed="false">
      <c r="B212" s="20"/>
    </row>
    <row r="213" customFormat="false" ht="15.75" hidden="false" customHeight="false" outlineLevel="0" collapsed="false">
      <c r="B213" s="20"/>
    </row>
    <row r="214" customFormat="false" ht="15.75" hidden="false" customHeight="false" outlineLevel="0" collapsed="false">
      <c r="B214" s="20"/>
    </row>
    <row r="215" customFormat="false" ht="15.75" hidden="false" customHeight="false" outlineLevel="0" collapsed="false">
      <c r="B215" s="20"/>
    </row>
    <row r="216" customFormat="false" ht="15.75" hidden="false" customHeight="false" outlineLevel="0" collapsed="false">
      <c r="B216" s="20"/>
    </row>
    <row r="217" customFormat="false" ht="15.75" hidden="false" customHeight="false" outlineLevel="0" collapsed="false">
      <c r="B217" s="20"/>
    </row>
    <row r="218" customFormat="false" ht="15.75" hidden="false" customHeight="false" outlineLevel="0" collapsed="false">
      <c r="B218" s="20"/>
    </row>
    <row r="219" customFormat="false" ht="15.75" hidden="false" customHeight="false" outlineLevel="0" collapsed="false">
      <c r="B219" s="20"/>
    </row>
    <row r="220" customFormat="false" ht="15.75" hidden="false" customHeight="false" outlineLevel="0" collapsed="false">
      <c r="B220" s="20"/>
    </row>
    <row r="221" customFormat="false" ht="15.75" hidden="false" customHeight="false" outlineLevel="0" collapsed="false">
      <c r="B221" s="20"/>
    </row>
    <row r="222" customFormat="false" ht="15.75" hidden="false" customHeight="false" outlineLevel="0" collapsed="false">
      <c r="B222" s="20"/>
    </row>
    <row r="223" customFormat="false" ht="15.75" hidden="false" customHeight="false" outlineLevel="0" collapsed="false">
      <c r="B223" s="20"/>
    </row>
    <row r="224" customFormat="false" ht="15.75" hidden="false" customHeight="false" outlineLevel="0" collapsed="false">
      <c r="B224" s="20"/>
    </row>
    <row r="225" customFormat="false" ht="15.75" hidden="false" customHeight="false" outlineLevel="0" collapsed="false">
      <c r="B225" s="20"/>
    </row>
    <row r="226" customFormat="false" ht="15.75" hidden="false" customHeight="false" outlineLevel="0" collapsed="false">
      <c r="B226" s="20"/>
    </row>
    <row r="227" customFormat="false" ht="15.75" hidden="false" customHeight="false" outlineLevel="0" collapsed="false">
      <c r="B227" s="20"/>
    </row>
    <row r="228" customFormat="false" ht="15.75" hidden="false" customHeight="false" outlineLevel="0" collapsed="false">
      <c r="B228" s="20"/>
    </row>
    <row r="229" customFormat="false" ht="15.75" hidden="false" customHeight="false" outlineLevel="0" collapsed="false">
      <c r="B229" s="20"/>
    </row>
    <row r="230" customFormat="false" ht="15.75" hidden="false" customHeight="false" outlineLevel="0" collapsed="false">
      <c r="B230" s="20"/>
    </row>
    <row r="231" customFormat="false" ht="15.75" hidden="false" customHeight="false" outlineLevel="0" collapsed="false">
      <c r="B231" s="20"/>
    </row>
    <row r="232" customFormat="false" ht="15.75" hidden="false" customHeight="false" outlineLevel="0" collapsed="false">
      <c r="B232" s="20"/>
    </row>
    <row r="233" customFormat="false" ht="15.75" hidden="false" customHeight="false" outlineLevel="0" collapsed="false">
      <c r="B233" s="20"/>
    </row>
    <row r="234" customFormat="false" ht="15.75" hidden="false" customHeight="false" outlineLevel="0" collapsed="false">
      <c r="B234" s="20"/>
    </row>
    <row r="235" customFormat="false" ht="15.75" hidden="false" customHeight="false" outlineLevel="0" collapsed="false">
      <c r="B235" s="20"/>
    </row>
    <row r="236" customFormat="false" ht="15.75" hidden="false" customHeight="false" outlineLevel="0" collapsed="false">
      <c r="B236" s="20"/>
    </row>
    <row r="237" customFormat="false" ht="15.75" hidden="false" customHeight="false" outlineLevel="0" collapsed="false">
      <c r="B237" s="20"/>
    </row>
    <row r="238" customFormat="false" ht="15.75" hidden="false" customHeight="false" outlineLevel="0" collapsed="false">
      <c r="B238" s="20"/>
    </row>
    <row r="239" customFormat="false" ht="15.75" hidden="false" customHeight="false" outlineLevel="0" collapsed="false">
      <c r="B239" s="20"/>
    </row>
    <row r="240" customFormat="false" ht="15.75" hidden="false" customHeight="false" outlineLevel="0" collapsed="false">
      <c r="B240" s="20"/>
    </row>
    <row r="241" customFormat="false" ht="15.75" hidden="false" customHeight="false" outlineLevel="0" collapsed="false">
      <c r="B241" s="20"/>
    </row>
    <row r="242" customFormat="false" ht="15.75" hidden="false" customHeight="false" outlineLevel="0" collapsed="false">
      <c r="B242" s="20"/>
    </row>
    <row r="243" customFormat="false" ht="15.75" hidden="false" customHeight="false" outlineLevel="0" collapsed="false">
      <c r="B243" s="20"/>
    </row>
    <row r="244" customFormat="false" ht="15.75" hidden="false" customHeight="false" outlineLevel="0" collapsed="false">
      <c r="B244" s="20"/>
    </row>
    <row r="245" customFormat="false" ht="15.75" hidden="false" customHeight="false" outlineLevel="0" collapsed="false">
      <c r="B245" s="20"/>
    </row>
    <row r="246" customFormat="false" ht="15.75" hidden="false" customHeight="false" outlineLevel="0" collapsed="false">
      <c r="B246" s="20"/>
    </row>
    <row r="247" customFormat="false" ht="15.75" hidden="false" customHeight="false" outlineLevel="0" collapsed="false">
      <c r="B247" s="20"/>
    </row>
    <row r="248" customFormat="false" ht="15.75" hidden="false" customHeight="false" outlineLevel="0" collapsed="false">
      <c r="B248" s="20"/>
    </row>
    <row r="249" customFormat="false" ht="15.75" hidden="false" customHeight="false" outlineLevel="0" collapsed="false">
      <c r="B249" s="20"/>
    </row>
    <row r="250" customFormat="false" ht="15.75" hidden="false" customHeight="false" outlineLevel="0" collapsed="false">
      <c r="B250" s="20"/>
    </row>
    <row r="251" customFormat="false" ht="15.75" hidden="false" customHeight="false" outlineLevel="0" collapsed="false">
      <c r="B251" s="20"/>
    </row>
    <row r="252" customFormat="false" ht="15.75" hidden="false" customHeight="false" outlineLevel="0" collapsed="false">
      <c r="B252" s="20"/>
    </row>
    <row r="253" customFormat="false" ht="15.75" hidden="false" customHeight="false" outlineLevel="0" collapsed="false">
      <c r="B253" s="20"/>
    </row>
    <row r="254" customFormat="false" ht="15.75" hidden="false" customHeight="false" outlineLevel="0" collapsed="false">
      <c r="B254" s="20"/>
    </row>
    <row r="255" customFormat="false" ht="15.75" hidden="false" customHeight="false" outlineLevel="0" collapsed="false">
      <c r="B255" s="20"/>
    </row>
    <row r="256" customFormat="false" ht="15.75" hidden="false" customHeight="false" outlineLevel="0" collapsed="false">
      <c r="B256" s="20"/>
    </row>
    <row r="257" customFormat="false" ht="15.75" hidden="false" customHeight="false" outlineLevel="0" collapsed="false">
      <c r="B257" s="20"/>
    </row>
    <row r="258" customFormat="false" ht="15.75" hidden="false" customHeight="false" outlineLevel="0" collapsed="false">
      <c r="B258" s="20"/>
    </row>
    <row r="259" customFormat="false" ht="15.75" hidden="false" customHeight="false" outlineLevel="0" collapsed="false">
      <c r="B259" s="20"/>
    </row>
    <row r="260" customFormat="false" ht="15.75" hidden="false" customHeight="false" outlineLevel="0" collapsed="false">
      <c r="B260" s="20"/>
    </row>
    <row r="261" customFormat="false" ht="15.75" hidden="false" customHeight="false" outlineLevel="0" collapsed="false">
      <c r="B261" s="20"/>
    </row>
    <row r="262" customFormat="false" ht="15.75" hidden="false" customHeight="false" outlineLevel="0" collapsed="false">
      <c r="B262" s="20"/>
    </row>
    <row r="263" customFormat="false" ht="15.75" hidden="false" customHeight="false" outlineLevel="0" collapsed="false">
      <c r="B263" s="20"/>
    </row>
    <row r="264" customFormat="false" ht="15.75" hidden="false" customHeight="false" outlineLevel="0" collapsed="false">
      <c r="B264" s="20"/>
    </row>
    <row r="265" customFormat="false" ht="15.75" hidden="false" customHeight="false" outlineLevel="0" collapsed="false">
      <c r="B265" s="20"/>
    </row>
    <row r="266" customFormat="false" ht="15.75" hidden="false" customHeight="false" outlineLevel="0" collapsed="false">
      <c r="B266" s="20"/>
    </row>
    <row r="267" customFormat="false" ht="15.75" hidden="false" customHeight="false" outlineLevel="0" collapsed="false">
      <c r="B267" s="20"/>
    </row>
    <row r="268" customFormat="false" ht="15.75" hidden="false" customHeight="false" outlineLevel="0" collapsed="false">
      <c r="B268" s="20"/>
    </row>
    <row r="269" customFormat="false" ht="15.75" hidden="false" customHeight="false" outlineLevel="0" collapsed="false">
      <c r="B269" s="20"/>
    </row>
    <row r="270" customFormat="false" ht="15.75" hidden="false" customHeight="false" outlineLevel="0" collapsed="false">
      <c r="B270" s="20"/>
    </row>
    <row r="271" customFormat="false" ht="15.75" hidden="false" customHeight="false" outlineLevel="0" collapsed="false">
      <c r="B271" s="20"/>
    </row>
    <row r="272" customFormat="false" ht="15.75" hidden="false" customHeight="false" outlineLevel="0" collapsed="false">
      <c r="B272" s="20"/>
    </row>
    <row r="273" customFormat="false" ht="15.75" hidden="false" customHeight="false" outlineLevel="0" collapsed="false">
      <c r="B273" s="20"/>
    </row>
    <row r="274" customFormat="false" ht="15.75" hidden="false" customHeight="false" outlineLevel="0" collapsed="false">
      <c r="B274" s="20"/>
    </row>
    <row r="275" customFormat="false" ht="15.75" hidden="false" customHeight="false" outlineLevel="0" collapsed="false">
      <c r="B275" s="20"/>
    </row>
    <row r="276" customFormat="false" ht="15.75" hidden="false" customHeight="false" outlineLevel="0" collapsed="false">
      <c r="B276" s="20"/>
    </row>
    <row r="277" customFormat="false" ht="15.75" hidden="false" customHeight="false" outlineLevel="0" collapsed="false">
      <c r="B277" s="20"/>
    </row>
    <row r="278" customFormat="false" ht="15.75" hidden="false" customHeight="false" outlineLevel="0" collapsed="false">
      <c r="B278" s="20"/>
    </row>
    <row r="279" customFormat="false" ht="15.75" hidden="false" customHeight="false" outlineLevel="0" collapsed="false">
      <c r="B279" s="20"/>
    </row>
    <row r="280" customFormat="false" ht="15.75" hidden="false" customHeight="false" outlineLevel="0" collapsed="false">
      <c r="B280" s="20"/>
    </row>
    <row r="281" customFormat="false" ht="15.75" hidden="false" customHeight="false" outlineLevel="0" collapsed="false">
      <c r="B281" s="20"/>
    </row>
    <row r="282" customFormat="false" ht="15.75" hidden="false" customHeight="false" outlineLevel="0" collapsed="false">
      <c r="B282" s="20"/>
    </row>
    <row r="283" customFormat="false" ht="15.75" hidden="false" customHeight="false" outlineLevel="0" collapsed="false">
      <c r="B283" s="20"/>
    </row>
    <row r="284" customFormat="false" ht="15.75" hidden="false" customHeight="false" outlineLevel="0" collapsed="false">
      <c r="B284" s="20"/>
    </row>
    <row r="285" customFormat="false" ht="15.75" hidden="false" customHeight="false" outlineLevel="0" collapsed="false">
      <c r="B285" s="20"/>
    </row>
    <row r="286" customFormat="false" ht="15.75" hidden="false" customHeight="false" outlineLevel="0" collapsed="false">
      <c r="B286" s="20"/>
    </row>
    <row r="287" customFormat="false" ht="15.75" hidden="false" customHeight="false" outlineLevel="0" collapsed="false">
      <c r="B287" s="20"/>
    </row>
    <row r="288" customFormat="false" ht="15.75" hidden="false" customHeight="false" outlineLevel="0" collapsed="false">
      <c r="B288" s="20"/>
    </row>
    <row r="289" customFormat="false" ht="15.75" hidden="false" customHeight="false" outlineLevel="0" collapsed="false">
      <c r="B289" s="20"/>
    </row>
    <row r="290" customFormat="false" ht="15.75" hidden="false" customHeight="false" outlineLevel="0" collapsed="false">
      <c r="B290" s="20"/>
    </row>
    <row r="291" customFormat="false" ht="15.75" hidden="false" customHeight="false" outlineLevel="0" collapsed="false">
      <c r="B291" s="20"/>
    </row>
    <row r="292" customFormat="false" ht="15.75" hidden="false" customHeight="false" outlineLevel="0" collapsed="false">
      <c r="B292" s="20"/>
    </row>
    <row r="293" customFormat="false" ht="15.75" hidden="false" customHeight="false" outlineLevel="0" collapsed="false">
      <c r="B293" s="20"/>
    </row>
    <row r="294" customFormat="false" ht="15.75" hidden="false" customHeight="false" outlineLevel="0" collapsed="false">
      <c r="B294" s="20"/>
    </row>
    <row r="295" customFormat="false" ht="15.75" hidden="false" customHeight="false" outlineLevel="0" collapsed="false">
      <c r="B295" s="20"/>
    </row>
    <row r="296" customFormat="false" ht="15.75" hidden="false" customHeight="false" outlineLevel="0" collapsed="false">
      <c r="B296" s="20"/>
    </row>
    <row r="297" customFormat="false" ht="15.75" hidden="false" customHeight="false" outlineLevel="0" collapsed="false">
      <c r="B297" s="20"/>
    </row>
    <row r="298" customFormat="false" ht="15.75" hidden="false" customHeight="false" outlineLevel="0" collapsed="false">
      <c r="B298" s="20"/>
    </row>
    <row r="299" customFormat="false" ht="15.75" hidden="false" customHeight="false" outlineLevel="0" collapsed="false">
      <c r="B299" s="20"/>
    </row>
    <row r="300" customFormat="false" ht="15.75" hidden="false" customHeight="false" outlineLevel="0" collapsed="false">
      <c r="B300" s="20"/>
    </row>
    <row r="301" customFormat="false" ht="15.75" hidden="false" customHeight="false" outlineLevel="0" collapsed="false">
      <c r="B301" s="20"/>
    </row>
    <row r="302" customFormat="false" ht="15.75" hidden="false" customHeight="false" outlineLevel="0" collapsed="false">
      <c r="B302" s="20"/>
    </row>
    <row r="303" customFormat="false" ht="15.75" hidden="false" customHeight="false" outlineLevel="0" collapsed="false">
      <c r="B303" s="20"/>
    </row>
    <row r="304" customFormat="false" ht="15.75" hidden="false" customHeight="false" outlineLevel="0" collapsed="false">
      <c r="B304" s="20"/>
    </row>
    <row r="305" customFormat="false" ht="15.75" hidden="false" customHeight="false" outlineLevel="0" collapsed="false">
      <c r="B305" s="20"/>
    </row>
    <row r="306" customFormat="false" ht="15.75" hidden="false" customHeight="false" outlineLevel="0" collapsed="false">
      <c r="B306" s="20"/>
    </row>
    <row r="307" customFormat="false" ht="15.75" hidden="false" customHeight="false" outlineLevel="0" collapsed="false">
      <c r="B307" s="20"/>
    </row>
    <row r="308" customFormat="false" ht="15.75" hidden="false" customHeight="false" outlineLevel="0" collapsed="false">
      <c r="B308" s="20"/>
    </row>
    <row r="309" customFormat="false" ht="15.75" hidden="false" customHeight="false" outlineLevel="0" collapsed="false">
      <c r="B309" s="20"/>
    </row>
    <row r="310" customFormat="false" ht="15.75" hidden="false" customHeight="false" outlineLevel="0" collapsed="false">
      <c r="B310" s="20"/>
    </row>
    <row r="311" customFormat="false" ht="15.75" hidden="false" customHeight="false" outlineLevel="0" collapsed="false">
      <c r="B311" s="20"/>
    </row>
    <row r="312" customFormat="false" ht="15.75" hidden="false" customHeight="false" outlineLevel="0" collapsed="false">
      <c r="B312" s="20"/>
    </row>
    <row r="313" customFormat="false" ht="15.75" hidden="false" customHeight="false" outlineLevel="0" collapsed="false">
      <c r="B313" s="20"/>
    </row>
    <row r="314" customFormat="false" ht="15.75" hidden="false" customHeight="false" outlineLevel="0" collapsed="false">
      <c r="B314" s="20"/>
    </row>
    <row r="315" customFormat="false" ht="15.75" hidden="false" customHeight="false" outlineLevel="0" collapsed="false">
      <c r="B315" s="20"/>
    </row>
    <row r="316" customFormat="false" ht="15.75" hidden="false" customHeight="false" outlineLevel="0" collapsed="false">
      <c r="B316" s="20"/>
    </row>
    <row r="317" customFormat="false" ht="15.75" hidden="false" customHeight="false" outlineLevel="0" collapsed="false">
      <c r="B317" s="20"/>
    </row>
    <row r="318" customFormat="false" ht="15.75" hidden="false" customHeight="false" outlineLevel="0" collapsed="false">
      <c r="B318" s="20"/>
    </row>
    <row r="319" customFormat="false" ht="15.75" hidden="false" customHeight="false" outlineLevel="0" collapsed="false">
      <c r="B319" s="20"/>
    </row>
    <row r="320" customFormat="false" ht="15.75" hidden="false" customHeight="false" outlineLevel="0" collapsed="false">
      <c r="B320" s="20"/>
    </row>
    <row r="321" customFormat="false" ht="15.75" hidden="false" customHeight="false" outlineLevel="0" collapsed="false">
      <c r="B321" s="20"/>
    </row>
    <row r="322" customFormat="false" ht="15.75" hidden="false" customHeight="false" outlineLevel="0" collapsed="false">
      <c r="B322" s="20"/>
    </row>
    <row r="323" customFormat="false" ht="15.75" hidden="false" customHeight="false" outlineLevel="0" collapsed="false">
      <c r="B323" s="20"/>
    </row>
    <row r="324" customFormat="false" ht="15.75" hidden="false" customHeight="false" outlineLevel="0" collapsed="false">
      <c r="B324" s="20"/>
    </row>
    <row r="325" customFormat="false" ht="15.75" hidden="false" customHeight="false" outlineLevel="0" collapsed="false">
      <c r="B325" s="20"/>
    </row>
    <row r="326" customFormat="false" ht="15.75" hidden="false" customHeight="false" outlineLevel="0" collapsed="false">
      <c r="B326" s="20"/>
    </row>
    <row r="327" customFormat="false" ht="15.75" hidden="false" customHeight="false" outlineLevel="0" collapsed="false">
      <c r="B327" s="20"/>
    </row>
    <row r="328" customFormat="false" ht="15.75" hidden="false" customHeight="false" outlineLevel="0" collapsed="false">
      <c r="B328" s="20"/>
    </row>
    <row r="329" customFormat="false" ht="15.75" hidden="false" customHeight="false" outlineLevel="0" collapsed="false">
      <c r="B329" s="20"/>
    </row>
    <row r="330" customFormat="false" ht="15.75" hidden="false" customHeight="false" outlineLevel="0" collapsed="false">
      <c r="B330" s="20"/>
    </row>
    <row r="331" customFormat="false" ht="15.75" hidden="false" customHeight="false" outlineLevel="0" collapsed="false">
      <c r="B331" s="20"/>
    </row>
    <row r="332" customFormat="false" ht="15.75" hidden="false" customHeight="false" outlineLevel="0" collapsed="false">
      <c r="B332" s="20"/>
    </row>
    <row r="333" customFormat="false" ht="15.75" hidden="false" customHeight="false" outlineLevel="0" collapsed="false">
      <c r="B333" s="20"/>
    </row>
    <row r="334" customFormat="false" ht="15.75" hidden="false" customHeight="false" outlineLevel="0" collapsed="false">
      <c r="B334" s="20"/>
    </row>
    <row r="335" customFormat="false" ht="15.75" hidden="false" customHeight="false" outlineLevel="0" collapsed="false">
      <c r="B335" s="20"/>
    </row>
    <row r="336" customFormat="false" ht="15.75" hidden="false" customHeight="false" outlineLevel="0" collapsed="false">
      <c r="B336" s="20"/>
    </row>
    <row r="337" customFormat="false" ht="15.75" hidden="false" customHeight="false" outlineLevel="0" collapsed="false">
      <c r="B337" s="20"/>
    </row>
    <row r="338" customFormat="false" ht="15.75" hidden="false" customHeight="false" outlineLevel="0" collapsed="false">
      <c r="B338" s="20"/>
    </row>
    <row r="339" customFormat="false" ht="15.75" hidden="false" customHeight="false" outlineLevel="0" collapsed="false">
      <c r="B339" s="20"/>
    </row>
    <row r="340" customFormat="false" ht="15.75" hidden="false" customHeight="false" outlineLevel="0" collapsed="false">
      <c r="B340" s="20"/>
    </row>
    <row r="341" customFormat="false" ht="15.75" hidden="false" customHeight="false" outlineLevel="0" collapsed="false">
      <c r="B341" s="20"/>
    </row>
    <row r="342" customFormat="false" ht="15.75" hidden="false" customHeight="false" outlineLevel="0" collapsed="false">
      <c r="B342" s="20"/>
    </row>
    <row r="343" customFormat="false" ht="15.75" hidden="false" customHeight="false" outlineLevel="0" collapsed="false">
      <c r="B343" s="20"/>
    </row>
    <row r="344" customFormat="false" ht="15.75" hidden="false" customHeight="false" outlineLevel="0" collapsed="false">
      <c r="B344" s="20"/>
    </row>
    <row r="345" customFormat="false" ht="15.75" hidden="false" customHeight="false" outlineLevel="0" collapsed="false">
      <c r="B345" s="20"/>
    </row>
    <row r="346" customFormat="false" ht="15.75" hidden="false" customHeight="false" outlineLevel="0" collapsed="false">
      <c r="B346" s="20"/>
    </row>
    <row r="347" customFormat="false" ht="15.75" hidden="false" customHeight="false" outlineLevel="0" collapsed="false">
      <c r="B347" s="20"/>
    </row>
    <row r="348" customFormat="false" ht="15.75" hidden="false" customHeight="false" outlineLevel="0" collapsed="false">
      <c r="B348" s="20"/>
    </row>
    <row r="349" customFormat="false" ht="15.75" hidden="false" customHeight="false" outlineLevel="0" collapsed="false">
      <c r="B349" s="20"/>
    </row>
    <row r="350" customFormat="false" ht="15.75" hidden="false" customHeight="false" outlineLevel="0" collapsed="false">
      <c r="B350" s="20"/>
    </row>
    <row r="351" customFormat="false" ht="15.75" hidden="false" customHeight="false" outlineLevel="0" collapsed="false">
      <c r="B351" s="20"/>
    </row>
    <row r="352" customFormat="false" ht="15.75" hidden="false" customHeight="false" outlineLevel="0" collapsed="false">
      <c r="B352" s="20"/>
    </row>
    <row r="353" customFormat="false" ht="15.75" hidden="false" customHeight="false" outlineLevel="0" collapsed="false">
      <c r="B353" s="20"/>
    </row>
    <row r="354" customFormat="false" ht="15.75" hidden="false" customHeight="false" outlineLevel="0" collapsed="false">
      <c r="B354" s="20"/>
    </row>
    <row r="355" customFormat="false" ht="15.75" hidden="false" customHeight="false" outlineLevel="0" collapsed="false">
      <c r="B355" s="20"/>
    </row>
    <row r="356" customFormat="false" ht="15.75" hidden="false" customHeight="false" outlineLevel="0" collapsed="false">
      <c r="B356" s="20"/>
    </row>
    <row r="357" customFormat="false" ht="15.75" hidden="false" customHeight="false" outlineLevel="0" collapsed="false">
      <c r="B357" s="20"/>
    </row>
    <row r="358" customFormat="false" ht="15.75" hidden="false" customHeight="false" outlineLevel="0" collapsed="false">
      <c r="B358" s="20"/>
    </row>
    <row r="359" customFormat="false" ht="15.75" hidden="false" customHeight="false" outlineLevel="0" collapsed="false">
      <c r="B359" s="20"/>
    </row>
    <row r="360" customFormat="false" ht="15.75" hidden="false" customHeight="false" outlineLevel="0" collapsed="false">
      <c r="B360" s="20"/>
    </row>
    <row r="361" customFormat="false" ht="15.75" hidden="false" customHeight="false" outlineLevel="0" collapsed="false">
      <c r="B361" s="20"/>
    </row>
    <row r="362" customFormat="false" ht="15.75" hidden="false" customHeight="false" outlineLevel="0" collapsed="false">
      <c r="B362" s="20"/>
    </row>
    <row r="363" customFormat="false" ht="15.75" hidden="false" customHeight="false" outlineLevel="0" collapsed="false">
      <c r="B363" s="20"/>
    </row>
    <row r="364" customFormat="false" ht="15.75" hidden="false" customHeight="false" outlineLevel="0" collapsed="false">
      <c r="B364" s="20"/>
    </row>
    <row r="365" customFormat="false" ht="15.75" hidden="false" customHeight="false" outlineLevel="0" collapsed="false">
      <c r="B365" s="20"/>
    </row>
    <row r="366" customFormat="false" ht="15.75" hidden="false" customHeight="false" outlineLevel="0" collapsed="false">
      <c r="B366" s="20"/>
    </row>
    <row r="367" customFormat="false" ht="15.75" hidden="false" customHeight="false" outlineLevel="0" collapsed="false">
      <c r="B367" s="20"/>
    </row>
    <row r="368" customFormat="false" ht="15.75" hidden="false" customHeight="false" outlineLevel="0" collapsed="false">
      <c r="B368" s="20"/>
    </row>
    <row r="369" customFormat="false" ht="15.75" hidden="false" customHeight="false" outlineLevel="0" collapsed="false">
      <c r="B369" s="20"/>
    </row>
    <row r="370" customFormat="false" ht="15.75" hidden="false" customHeight="false" outlineLevel="0" collapsed="false">
      <c r="B370" s="20"/>
    </row>
    <row r="371" customFormat="false" ht="15.75" hidden="false" customHeight="false" outlineLevel="0" collapsed="false">
      <c r="B371" s="20"/>
    </row>
    <row r="372" customFormat="false" ht="15.75" hidden="false" customHeight="false" outlineLevel="0" collapsed="false">
      <c r="B372" s="20"/>
    </row>
    <row r="373" customFormat="false" ht="15.75" hidden="false" customHeight="false" outlineLevel="0" collapsed="false">
      <c r="B373" s="20"/>
    </row>
    <row r="374" customFormat="false" ht="15.75" hidden="false" customHeight="false" outlineLevel="0" collapsed="false">
      <c r="B374" s="20"/>
    </row>
    <row r="375" customFormat="false" ht="15.75" hidden="false" customHeight="false" outlineLevel="0" collapsed="false">
      <c r="B375" s="20"/>
    </row>
    <row r="376" customFormat="false" ht="15.75" hidden="false" customHeight="false" outlineLevel="0" collapsed="false">
      <c r="B376" s="20"/>
    </row>
    <row r="377" customFormat="false" ht="15.75" hidden="false" customHeight="false" outlineLevel="0" collapsed="false">
      <c r="B377" s="20"/>
    </row>
    <row r="378" customFormat="false" ht="15.75" hidden="false" customHeight="false" outlineLevel="0" collapsed="false">
      <c r="B378" s="20"/>
    </row>
    <row r="379" customFormat="false" ht="15.75" hidden="false" customHeight="false" outlineLevel="0" collapsed="false">
      <c r="B379" s="20"/>
    </row>
    <row r="380" customFormat="false" ht="15.75" hidden="false" customHeight="false" outlineLevel="0" collapsed="false">
      <c r="B380" s="20"/>
    </row>
    <row r="381" customFormat="false" ht="15.75" hidden="false" customHeight="false" outlineLevel="0" collapsed="false">
      <c r="B381" s="20"/>
    </row>
    <row r="382" customFormat="false" ht="15.75" hidden="false" customHeight="false" outlineLevel="0" collapsed="false">
      <c r="B382" s="20"/>
    </row>
    <row r="383" customFormat="false" ht="15.75" hidden="false" customHeight="false" outlineLevel="0" collapsed="false">
      <c r="B383" s="20"/>
    </row>
    <row r="384" customFormat="false" ht="15.75" hidden="false" customHeight="false" outlineLevel="0" collapsed="false">
      <c r="B384" s="20"/>
    </row>
    <row r="385" customFormat="false" ht="15.75" hidden="false" customHeight="false" outlineLevel="0" collapsed="false">
      <c r="B385" s="20"/>
    </row>
    <row r="386" customFormat="false" ht="15.75" hidden="false" customHeight="false" outlineLevel="0" collapsed="false">
      <c r="B386" s="20"/>
    </row>
    <row r="387" customFormat="false" ht="15.75" hidden="false" customHeight="false" outlineLevel="0" collapsed="false">
      <c r="B387" s="20"/>
    </row>
    <row r="388" customFormat="false" ht="15.75" hidden="false" customHeight="false" outlineLevel="0" collapsed="false">
      <c r="B388" s="20"/>
    </row>
    <row r="389" customFormat="false" ht="15.75" hidden="false" customHeight="false" outlineLevel="0" collapsed="false">
      <c r="B389" s="20"/>
    </row>
    <row r="390" customFormat="false" ht="15.75" hidden="false" customHeight="false" outlineLevel="0" collapsed="false">
      <c r="B390" s="20"/>
    </row>
    <row r="391" customFormat="false" ht="15.75" hidden="false" customHeight="false" outlineLevel="0" collapsed="false">
      <c r="B391" s="20"/>
    </row>
    <row r="392" customFormat="false" ht="15.75" hidden="false" customHeight="false" outlineLevel="0" collapsed="false">
      <c r="B392" s="20"/>
    </row>
    <row r="393" customFormat="false" ht="15.75" hidden="false" customHeight="false" outlineLevel="0" collapsed="false">
      <c r="B393" s="20"/>
    </row>
    <row r="394" customFormat="false" ht="15.75" hidden="false" customHeight="false" outlineLevel="0" collapsed="false">
      <c r="B394" s="20"/>
    </row>
    <row r="395" customFormat="false" ht="15.75" hidden="false" customHeight="false" outlineLevel="0" collapsed="false">
      <c r="B395" s="20"/>
    </row>
    <row r="396" customFormat="false" ht="15.75" hidden="false" customHeight="false" outlineLevel="0" collapsed="false">
      <c r="B396" s="20"/>
    </row>
    <row r="397" customFormat="false" ht="15.75" hidden="false" customHeight="false" outlineLevel="0" collapsed="false">
      <c r="B397" s="20"/>
    </row>
    <row r="398" customFormat="false" ht="15.75" hidden="false" customHeight="false" outlineLevel="0" collapsed="false">
      <c r="B398" s="20"/>
    </row>
    <row r="399" customFormat="false" ht="15.75" hidden="false" customHeight="false" outlineLevel="0" collapsed="false">
      <c r="B399" s="20"/>
    </row>
    <row r="400" customFormat="false" ht="15.75" hidden="false" customHeight="false" outlineLevel="0" collapsed="false">
      <c r="B400" s="20"/>
    </row>
    <row r="401" customFormat="false" ht="15.75" hidden="false" customHeight="false" outlineLevel="0" collapsed="false">
      <c r="B401" s="20"/>
    </row>
    <row r="402" customFormat="false" ht="15.75" hidden="false" customHeight="false" outlineLevel="0" collapsed="false">
      <c r="B402" s="20"/>
    </row>
    <row r="403" customFormat="false" ht="15.75" hidden="false" customHeight="false" outlineLevel="0" collapsed="false">
      <c r="B403" s="20"/>
    </row>
    <row r="404" customFormat="false" ht="15.75" hidden="false" customHeight="false" outlineLevel="0" collapsed="false">
      <c r="B404" s="20"/>
    </row>
    <row r="405" customFormat="false" ht="15.75" hidden="false" customHeight="false" outlineLevel="0" collapsed="false">
      <c r="B405" s="20"/>
    </row>
    <row r="406" customFormat="false" ht="15.75" hidden="false" customHeight="false" outlineLevel="0" collapsed="false">
      <c r="B406" s="20"/>
    </row>
    <row r="407" customFormat="false" ht="15.75" hidden="false" customHeight="false" outlineLevel="0" collapsed="false">
      <c r="B407" s="20"/>
    </row>
    <row r="408" customFormat="false" ht="15.75" hidden="false" customHeight="false" outlineLevel="0" collapsed="false">
      <c r="B408" s="20"/>
    </row>
    <row r="409" customFormat="false" ht="15.75" hidden="false" customHeight="false" outlineLevel="0" collapsed="false">
      <c r="B409" s="20"/>
    </row>
    <row r="410" customFormat="false" ht="15.75" hidden="false" customHeight="false" outlineLevel="0" collapsed="false">
      <c r="B410" s="20"/>
    </row>
    <row r="411" customFormat="false" ht="15.75" hidden="false" customHeight="false" outlineLevel="0" collapsed="false">
      <c r="B411" s="20"/>
    </row>
    <row r="412" customFormat="false" ht="15.75" hidden="false" customHeight="false" outlineLevel="0" collapsed="false">
      <c r="B412" s="20"/>
    </row>
    <row r="413" customFormat="false" ht="15.75" hidden="false" customHeight="false" outlineLevel="0" collapsed="false">
      <c r="B413" s="20"/>
    </row>
    <row r="414" customFormat="false" ht="15.75" hidden="false" customHeight="false" outlineLevel="0" collapsed="false">
      <c r="B414" s="20"/>
    </row>
    <row r="415" customFormat="false" ht="15.75" hidden="false" customHeight="false" outlineLevel="0" collapsed="false">
      <c r="B415" s="20"/>
    </row>
    <row r="416" customFormat="false" ht="15.75" hidden="false" customHeight="false" outlineLevel="0" collapsed="false">
      <c r="B416" s="20"/>
    </row>
    <row r="417" customFormat="false" ht="15.75" hidden="false" customHeight="false" outlineLevel="0" collapsed="false">
      <c r="B417" s="20"/>
    </row>
    <row r="418" customFormat="false" ht="15.75" hidden="false" customHeight="false" outlineLevel="0" collapsed="false">
      <c r="B418" s="20"/>
    </row>
    <row r="419" customFormat="false" ht="15.75" hidden="false" customHeight="false" outlineLevel="0" collapsed="false">
      <c r="B419" s="20"/>
    </row>
    <row r="420" customFormat="false" ht="15.75" hidden="false" customHeight="false" outlineLevel="0" collapsed="false">
      <c r="B420" s="20"/>
    </row>
    <row r="421" customFormat="false" ht="15.75" hidden="false" customHeight="false" outlineLevel="0" collapsed="false">
      <c r="B421" s="20"/>
    </row>
    <row r="422" customFormat="false" ht="15.75" hidden="false" customHeight="false" outlineLevel="0" collapsed="false">
      <c r="B422" s="20"/>
    </row>
    <row r="423" customFormat="false" ht="15.75" hidden="false" customHeight="false" outlineLevel="0" collapsed="false">
      <c r="B423" s="20"/>
    </row>
    <row r="424" customFormat="false" ht="15.75" hidden="false" customHeight="false" outlineLevel="0" collapsed="false">
      <c r="B424" s="20"/>
    </row>
    <row r="425" customFormat="false" ht="15.75" hidden="false" customHeight="false" outlineLevel="0" collapsed="false">
      <c r="B425" s="20"/>
    </row>
    <row r="426" customFormat="false" ht="15.75" hidden="false" customHeight="false" outlineLevel="0" collapsed="false">
      <c r="B426" s="20"/>
    </row>
    <row r="427" customFormat="false" ht="15.75" hidden="false" customHeight="false" outlineLevel="0" collapsed="false">
      <c r="B427" s="20"/>
    </row>
    <row r="428" customFormat="false" ht="15.75" hidden="false" customHeight="false" outlineLevel="0" collapsed="false">
      <c r="B428" s="20"/>
    </row>
    <row r="429" customFormat="false" ht="15.75" hidden="false" customHeight="false" outlineLevel="0" collapsed="false">
      <c r="B429" s="20"/>
    </row>
    <row r="430" customFormat="false" ht="15.75" hidden="false" customHeight="false" outlineLevel="0" collapsed="false">
      <c r="B430" s="20"/>
    </row>
    <row r="431" customFormat="false" ht="15.75" hidden="false" customHeight="false" outlineLevel="0" collapsed="false">
      <c r="B431" s="20"/>
    </row>
    <row r="432" customFormat="false" ht="15.75" hidden="false" customHeight="false" outlineLevel="0" collapsed="false">
      <c r="B432" s="20"/>
    </row>
    <row r="433" customFormat="false" ht="15.75" hidden="false" customHeight="false" outlineLevel="0" collapsed="false">
      <c r="B433" s="20"/>
    </row>
    <row r="434" customFormat="false" ht="15.75" hidden="false" customHeight="false" outlineLevel="0" collapsed="false">
      <c r="B434" s="20"/>
    </row>
    <row r="435" customFormat="false" ht="15.75" hidden="false" customHeight="false" outlineLevel="0" collapsed="false">
      <c r="B435" s="20"/>
    </row>
    <row r="436" customFormat="false" ht="15.75" hidden="false" customHeight="false" outlineLevel="0" collapsed="false">
      <c r="B436" s="20"/>
    </row>
    <row r="437" customFormat="false" ht="15.75" hidden="false" customHeight="false" outlineLevel="0" collapsed="false">
      <c r="B437" s="20"/>
    </row>
    <row r="438" customFormat="false" ht="15.75" hidden="false" customHeight="false" outlineLevel="0" collapsed="false">
      <c r="B438" s="20"/>
    </row>
    <row r="439" customFormat="false" ht="15.75" hidden="false" customHeight="false" outlineLevel="0" collapsed="false">
      <c r="B439" s="20"/>
    </row>
    <row r="440" customFormat="false" ht="15.75" hidden="false" customHeight="false" outlineLevel="0" collapsed="false">
      <c r="B440" s="20"/>
    </row>
    <row r="441" customFormat="false" ht="15.75" hidden="false" customHeight="false" outlineLevel="0" collapsed="false">
      <c r="B441" s="20"/>
    </row>
    <row r="442" customFormat="false" ht="15.75" hidden="false" customHeight="false" outlineLevel="0" collapsed="false">
      <c r="B442" s="20"/>
    </row>
    <row r="443" customFormat="false" ht="15.75" hidden="false" customHeight="false" outlineLevel="0" collapsed="false">
      <c r="B443" s="20"/>
    </row>
    <row r="444" customFormat="false" ht="15.75" hidden="false" customHeight="false" outlineLevel="0" collapsed="false">
      <c r="B444" s="20"/>
    </row>
    <row r="445" customFormat="false" ht="15.75" hidden="false" customHeight="false" outlineLevel="0" collapsed="false">
      <c r="B445" s="20"/>
    </row>
    <row r="446" customFormat="false" ht="15.75" hidden="false" customHeight="false" outlineLevel="0" collapsed="false">
      <c r="B446" s="20"/>
    </row>
    <row r="447" customFormat="false" ht="15.75" hidden="false" customHeight="false" outlineLevel="0" collapsed="false">
      <c r="B447" s="20"/>
    </row>
    <row r="448" customFormat="false" ht="15.75" hidden="false" customHeight="false" outlineLevel="0" collapsed="false">
      <c r="B448" s="20"/>
    </row>
    <row r="449" customFormat="false" ht="15.75" hidden="false" customHeight="false" outlineLevel="0" collapsed="false">
      <c r="B449" s="20"/>
    </row>
    <row r="450" customFormat="false" ht="15.75" hidden="false" customHeight="false" outlineLevel="0" collapsed="false">
      <c r="B450" s="20"/>
    </row>
    <row r="451" customFormat="false" ht="15.75" hidden="false" customHeight="false" outlineLevel="0" collapsed="false">
      <c r="B451" s="20"/>
    </row>
    <row r="452" customFormat="false" ht="15.75" hidden="false" customHeight="false" outlineLevel="0" collapsed="false">
      <c r="B452" s="20"/>
    </row>
    <row r="453" customFormat="false" ht="15.75" hidden="false" customHeight="false" outlineLevel="0" collapsed="false">
      <c r="B453" s="20"/>
    </row>
    <row r="454" customFormat="false" ht="15.75" hidden="false" customHeight="false" outlineLevel="0" collapsed="false">
      <c r="B454" s="20"/>
    </row>
    <row r="455" customFormat="false" ht="15.75" hidden="false" customHeight="false" outlineLevel="0" collapsed="false">
      <c r="B455" s="20"/>
    </row>
    <row r="456" customFormat="false" ht="15.75" hidden="false" customHeight="false" outlineLevel="0" collapsed="false">
      <c r="B456" s="20"/>
    </row>
    <row r="457" customFormat="false" ht="15.75" hidden="false" customHeight="false" outlineLevel="0" collapsed="false">
      <c r="B457" s="20"/>
    </row>
    <row r="458" customFormat="false" ht="15.75" hidden="false" customHeight="false" outlineLevel="0" collapsed="false">
      <c r="B458" s="20"/>
    </row>
    <row r="459" customFormat="false" ht="15.75" hidden="false" customHeight="false" outlineLevel="0" collapsed="false">
      <c r="B459" s="20"/>
    </row>
    <row r="460" customFormat="false" ht="15.75" hidden="false" customHeight="false" outlineLevel="0" collapsed="false">
      <c r="B460" s="20"/>
    </row>
    <row r="461" customFormat="false" ht="15.75" hidden="false" customHeight="false" outlineLevel="0" collapsed="false">
      <c r="B461" s="20"/>
    </row>
    <row r="462" customFormat="false" ht="15.75" hidden="false" customHeight="false" outlineLevel="0" collapsed="false">
      <c r="B462" s="20"/>
    </row>
    <row r="463" customFormat="false" ht="15.75" hidden="false" customHeight="false" outlineLevel="0" collapsed="false">
      <c r="B463" s="20"/>
    </row>
    <row r="464" customFormat="false" ht="15.75" hidden="false" customHeight="false" outlineLevel="0" collapsed="false">
      <c r="B464" s="20"/>
    </row>
    <row r="465" customFormat="false" ht="15.75" hidden="false" customHeight="false" outlineLevel="0" collapsed="false">
      <c r="B465" s="20"/>
    </row>
    <row r="466" customFormat="false" ht="15.75" hidden="false" customHeight="false" outlineLevel="0" collapsed="false">
      <c r="B466" s="20"/>
    </row>
    <row r="467" customFormat="false" ht="15.75" hidden="false" customHeight="false" outlineLevel="0" collapsed="false">
      <c r="B467" s="20"/>
    </row>
    <row r="468" customFormat="false" ht="15.75" hidden="false" customHeight="false" outlineLevel="0" collapsed="false">
      <c r="B468" s="20"/>
    </row>
    <row r="469" customFormat="false" ht="15.75" hidden="false" customHeight="false" outlineLevel="0" collapsed="false">
      <c r="B469" s="20"/>
    </row>
    <row r="470" customFormat="false" ht="15.75" hidden="false" customHeight="false" outlineLevel="0" collapsed="false">
      <c r="B470" s="20"/>
    </row>
    <row r="471" customFormat="false" ht="15.75" hidden="false" customHeight="false" outlineLevel="0" collapsed="false">
      <c r="B471" s="20"/>
    </row>
    <row r="472" customFormat="false" ht="15.75" hidden="false" customHeight="false" outlineLevel="0" collapsed="false">
      <c r="B472" s="20"/>
    </row>
    <row r="473" customFormat="false" ht="15.75" hidden="false" customHeight="false" outlineLevel="0" collapsed="false">
      <c r="B473" s="20"/>
    </row>
    <row r="474" customFormat="false" ht="15.75" hidden="false" customHeight="false" outlineLevel="0" collapsed="false">
      <c r="B474" s="20"/>
    </row>
    <row r="475" customFormat="false" ht="15.75" hidden="false" customHeight="false" outlineLevel="0" collapsed="false">
      <c r="B475" s="20"/>
    </row>
    <row r="476" customFormat="false" ht="15.75" hidden="false" customHeight="false" outlineLevel="0" collapsed="false">
      <c r="B476" s="20"/>
    </row>
    <row r="477" customFormat="false" ht="15.75" hidden="false" customHeight="false" outlineLevel="0" collapsed="false">
      <c r="B477" s="20"/>
    </row>
    <row r="478" customFormat="false" ht="15.75" hidden="false" customHeight="false" outlineLevel="0" collapsed="false">
      <c r="B478" s="20"/>
    </row>
    <row r="479" customFormat="false" ht="15.75" hidden="false" customHeight="false" outlineLevel="0" collapsed="false">
      <c r="B479" s="20"/>
    </row>
    <row r="480" customFormat="false" ht="15.75" hidden="false" customHeight="false" outlineLevel="0" collapsed="false">
      <c r="B480" s="20"/>
    </row>
    <row r="481" customFormat="false" ht="15.75" hidden="false" customHeight="false" outlineLevel="0" collapsed="false">
      <c r="B481" s="20"/>
    </row>
    <row r="482" customFormat="false" ht="15.75" hidden="false" customHeight="false" outlineLevel="0" collapsed="false">
      <c r="B482" s="20"/>
    </row>
    <row r="483" customFormat="false" ht="15.75" hidden="false" customHeight="false" outlineLevel="0" collapsed="false">
      <c r="B483" s="20"/>
    </row>
    <row r="484" customFormat="false" ht="15.75" hidden="false" customHeight="false" outlineLevel="0" collapsed="false">
      <c r="B484" s="20"/>
    </row>
    <row r="485" customFormat="false" ht="15.75" hidden="false" customHeight="false" outlineLevel="0" collapsed="false">
      <c r="B485" s="20"/>
    </row>
    <row r="486" customFormat="false" ht="15.75" hidden="false" customHeight="false" outlineLevel="0" collapsed="false">
      <c r="B486" s="20"/>
    </row>
    <row r="487" customFormat="false" ht="15.75" hidden="false" customHeight="false" outlineLevel="0" collapsed="false">
      <c r="B487" s="20"/>
    </row>
    <row r="488" customFormat="false" ht="15.75" hidden="false" customHeight="false" outlineLevel="0" collapsed="false">
      <c r="B488" s="20"/>
    </row>
    <row r="489" customFormat="false" ht="15.75" hidden="false" customHeight="false" outlineLevel="0" collapsed="false">
      <c r="B489" s="20"/>
    </row>
    <row r="490" customFormat="false" ht="15.75" hidden="false" customHeight="false" outlineLevel="0" collapsed="false">
      <c r="B490" s="20"/>
    </row>
    <row r="491" customFormat="false" ht="15.75" hidden="false" customHeight="false" outlineLevel="0" collapsed="false">
      <c r="B491" s="20"/>
    </row>
    <row r="492" customFormat="false" ht="15.75" hidden="false" customHeight="false" outlineLevel="0" collapsed="false">
      <c r="B492" s="20"/>
    </row>
    <row r="493" customFormat="false" ht="15.75" hidden="false" customHeight="false" outlineLevel="0" collapsed="false">
      <c r="B493" s="20"/>
    </row>
    <row r="494" customFormat="false" ht="15.75" hidden="false" customHeight="false" outlineLevel="0" collapsed="false">
      <c r="B494" s="20"/>
    </row>
    <row r="495" customFormat="false" ht="15.75" hidden="false" customHeight="false" outlineLevel="0" collapsed="false">
      <c r="B495" s="20"/>
    </row>
    <row r="496" customFormat="false" ht="15.75" hidden="false" customHeight="false" outlineLevel="0" collapsed="false">
      <c r="B496" s="20"/>
    </row>
    <row r="497" customFormat="false" ht="15.75" hidden="false" customHeight="false" outlineLevel="0" collapsed="false">
      <c r="B497" s="20"/>
    </row>
    <row r="498" customFormat="false" ht="15.75" hidden="false" customHeight="false" outlineLevel="0" collapsed="false">
      <c r="B498" s="20"/>
    </row>
    <row r="499" customFormat="false" ht="15.75" hidden="false" customHeight="false" outlineLevel="0" collapsed="false">
      <c r="B499" s="20"/>
    </row>
    <row r="500" customFormat="false" ht="15.75" hidden="false" customHeight="false" outlineLevel="0" collapsed="false">
      <c r="B500" s="20"/>
    </row>
    <row r="501" customFormat="false" ht="15.75" hidden="false" customHeight="false" outlineLevel="0" collapsed="false">
      <c r="B501" s="20"/>
    </row>
    <row r="502" customFormat="false" ht="15.75" hidden="false" customHeight="false" outlineLevel="0" collapsed="false">
      <c r="B502" s="20"/>
    </row>
    <row r="503" customFormat="false" ht="15.75" hidden="false" customHeight="false" outlineLevel="0" collapsed="false">
      <c r="B503" s="20"/>
    </row>
    <row r="504" customFormat="false" ht="15.75" hidden="false" customHeight="false" outlineLevel="0" collapsed="false">
      <c r="B504" s="20"/>
    </row>
    <row r="505" customFormat="false" ht="15.75" hidden="false" customHeight="false" outlineLevel="0" collapsed="false">
      <c r="B505" s="20"/>
    </row>
    <row r="506" customFormat="false" ht="15.75" hidden="false" customHeight="false" outlineLevel="0" collapsed="false">
      <c r="B506" s="20"/>
    </row>
    <row r="507" customFormat="false" ht="15.75" hidden="false" customHeight="false" outlineLevel="0" collapsed="false">
      <c r="B507" s="20"/>
    </row>
    <row r="508" customFormat="false" ht="15.75" hidden="false" customHeight="false" outlineLevel="0" collapsed="false">
      <c r="B508" s="20"/>
    </row>
    <row r="509" customFormat="false" ht="15.75" hidden="false" customHeight="false" outlineLevel="0" collapsed="false">
      <c r="B509" s="20"/>
    </row>
    <row r="510" customFormat="false" ht="15.75" hidden="false" customHeight="false" outlineLevel="0" collapsed="false">
      <c r="B510" s="20"/>
    </row>
    <row r="511" customFormat="false" ht="15.75" hidden="false" customHeight="false" outlineLevel="0" collapsed="false">
      <c r="B511" s="20"/>
    </row>
    <row r="512" customFormat="false" ht="15.75" hidden="false" customHeight="false" outlineLevel="0" collapsed="false">
      <c r="B512" s="20"/>
    </row>
    <row r="513" customFormat="false" ht="15.75" hidden="false" customHeight="false" outlineLevel="0" collapsed="false">
      <c r="B513" s="20"/>
    </row>
    <row r="514" customFormat="false" ht="15.75" hidden="false" customHeight="false" outlineLevel="0" collapsed="false">
      <c r="B514" s="20"/>
    </row>
    <row r="515" customFormat="false" ht="15.75" hidden="false" customHeight="false" outlineLevel="0" collapsed="false">
      <c r="B515" s="20"/>
    </row>
    <row r="516" customFormat="false" ht="15.75" hidden="false" customHeight="false" outlineLevel="0" collapsed="false">
      <c r="B516" s="20"/>
    </row>
    <row r="517" customFormat="false" ht="15.75" hidden="false" customHeight="false" outlineLevel="0" collapsed="false">
      <c r="B517" s="20"/>
    </row>
    <row r="518" customFormat="false" ht="15.75" hidden="false" customHeight="false" outlineLevel="0" collapsed="false">
      <c r="B518" s="20"/>
    </row>
    <row r="519" customFormat="false" ht="15.75" hidden="false" customHeight="false" outlineLevel="0" collapsed="false">
      <c r="B519" s="20"/>
    </row>
    <row r="520" customFormat="false" ht="15.75" hidden="false" customHeight="false" outlineLevel="0" collapsed="false">
      <c r="B520" s="20"/>
    </row>
    <row r="521" customFormat="false" ht="15.75" hidden="false" customHeight="false" outlineLevel="0" collapsed="false">
      <c r="B521" s="20"/>
    </row>
    <row r="522" customFormat="false" ht="15.75" hidden="false" customHeight="false" outlineLevel="0" collapsed="false">
      <c r="B522" s="20"/>
    </row>
    <row r="523" customFormat="false" ht="15.75" hidden="false" customHeight="false" outlineLevel="0" collapsed="false">
      <c r="B523" s="20"/>
    </row>
    <row r="524" customFormat="false" ht="15.75" hidden="false" customHeight="false" outlineLevel="0" collapsed="false">
      <c r="B524" s="20"/>
    </row>
    <row r="525" customFormat="false" ht="15.75" hidden="false" customHeight="false" outlineLevel="0" collapsed="false">
      <c r="B525" s="20"/>
    </row>
    <row r="526" customFormat="false" ht="15.75" hidden="false" customHeight="false" outlineLevel="0" collapsed="false">
      <c r="B526" s="20"/>
    </row>
    <row r="527" customFormat="false" ht="15.75" hidden="false" customHeight="false" outlineLevel="0" collapsed="false">
      <c r="B527" s="20"/>
    </row>
    <row r="528" customFormat="false" ht="15.75" hidden="false" customHeight="false" outlineLevel="0" collapsed="false">
      <c r="B528" s="20"/>
    </row>
    <row r="529" customFormat="false" ht="15.75" hidden="false" customHeight="false" outlineLevel="0" collapsed="false">
      <c r="B529" s="20"/>
    </row>
    <row r="530" customFormat="false" ht="15.75" hidden="false" customHeight="false" outlineLevel="0" collapsed="false">
      <c r="B530" s="20"/>
    </row>
    <row r="531" customFormat="false" ht="15.75" hidden="false" customHeight="false" outlineLevel="0" collapsed="false">
      <c r="B531" s="20"/>
    </row>
    <row r="532" customFormat="false" ht="15.75" hidden="false" customHeight="false" outlineLevel="0" collapsed="false">
      <c r="B532" s="20"/>
    </row>
    <row r="533" customFormat="false" ht="15.75" hidden="false" customHeight="false" outlineLevel="0" collapsed="false">
      <c r="B533" s="20"/>
    </row>
    <row r="534" customFormat="false" ht="15.75" hidden="false" customHeight="false" outlineLevel="0" collapsed="false">
      <c r="B534" s="20"/>
    </row>
    <row r="535" customFormat="false" ht="15.75" hidden="false" customHeight="false" outlineLevel="0" collapsed="false">
      <c r="B535" s="20"/>
    </row>
    <row r="536" customFormat="false" ht="15.75" hidden="false" customHeight="false" outlineLevel="0" collapsed="false">
      <c r="B536" s="20"/>
    </row>
    <row r="537" customFormat="false" ht="15.75" hidden="false" customHeight="false" outlineLevel="0" collapsed="false">
      <c r="B537" s="20"/>
    </row>
    <row r="538" customFormat="false" ht="15.75" hidden="false" customHeight="false" outlineLevel="0" collapsed="false">
      <c r="B538" s="20"/>
    </row>
    <row r="539" customFormat="false" ht="15.75" hidden="false" customHeight="false" outlineLevel="0" collapsed="false">
      <c r="B539" s="20"/>
    </row>
    <row r="540" customFormat="false" ht="15.75" hidden="false" customHeight="false" outlineLevel="0" collapsed="false">
      <c r="B540" s="20"/>
    </row>
    <row r="541" customFormat="false" ht="15.75" hidden="false" customHeight="false" outlineLevel="0" collapsed="false">
      <c r="B541" s="20"/>
    </row>
    <row r="542" customFormat="false" ht="15.75" hidden="false" customHeight="false" outlineLevel="0" collapsed="false">
      <c r="B542" s="20"/>
    </row>
    <row r="543" customFormat="false" ht="15.75" hidden="false" customHeight="false" outlineLevel="0" collapsed="false">
      <c r="B543" s="20"/>
    </row>
    <row r="544" customFormat="false" ht="15.75" hidden="false" customHeight="false" outlineLevel="0" collapsed="false">
      <c r="B544" s="20"/>
    </row>
    <row r="545" customFormat="false" ht="15.75" hidden="false" customHeight="false" outlineLevel="0" collapsed="false">
      <c r="B545" s="20"/>
    </row>
    <row r="546" customFormat="false" ht="15.75" hidden="false" customHeight="false" outlineLevel="0" collapsed="false">
      <c r="B546" s="20"/>
    </row>
    <row r="547" customFormat="false" ht="15.75" hidden="false" customHeight="false" outlineLevel="0" collapsed="false">
      <c r="B547" s="20"/>
    </row>
    <row r="548" customFormat="false" ht="15.75" hidden="false" customHeight="false" outlineLevel="0" collapsed="false">
      <c r="B548" s="20"/>
    </row>
    <row r="549" customFormat="false" ht="15.75" hidden="false" customHeight="false" outlineLevel="0" collapsed="false">
      <c r="B549" s="20"/>
    </row>
    <row r="550" customFormat="false" ht="15.75" hidden="false" customHeight="false" outlineLevel="0" collapsed="false">
      <c r="B550" s="20"/>
    </row>
    <row r="551" customFormat="false" ht="15.75" hidden="false" customHeight="false" outlineLevel="0" collapsed="false">
      <c r="B551" s="20"/>
    </row>
    <row r="552" customFormat="false" ht="15.75" hidden="false" customHeight="false" outlineLevel="0" collapsed="false">
      <c r="B552" s="20"/>
    </row>
    <row r="553" customFormat="false" ht="15.75" hidden="false" customHeight="false" outlineLevel="0" collapsed="false">
      <c r="B553" s="20"/>
    </row>
    <row r="554" customFormat="false" ht="15.75" hidden="false" customHeight="false" outlineLevel="0" collapsed="false">
      <c r="B554" s="20"/>
    </row>
    <row r="555" customFormat="false" ht="15.75" hidden="false" customHeight="false" outlineLevel="0" collapsed="false">
      <c r="B555" s="20"/>
    </row>
    <row r="556" customFormat="false" ht="15.75" hidden="false" customHeight="false" outlineLevel="0" collapsed="false">
      <c r="B556" s="20"/>
    </row>
    <row r="557" customFormat="false" ht="15.75" hidden="false" customHeight="false" outlineLevel="0" collapsed="false">
      <c r="B557" s="20"/>
    </row>
    <row r="558" customFormat="false" ht="15.75" hidden="false" customHeight="false" outlineLevel="0" collapsed="false">
      <c r="B558" s="20"/>
    </row>
    <row r="559" customFormat="false" ht="15.75" hidden="false" customHeight="false" outlineLevel="0" collapsed="false">
      <c r="B559" s="20"/>
    </row>
    <row r="560" customFormat="false" ht="15.75" hidden="false" customHeight="false" outlineLevel="0" collapsed="false">
      <c r="B560" s="20"/>
    </row>
    <row r="561" customFormat="false" ht="15.75" hidden="false" customHeight="false" outlineLevel="0" collapsed="false">
      <c r="B561" s="20"/>
    </row>
    <row r="562" customFormat="false" ht="15.75" hidden="false" customHeight="false" outlineLevel="0" collapsed="false">
      <c r="B562" s="20"/>
    </row>
    <row r="563" customFormat="false" ht="15.75" hidden="false" customHeight="false" outlineLevel="0" collapsed="false">
      <c r="B563" s="20"/>
    </row>
    <row r="564" customFormat="false" ht="15.75" hidden="false" customHeight="false" outlineLevel="0" collapsed="false">
      <c r="B564" s="20"/>
    </row>
    <row r="565" customFormat="false" ht="15.75" hidden="false" customHeight="false" outlineLevel="0" collapsed="false">
      <c r="B565" s="20"/>
    </row>
    <row r="566" customFormat="false" ht="15.75" hidden="false" customHeight="false" outlineLevel="0" collapsed="false">
      <c r="B566" s="20"/>
    </row>
    <row r="567" customFormat="false" ht="15.75" hidden="false" customHeight="false" outlineLevel="0" collapsed="false">
      <c r="B567" s="20"/>
    </row>
    <row r="568" customFormat="false" ht="15.75" hidden="false" customHeight="false" outlineLevel="0" collapsed="false">
      <c r="B568" s="20"/>
    </row>
    <row r="569" customFormat="false" ht="15.75" hidden="false" customHeight="false" outlineLevel="0" collapsed="false">
      <c r="B569" s="20"/>
    </row>
    <row r="570" customFormat="false" ht="15.75" hidden="false" customHeight="false" outlineLevel="0" collapsed="false">
      <c r="B570" s="20"/>
    </row>
    <row r="571" customFormat="false" ht="15.75" hidden="false" customHeight="false" outlineLevel="0" collapsed="false">
      <c r="B571" s="20"/>
    </row>
    <row r="572" customFormat="false" ht="15.75" hidden="false" customHeight="false" outlineLevel="0" collapsed="false">
      <c r="B572" s="20"/>
    </row>
    <row r="573" customFormat="false" ht="15.75" hidden="false" customHeight="false" outlineLevel="0" collapsed="false">
      <c r="B573" s="20"/>
    </row>
    <row r="574" customFormat="false" ht="15.75" hidden="false" customHeight="false" outlineLevel="0" collapsed="false">
      <c r="B574" s="20"/>
    </row>
    <row r="575" customFormat="false" ht="15.75" hidden="false" customHeight="false" outlineLevel="0" collapsed="false">
      <c r="B575" s="20"/>
    </row>
    <row r="576" customFormat="false" ht="15.75" hidden="false" customHeight="false" outlineLevel="0" collapsed="false">
      <c r="B576" s="20"/>
    </row>
    <row r="577" customFormat="false" ht="15.75" hidden="false" customHeight="false" outlineLevel="0" collapsed="false">
      <c r="B577" s="20"/>
    </row>
    <row r="578" customFormat="false" ht="15.75" hidden="false" customHeight="false" outlineLevel="0" collapsed="false">
      <c r="B578" s="20"/>
    </row>
    <row r="579" customFormat="false" ht="15.75" hidden="false" customHeight="false" outlineLevel="0" collapsed="false">
      <c r="B579" s="20"/>
    </row>
    <row r="580" customFormat="false" ht="15.75" hidden="false" customHeight="false" outlineLevel="0" collapsed="false">
      <c r="B580" s="20"/>
    </row>
    <row r="581" customFormat="false" ht="15.75" hidden="false" customHeight="false" outlineLevel="0" collapsed="false">
      <c r="B581" s="20"/>
    </row>
    <row r="582" customFormat="false" ht="15.75" hidden="false" customHeight="false" outlineLevel="0" collapsed="false">
      <c r="B582" s="20"/>
    </row>
    <row r="583" customFormat="false" ht="15.75" hidden="false" customHeight="false" outlineLevel="0" collapsed="false">
      <c r="B583" s="20"/>
    </row>
    <row r="584" customFormat="false" ht="15.75" hidden="false" customHeight="false" outlineLevel="0" collapsed="false">
      <c r="B584" s="20"/>
    </row>
    <row r="585" customFormat="false" ht="15.75" hidden="false" customHeight="false" outlineLevel="0" collapsed="false">
      <c r="B585" s="20"/>
    </row>
    <row r="586" customFormat="false" ht="15.75" hidden="false" customHeight="false" outlineLevel="0" collapsed="false">
      <c r="B586" s="20"/>
    </row>
    <row r="587" customFormat="false" ht="15.75" hidden="false" customHeight="false" outlineLevel="0" collapsed="false">
      <c r="B587" s="20"/>
    </row>
    <row r="588" customFormat="false" ht="15.75" hidden="false" customHeight="false" outlineLevel="0" collapsed="false">
      <c r="B588" s="20"/>
    </row>
    <row r="589" customFormat="false" ht="15.75" hidden="false" customHeight="false" outlineLevel="0" collapsed="false">
      <c r="B589" s="20"/>
    </row>
    <row r="590" customFormat="false" ht="15.75" hidden="false" customHeight="false" outlineLevel="0" collapsed="false">
      <c r="B590" s="20"/>
    </row>
    <row r="591" customFormat="false" ht="15.75" hidden="false" customHeight="false" outlineLevel="0" collapsed="false">
      <c r="B591" s="20"/>
    </row>
    <row r="592" customFormat="false" ht="15.75" hidden="false" customHeight="false" outlineLevel="0" collapsed="false">
      <c r="B592" s="20"/>
    </row>
    <row r="593" customFormat="false" ht="15.75" hidden="false" customHeight="false" outlineLevel="0" collapsed="false">
      <c r="B593" s="20"/>
    </row>
    <row r="594" customFormat="false" ht="15.75" hidden="false" customHeight="false" outlineLevel="0" collapsed="false">
      <c r="B594" s="20"/>
    </row>
    <row r="595" customFormat="false" ht="15.75" hidden="false" customHeight="false" outlineLevel="0" collapsed="false">
      <c r="B595" s="20"/>
    </row>
    <row r="596" customFormat="false" ht="15.75" hidden="false" customHeight="false" outlineLevel="0" collapsed="false">
      <c r="B596" s="20"/>
    </row>
    <row r="597" customFormat="false" ht="15.75" hidden="false" customHeight="false" outlineLevel="0" collapsed="false">
      <c r="B597" s="20"/>
    </row>
    <row r="598" customFormat="false" ht="15.75" hidden="false" customHeight="false" outlineLevel="0" collapsed="false">
      <c r="B598" s="20"/>
    </row>
    <row r="599" customFormat="false" ht="15.75" hidden="false" customHeight="false" outlineLevel="0" collapsed="false">
      <c r="B599" s="20"/>
    </row>
    <row r="600" customFormat="false" ht="15.75" hidden="false" customHeight="false" outlineLevel="0" collapsed="false">
      <c r="B600" s="20"/>
    </row>
    <row r="601" customFormat="false" ht="15.75" hidden="false" customHeight="false" outlineLevel="0" collapsed="false">
      <c r="B601" s="20"/>
    </row>
    <row r="602" customFormat="false" ht="15.75" hidden="false" customHeight="false" outlineLevel="0" collapsed="false">
      <c r="B602" s="20"/>
    </row>
    <row r="603" customFormat="false" ht="15.75" hidden="false" customHeight="false" outlineLevel="0" collapsed="false">
      <c r="B603" s="20"/>
    </row>
    <row r="604" customFormat="false" ht="15.75" hidden="false" customHeight="false" outlineLevel="0" collapsed="false">
      <c r="B604" s="20"/>
    </row>
    <row r="605" customFormat="false" ht="15.75" hidden="false" customHeight="false" outlineLevel="0" collapsed="false">
      <c r="B605" s="20"/>
    </row>
    <row r="606" customFormat="false" ht="15.75" hidden="false" customHeight="false" outlineLevel="0" collapsed="false">
      <c r="B606" s="20"/>
    </row>
    <row r="607" customFormat="false" ht="15.75" hidden="false" customHeight="false" outlineLevel="0" collapsed="false">
      <c r="B607" s="20"/>
    </row>
    <row r="608" customFormat="false" ht="15.75" hidden="false" customHeight="false" outlineLevel="0" collapsed="false">
      <c r="B608" s="20"/>
    </row>
    <row r="609" customFormat="false" ht="15.75" hidden="false" customHeight="false" outlineLevel="0" collapsed="false">
      <c r="B609" s="20"/>
    </row>
    <row r="610" customFormat="false" ht="15.75" hidden="false" customHeight="false" outlineLevel="0" collapsed="false">
      <c r="B610" s="20"/>
    </row>
    <row r="611" customFormat="false" ht="15.75" hidden="false" customHeight="false" outlineLevel="0" collapsed="false">
      <c r="B611" s="20"/>
    </row>
    <row r="612" customFormat="false" ht="15.75" hidden="false" customHeight="false" outlineLevel="0" collapsed="false">
      <c r="B612" s="20"/>
    </row>
    <row r="613" customFormat="false" ht="15.75" hidden="false" customHeight="false" outlineLevel="0" collapsed="false">
      <c r="B613" s="20"/>
    </row>
    <row r="614" customFormat="false" ht="15.75" hidden="false" customHeight="false" outlineLevel="0" collapsed="false">
      <c r="B614" s="20"/>
    </row>
    <row r="615" customFormat="false" ht="15.75" hidden="false" customHeight="false" outlineLevel="0" collapsed="false">
      <c r="B615" s="20"/>
    </row>
    <row r="616" customFormat="false" ht="15.75" hidden="false" customHeight="false" outlineLevel="0" collapsed="false">
      <c r="B616" s="20"/>
    </row>
    <row r="617" customFormat="false" ht="15.75" hidden="false" customHeight="false" outlineLevel="0" collapsed="false">
      <c r="B617" s="20"/>
    </row>
    <row r="618" customFormat="false" ht="15.75" hidden="false" customHeight="false" outlineLevel="0" collapsed="false">
      <c r="B618" s="20"/>
    </row>
    <row r="619" customFormat="false" ht="15.75" hidden="false" customHeight="false" outlineLevel="0" collapsed="false">
      <c r="B619" s="20"/>
    </row>
    <row r="620" customFormat="false" ht="15.75" hidden="false" customHeight="false" outlineLevel="0" collapsed="false">
      <c r="B620" s="20"/>
    </row>
    <row r="621" customFormat="false" ht="15.75" hidden="false" customHeight="false" outlineLevel="0" collapsed="false">
      <c r="B621" s="20"/>
    </row>
    <row r="622" customFormat="false" ht="15.75" hidden="false" customHeight="false" outlineLevel="0" collapsed="false">
      <c r="B622" s="20"/>
    </row>
    <row r="623" customFormat="false" ht="15.75" hidden="false" customHeight="false" outlineLevel="0" collapsed="false">
      <c r="B623" s="20"/>
    </row>
    <row r="624" customFormat="false" ht="15.75" hidden="false" customHeight="false" outlineLevel="0" collapsed="false">
      <c r="B624" s="20"/>
    </row>
    <row r="625" customFormat="false" ht="15.75" hidden="false" customHeight="false" outlineLevel="0" collapsed="false">
      <c r="B625" s="20"/>
    </row>
    <row r="626" customFormat="false" ht="15.75" hidden="false" customHeight="false" outlineLevel="0" collapsed="false">
      <c r="B626" s="20"/>
    </row>
    <row r="627" customFormat="false" ht="15.75" hidden="false" customHeight="false" outlineLevel="0" collapsed="false">
      <c r="B627" s="20"/>
    </row>
    <row r="628" customFormat="false" ht="15.75" hidden="false" customHeight="false" outlineLevel="0" collapsed="false">
      <c r="B628" s="20"/>
    </row>
    <row r="629" customFormat="false" ht="15.75" hidden="false" customHeight="false" outlineLevel="0" collapsed="false">
      <c r="B629" s="20"/>
    </row>
    <row r="630" customFormat="false" ht="15.75" hidden="false" customHeight="false" outlineLevel="0" collapsed="false">
      <c r="B630" s="20"/>
    </row>
    <row r="631" customFormat="false" ht="15.75" hidden="false" customHeight="false" outlineLevel="0" collapsed="false">
      <c r="B631" s="20"/>
    </row>
    <row r="632" customFormat="false" ht="15.75" hidden="false" customHeight="false" outlineLevel="0" collapsed="false">
      <c r="B632" s="20"/>
    </row>
    <row r="633" customFormat="false" ht="15.75" hidden="false" customHeight="false" outlineLevel="0" collapsed="false">
      <c r="B633" s="20"/>
    </row>
    <row r="634" customFormat="false" ht="15.75" hidden="false" customHeight="false" outlineLevel="0" collapsed="false">
      <c r="B634" s="20"/>
    </row>
    <row r="635" customFormat="false" ht="15.75" hidden="false" customHeight="false" outlineLevel="0" collapsed="false">
      <c r="B635" s="20"/>
    </row>
    <row r="636" customFormat="false" ht="15.75" hidden="false" customHeight="false" outlineLevel="0" collapsed="false">
      <c r="B636" s="20"/>
    </row>
    <row r="637" customFormat="false" ht="15.75" hidden="false" customHeight="false" outlineLevel="0" collapsed="false">
      <c r="B637" s="20"/>
    </row>
    <row r="638" customFormat="false" ht="15.75" hidden="false" customHeight="false" outlineLevel="0" collapsed="false">
      <c r="B638" s="20"/>
    </row>
    <row r="639" customFormat="false" ht="15.75" hidden="false" customHeight="false" outlineLevel="0" collapsed="false">
      <c r="B639" s="20"/>
    </row>
    <row r="640" customFormat="false" ht="15.75" hidden="false" customHeight="false" outlineLevel="0" collapsed="false">
      <c r="B640" s="20"/>
    </row>
    <row r="641" customFormat="false" ht="15.75" hidden="false" customHeight="false" outlineLevel="0" collapsed="false">
      <c r="B641" s="20"/>
    </row>
    <row r="642" customFormat="false" ht="15.75" hidden="false" customHeight="false" outlineLevel="0" collapsed="false">
      <c r="B642" s="20"/>
    </row>
    <row r="643" customFormat="false" ht="15.75" hidden="false" customHeight="false" outlineLevel="0" collapsed="false">
      <c r="B643" s="20"/>
    </row>
    <row r="644" customFormat="false" ht="15.75" hidden="false" customHeight="false" outlineLevel="0" collapsed="false">
      <c r="B644" s="20"/>
    </row>
    <row r="645" customFormat="false" ht="15.75" hidden="false" customHeight="false" outlineLevel="0" collapsed="false">
      <c r="B645" s="20"/>
    </row>
    <row r="646" customFormat="false" ht="15.75" hidden="false" customHeight="false" outlineLevel="0" collapsed="false">
      <c r="B646" s="20"/>
    </row>
    <row r="647" customFormat="false" ht="15.75" hidden="false" customHeight="false" outlineLevel="0" collapsed="false">
      <c r="B647" s="20"/>
    </row>
    <row r="648" customFormat="false" ht="15.75" hidden="false" customHeight="false" outlineLevel="0" collapsed="false">
      <c r="B648" s="20"/>
    </row>
    <row r="649" customFormat="false" ht="15.75" hidden="false" customHeight="false" outlineLevel="0" collapsed="false">
      <c r="B649" s="20"/>
    </row>
    <row r="650" customFormat="false" ht="15.75" hidden="false" customHeight="false" outlineLevel="0" collapsed="false">
      <c r="B650" s="20"/>
    </row>
    <row r="651" customFormat="false" ht="15.75" hidden="false" customHeight="false" outlineLevel="0" collapsed="false">
      <c r="B651" s="20"/>
    </row>
    <row r="652" customFormat="false" ht="15.75" hidden="false" customHeight="false" outlineLevel="0" collapsed="false">
      <c r="B652" s="20"/>
    </row>
    <row r="653" customFormat="false" ht="15.75" hidden="false" customHeight="false" outlineLevel="0" collapsed="false">
      <c r="B653" s="20"/>
    </row>
    <row r="654" customFormat="false" ht="15.75" hidden="false" customHeight="false" outlineLevel="0" collapsed="false">
      <c r="B654" s="20"/>
    </row>
    <row r="655" customFormat="false" ht="15.75" hidden="false" customHeight="false" outlineLevel="0" collapsed="false">
      <c r="B655" s="20"/>
    </row>
    <row r="656" customFormat="false" ht="15.75" hidden="false" customHeight="false" outlineLevel="0" collapsed="false">
      <c r="B656" s="20"/>
    </row>
    <row r="657" customFormat="false" ht="15.75" hidden="false" customHeight="false" outlineLevel="0" collapsed="false">
      <c r="B657" s="20"/>
    </row>
    <row r="658" customFormat="false" ht="15.75" hidden="false" customHeight="false" outlineLevel="0" collapsed="false">
      <c r="B658" s="20"/>
    </row>
    <row r="659" customFormat="false" ht="15.75" hidden="false" customHeight="false" outlineLevel="0" collapsed="false">
      <c r="B659" s="20"/>
    </row>
    <row r="660" customFormat="false" ht="15.75" hidden="false" customHeight="false" outlineLevel="0" collapsed="false">
      <c r="B660" s="20"/>
    </row>
    <row r="661" customFormat="false" ht="15.75" hidden="false" customHeight="false" outlineLevel="0" collapsed="false">
      <c r="B661" s="20"/>
    </row>
    <row r="662" customFormat="false" ht="15.75" hidden="false" customHeight="false" outlineLevel="0" collapsed="false">
      <c r="B662" s="20"/>
    </row>
    <row r="663" customFormat="false" ht="15.75" hidden="false" customHeight="false" outlineLevel="0" collapsed="false">
      <c r="B663" s="20"/>
    </row>
    <row r="664" customFormat="false" ht="15.75" hidden="false" customHeight="false" outlineLevel="0" collapsed="false">
      <c r="B664" s="20"/>
    </row>
    <row r="665" customFormat="false" ht="15.75" hidden="false" customHeight="false" outlineLevel="0" collapsed="false">
      <c r="B665" s="20"/>
    </row>
    <row r="666" customFormat="false" ht="15.75" hidden="false" customHeight="false" outlineLevel="0" collapsed="false">
      <c r="B666" s="20"/>
    </row>
    <row r="667" customFormat="false" ht="15.75" hidden="false" customHeight="false" outlineLevel="0" collapsed="false">
      <c r="B667" s="20"/>
    </row>
    <row r="668" customFormat="false" ht="15.75" hidden="false" customHeight="false" outlineLevel="0" collapsed="false">
      <c r="B668" s="20"/>
    </row>
    <row r="669" customFormat="false" ht="15.75" hidden="false" customHeight="false" outlineLevel="0" collapsed="false">
      <c r="B669" s="20"/>
    </row>
    <row r="670" customFormat="false" ht="15.75" hidden="false" customHeight="false" outlineLevel="0" collapsed="false">
      <c r="B670" s="20"/>
    </row>
    <row r="671" customFormat="false" ht="15.75" hidden="false" customHeight="false" outlineLevel="0" collapsed="false">
      <c r="B671" s="20"/>
    </row>
    <row r="672" customFormat="false" ht="15.75" hidden="false" customHeight="false" outlineLevel="0" collapsed="false">
      <c r="B672" s="20"/>
    </row>
    <row r="673" customFormat="false" ht="15.75" hidden="false" customHeight="false" outlineLevel="0" collapsed="false">
      <c r="B673" s="20"/>
    </row>
    <row r="674" customFormat="false" ht="15.75" hidden="false" customHeight="false" outlineLevel="0" collapsed="false">
      <c r="B674" s="20"/>
    </row>
    <row r="675" customFormat="false" ht="15.75" hidden="false" customHeight="false" outlineLevel="0" collapsed="false">
      <c r="B675" s="20"/>
    </row>
    <row r="676" customFormat="false" ht="15.75" hidden="false" customHeight="false" outlineLevel="0" collapsed="false">
      <c r="B676" s="20"/>
    </row>
    <row r="677" customFormat="false" ht="15.75" hidden="false" customHeight="false" outlineLevel="0" collapsed="false">
      <c r="B677" s="20"/>
    </row>
    <row r="678" customFormat="false" ht="15.75" hidden="false" customHeight="false" outlineLevel="0" collapsed="false">
      <c r="B678" s="20"/>
    </row>
    <row r="679" customFormat="false" ht="15.75" hidden="false" customHeight="false" outlineLevel="0" collapsed="false">
      <c r="B679" s="20"/>
    </row>
    <row r="680" customFormat="false" ht="15.75" hidden="false" customHeight="false" outlineLevel="0" collapsed="false">
      <c r="B680" s="20"/>
    </row>
    <row r="681" customFormat="false" ht="15.75" hidden="false" customHeight="false" outlineLevel="0" collapsed="false">
      <c r="B681" s="20"/>
    </row>
    <row r="682" customFormat="false" ht="15.75" hidden="false" customHeight="false" outlineLevel="0" collapsed="false">
      <c r="B682" s="20"/>
    </row>
    <row r="683" customFormat="false" ht="15.75" hidden="false" customHeight="false" outlineLevel="0" collapsed="false">
      <c r="B683" s="20"/>
    </row>
    <row r="684" customFormat="false" ht="15.75" hidden="false" customHeight="false" outlineLevel="0" collapsed="false">
      <c r="B684" s="20"/>
    </row>
    <row r="685" customFormat="false" ht="15.75" hidden="false" customHeight="false" outlineLevel="0" collapsed="false">
      <c r="B685" s="20"/>
    </row>
    <row r="686" customFormat="false" ht="15.75" hidden="false" customHeight="false" outlineLevel="0" collapsed="false">
      <c r="B686" s="20"/>
    </row>
    <row r="687" customFormat="false" ht="15.75" hidden="false" customHeight="false" outlineLevel="0" collapsed="false">
      <c r="B687" s="20"/>
    </row>
    <row r="688" customFormat="false" ht="15.75" hidden="false" customHeight="false" outlineLevel="0" collapsed="false">
      <c r="B688" s="20"/>
    </row>
    <row r="689" customFormat="false" ht="15.75" hidden="false" customHeight="false" outlineLevel="0" collapsed="false">
      <c r="B689" s="20"/>
    </row>
    <row r="690" customFormat="false" ht="15.75" hidden="false" customHeight="false" outlineLevel="0" collapsed="false">
      <c r="B690" s="20"/>
    </row>
    <row r="691" customFormat="false" ht="15.75" hidden="false" customHeight="false" outlineLevel="0" collapsed="false">
      <c r="B691" s="20"/>
    </row>
    <row r="692" customFormat="false" ht="15.75" hidden="false" customHeight="false" outlineLevel="0" collapsed="false">
      <c r="B692" s="20"/>
    </row>
    <row r="693" customFormat="false" ht="15.75" hidden="false" customHeight="false" outlineLevel="0" collapsed="false">
      <c r="B693" s="20"/>
    </row>
    <row r="694" customFormat="false" ht="15.75" hidden="false" customHeight="false" outlineLevel="0" collapsed="false">
      <c r="B694" s="20"/>
    </row>
    <row r="695" customFormat="false" ht="15.75" hidden="false" customHeight="false" outlineLevel="0" collapsed="false">
      <c r="B695" s="20"/>
    </row>
    <row r="696" customFormat="false" ht="15.75" hidden="false" customHeight="false" outlineLevel="0" collapsed="false">
      <c r="B696" s="20"/>
    </row>
    <row r="697" customFormat="false" ht="15.75" hidden="false" customHeight="false" outlineLevel="0" collapsed="false">
      <c r="B697" s="20"/>
    </row>
    <row r="698" customFormat="false" ht="15.75" hidden="false" customHeight="false" outlineLevel="0" collapsed="false">
      <c r="B698" s="20"/>
    </row>
    <row r="699" customFormat="false" ht="15.75" hidden="false" customHeight="false" outlineLevel="0" collapsed="false">
      <c r="B699" s="20"/>
    </row>
    <row r="700" customFormat="false" ht="15.75" hidden="false" customHeight="false" outlineLevel="0" collapsed="false">
      <c r="B700" s="20"/>
    </row>
    <row r="701" customFormat="false" ht="15.75" hidden="false" customHeight="false" outlineLevel="0" collapsed="false">
      <c r="B701" s="20"/>
    </row>
    <row r="702" customFormat="false" ht="15.75" hidden="false" customHeight="false" outlineLevel="0" collapsed="false">
      <c r="B702" s="20"/>
    </row>
    <row r="703" customFormat="false" ht="15.75" hidden="false" customHeight="false" outlineLevel="0" collapsed="false">
      <c r="B703" s="20"/>
    </row>
    <row r="704" customFormat="false" ht="15.75" hidden="false" customHeight="false" outlineLevel="0" collapsed="false">
      <c r="B704" s="20"/>
    </row>
    <row r="705" customFormat="false" ht="15.75" hidden="false" customHeight="false" outlineLevel="0" collapsed="false">
      <c r="B705" s="20"/>
    </row>
    <row r="706" customFormat="false" ht="15.75" hidden="false" customHeight="false" outlineLevel="0" collapsed="false">
      <c r="B706" s="20"/>
    </row>
    <row r="707" customFormat="false" ht="15.75" hidden="false" customHeight="false" outlineLevel="0" collapsed="false">
      <c r="B707" s="20"/>
    </row>
    <row r="708" customFormat="false" ht="15.75" hidden="false" customHeight="false" outlineLevel="0" collapsed="false">
      <c r="B708" s="20"/>
    </row>
    <row r="709" customFormat="false" ht="15.75" hidden="false" customHeight="false" outlineLevel="0" collapsed="false">
      <c r="B709" s="20"/>
    </row>
    <row r="710" customFormat="false" ht="15.75" hidden="false" customHeight="false" outlineLevel="0" collapsed="false">
      <c r="B710" s="20"/>
    </row>
    <row r="711" customFormat="false" ht="15.75" hidden="false" customHeight="false" outlineLevel="0" collapsed="false">
      <c r="B711" s="20"/>
    </row>
    <row r="712" customFormat="false" ht="15.75" hidden="false" customHeight="false" outlineLevel="0" collapsed="false">
      <c r="B712" s="20"/>
    </row>
    <row r="713" customFormat="false" ht="15.75" hidden="false" customHeight="false" outlineLevel="0" collapsed="false">
      <c r="B713" s="20"/>
    </row>
    <row r="714" customFormat="false" ht="15.75" hidden="false" customHeight="false" outlineLevel="0" collapsed="false">
      <c r="B714" s="20"/>
    </row>
    <row r="715" customFormat="false" ht="15.75" hidden="false" customHeight="false" outlineLevel="0" collapsed="false">
      <c r="B715" s="20"/>
    </row>
    <row r="716" customFormat="false" ht="15.75" hidden="false" customHeight="false" outlineLevel="0" collapsed="false">
      <c r="B716" s="20"/>
    </row>
    <row r="717" customFormat="false" ht="15.75" hidden="false" customHeight="false" outlineLevel="0" collapsed="false">
      <c r="B717" s="20"/>
    </row>
    <row r="718" customFormat="false" ht="15.75" hidden="false" customHeight="false" outlineLevel="0" collapsed="false">
      <c r="B718" s="20"/>
    </row>
    <row r="719" customFormat="false" ht="15.75" hidden="false" customHeight="false" outlineLevel="0" collapsed="false">
      <c r="B719" s="20"/>
    </row>
    <row r="720" customFormat="false" ht="15.75" hidden="false" customHeight="false" outlineLevel="0" collapsed="false">
      <c r="B720" s="20"/>
    </row>
    <row r="721" customFormat="false" ht="15.75" hidden="false" customHeight="false" outlineLevel="0" collapsed="false">
      <c r="B721" s="20"/>
    </row>
    <row r="722" customFormat="false" ht="15.75" hidden="false" customHeight="false" outlineLevel="0" collapsed="false">
      <c r="B722" s="20"/>
    </row>
    <row r="723" customFormat="false" ht="15.75" hidden="false" customHeight="false" outlineLevel="0" collapsed="false">
      <c r="B723" s="20"/>
    </row>
    <row r="724" customFormat="false" ht="15.75" hidden="false" customHeight="false" outlineLevel="0" collapsed="false">
      <c r="B724" s="20"/>
    </row>
    <row r="725" customFormat="false" ht="15.75" hidden="false" customHeight="false" outlineLevel="0" collapsed="false">
      <c r="B725" s="20"/>
    </row>
    <row r="726" customFormat="false" ht="15.75" hidden="false" customHeight="false" outlineLevel="0" collapsed="false">
      <c r="B726" s="20"/>
    </row>
    <row r="727" customFormat="false" ht="15.75" hidden="false" customHeight="false" outlineLevel="0" collapsed="false">
      <c r="B727" s="20"/>
    </row>
    <row r="728" customFormat="false" ht="15.75" hidden="false" customHeight="false" outlineLevel="0" collapsed="false">
      <c r="B728" s="20"/>
    </row>
    <row r="729" customFormat="false" ht="15.75" hidden="false" customHeight="false" outlineLevel="0" collapsed="false">
      <c r="B729" s="20"/>
    </row>
    <row r="730" customFormat="false" ht="15.75" hidden="false" customHeight="false" outlineLevel="0" collapsed="false">
      <c r="B730" s="20"/>
    </row>
    <row r="731" customFormat="false" ht="15.75" hidden="false" customHeight="false" outlineLevel="0" collapsed="false">
      <c r="B731" s="20"/>
    </row>
    <row r="732" customFormat="false" ht="15.75" hidden="false" customHeight="false" outlineLevel="0" collapsed="false">
      <c r="B732" s="20"/>
    </row>
    <row r="733" customFormat="false" ht="15.75" hidden="false" customHeight="false" outlineLevel="0" collapsed="false">
      <c r="B733" s="20"/>
    </row>
    <row r="734" customFormat="false" ht="15.75" hidden="false" customHeight="false" outlineLevel="0" collapsed="false">
      <c r="B734" s="20"/>
    </row>
    <row r="735" customFormat="false" ht="15.75" hidden="false" customHeight="false" outlineLevel="0" collapsed="false">
      <c r="B735" s="20"/>
    </row>
    <row r="736" customFormat="false" ht="15.75" hidden="false" customHeight="false" outlineLevel="0" collapsed="false">
      <c r="B736" s="20"/>
    </row>
    <row r="737" customFormat="false" ht="15.75" hidden="false" customHeight="false" outlineLevel="0" collapsed="false">
      <c r="B737" s="20"/>
    </row>
    <row r="738" customFormat="false" ht="15.75" hidden="false" customHeight="false" outlineLevel="0" collapsed="false">
      <c r="B738" s="20"/>
    </row>
    <row r="739" customFormat="false" ht="15.75" hidden="false" customHeight="false" outlineLevel="0" collapsed="false">
      <c r="B739" s="20"/>
    </row>
    <row r="740" customFormat="false" ht="15.75" hidden="false" customHeight="false" outlineLevel="0" collapsed="false">
      <c r="B740" s="20"/>
    </row>
    <row r="741" customFormat="false" ht="15.75" hidden="false" customHeight="false" outlineLevel="0" collapsed="false">
      <c r="B741" s="20"/>
    </row>
    <row r="742" customFormat="false" ht="15.75" hidden="false" customHeight="false" outlineLevel="0" collapsed="false">
      <c r="B742" s="20"/>
    </row>
    <row r="743" customFormat="false" ht="15.75" hidden="false" customHeight="false" outlineLevel="0" collapsed="false">
      <c r="B743" s="20"/>
    </row>
    <row r="744" customFormat="false" ht="15.75" hidden="false" customHeight="false" outlineLevel="0" collapsed="false">
      <c r="B744" s="20"/>
    </row>
    <row r="745" customFormat="false" ht="15.75" hidden="false" customHeight="false" outlineLevel="0" collapsed="false">
      <c r="B745" s="20"/>
    </row>
    <row r="746" customFormat="false" ht="15.75" hidden="false" customHeight="false" outlineLevel="0" collapsed="false">
      <c r="B746" s="20"/>
    </row>
    <row r="747" customFormat="false" ht="15.75" hidden="false" customHeight="false" outlineLevel="0" collapsed="false">
      <c r="B747" s="20"/>
    </row>
    <row r="748" customFormat="false" ht="15.75" hidden="false" customHeight="false" outlineLevel="0" collapsed="false">
      <c r="B748" s="20"/>
    </row>
    <row r="749" customFormat="false" ht="15.75" hidden="false" customHeight="false" outlineLevel="0" collapsed="false">
      <c r="B749" s="20"/>
    </row>
    <row r="750" customFormat="false" ht="15.75" hidden="false" customHeight="false" outlineLevel="0" collapsed="false">
      <c r="B750" s="20"/>
    </row>
    <row r="751" customFormat="false" ht="15.75" hidden="false" customHeight="false" outlineLevel="0" collapsed="false">
      <c r="B751" s="20"/>
    </row>
    <row r="752" customFormat="false" ht="15.75" hidden="false" customHeight="false" outlineLevel="0" collapsed="false">
      <c r="B752" s="20"/>
    </row>
    <row r="753" customFormat="false" ht="15.75" hidden="false" customHeight="false" outlineLevel="0" collapsed="false">
      <c r="B753" s="20"/>
    </row>
    <row r="754" customFormat="false" ht="15.75" hidden="false" customHeight="false" outlineLevel="0" collapsed="false">
      <c r="B754" s="20"/>
    </row>
    <row r="755" customFormat="false" ht="15.75" hidden="false" customHeight="false" outlineLevel="0" collapsed="false">
      <c r="B755" s="20"/>
    </row>
    <row r="756" customFormat="false" ht="15.75" hidden="false" customHeight="false" outlineLevel="0" collapsed="false">
      <c r="B756" s="20"/>
    </row>
    <row r="757" customFormat="false" ht="15.75" hidden="false" customHeight="false" outlineLevel="0" collapsed="false">
      <c r="B757" s="20"/>
    </row>
    <row r="758" customFormat="false" ht="15.75" hidden="false" customHeight="false" outlineLevel="0" collapsed="false">
      <c r="B758" s="20"/>
    </row>
    <row r="759" customFormat="false" ht="15.75" hidden="false" customHeight="false" outlineLevel="0" collapsed="false">
      <c r="B759" s="20"/>
    </row>
    <row r="760" customFormat="false" ht="15.75" hidden="false" customHeight="false" outlineLevel="0" collapsed="false">
      <c r="B760" s="20"/>
    </row>
    <row r="761" customFormat="false" ht="15.75" hidden="false" customHeight="false" outlineLevel="0" collapsed="false">
      <c r="B761" s="20"/>
    </row>
    <row r="762" customFormat="false" ht="15.75" hidden="false" customHeight="false" outlineLevel="0" collapsed="false">
      <c r="B762" s="20"/>
    </row>
    <row r="763" customFormat="false" ht="15.75" hidden="false" customHeight="false" outlineLevel="0" collapsed="false">
      <c r="B763" s="20"/>
    </row>
    <row r="764" customFormat="false" ht="15.75" hidden="false" customHeight="false" outlineLevel="0" collapsed="false">
      <c r="B764" s="20"/>
    </row>
    <row r="765" customFormat="false" ht="15.75" hidden="false" customHeight="false" outlineLevel="0" collapsed="false">
      <c r="B765" s="20"/>
    </row>
    <row r="766" customFormat="false" ht="15.75" hidden="false" customHeight="false" outlineLevel="0" collapsed="false">
      <c r="B766" s="20"/>
    </row>
    <row r="767" customFormat="false" ht="15.75" hidden="false" customHeight="false" outlineLevel="0" collapsed="false">
      <c r="B767" s="20"/>
    </row>
    <row r="768" customFormat="false" ht="15.75" hidden="false" customHeight="false" outlineLevel="0" collapsed="false">
      <c r="B768" s="20"/>
    </row>
    <row r="769" customFormat="false" ht="15.75" hidden="false" customHeight="false" outlineLevel="0" collapsed="false">
      <c r="B769" s="20"/>
    </row>
    <row r="770" customFormat="false" ht="15.75" hidden="false" customHeight="false" outlineLevel="0" collapsed="false">
      <c r="B770" s="20"/>
    </row>
    <row r="771" customFormat="false" ht="15.75" hidden="false" customHeight="false" outlineLevel="0" collapsed="false">
      <c r="B771" s="20"/>
    </row>
    <row r="772" customFormat="false" ht="15.75" hidden="false" customHeight="false" outlineLevel="0" collapsed="false">
      <c r="B772" s="20"/>
    </row>
    <row r="773" customFormat="false" ht="15.75" hidden="false" customHeight="false" outlineLevel="0" collapsed="false">
      <c r="B773" s="20"/>
    </row>
    <row r="774" customFormat="false" ht="15.75" hidden="false" customHeight="false" outlineLevel="0" collapsed="false">
      <c r="B774" s="20"/>
    </row>
    <row r="775" customFormat="false" ht="15.75" hidden="false" customHeight="false" outlineLevel="0" collapsed="false">
      <c r="B775" s="20"/>
    </row>
    <row r="776" customFormat="false" ht="15.75" hidden="false" customHeight="false" outlineLevel="0" collapsed="false">
      <c r="B776" s="20"/>
    </row>
    <row r="777" customFormat="false" ht="15.75" hidden="false" customHeight="false" outlineLevel="0" collapsed="false">
      <c r="B777" s="20"/>
    </row>
    <row r="778" customFormat="false" ht="15.75" hidden="false" customHeight="false" outlineLevel="0" collapsed="false">
      <c r="B778" s="20"/>
    </row>
    <row r="779" customFormat="false" ht="15.75" hidden="false" customHeight="false" outlineLevel="0" collapsed="false">
      <c r="B779" s="20"/>
    </row>
    <row r="780" customFormat="false" ht="15.75" hidden="false" customHeight="false" outlineLevel="0" collapsed="false">
      <c r="B780" s="20"/>
    </row>
    <row r="781" customFormat="false" ht="15.75" hidden="false" customHeight="false" outlineLevel="0" collapsed="false">
      <c r="B781" s="20"/>
    </row>
    <row r="782" customFormat="false" ht="15.75" hidden="false" customHeight="false" outlineLevel="0" collapsed="false">
      <c r="B782" s="20"/>
    </row>
    <row r="783" customFormat="false" ht="15.75" hidden="false" customHeight="false" outlineLevel="0" collapsed="false">
      <c r="B783" s="20"/>
    </row>
    <row r="784" customFormat="false" ht="15.75" hidden="false" customHeight="false" outlineLevel="0" collapsed="false">
      <c r="B784" s="20"/>
    </row>
    <row r="785" customFormat="false" ht="15.75" hidden="false" customHeight="false" outlineLevel="0" collapsed="false">
      <c r="B785" s="20"/>
    </row>
    <row r="786" customFormat="false" ht="15.75" hidden="false" customHeight="false" outlineLevel="0" collapsed="false">
      <c r="B786" s="20"/>
    </row>
    <row r="787" customFormat="false" ht="15.75" hidden="false" customHeight="false" outlineLevel="0" collapsed="false">
      <c r="B787" s="20"/>
    </row>
    <row r="788" customFormat="false" ht="15.75" hidden="false" customHeight="false" outlineLevel="0" collapsed="false">
      <c r="B788" s="20"/>
    </row>
    <row r="789" customFormat="false" ht="15.75" hidden="false" customHeight="false" outlineLevel="0" collapsed="false">
      <c r="B789" s="20"/>
    </row>
    <row r="790" customFormat="false" ht="15.75" hidden="false" customHeight="false" outlineLevel="0" collapsed="false">
      <c r="B790" s="20"/>
    </row>
    <row r="791" customFormat="false" ht="15.75" hidden="false" customHeight="false" outlineLevel="0" collapsed="false">
      <c r="B791" s="20"/>
    </row>
    <row r="792" customFormat="false" ht="15.75" hidden="false" customHeight="false" outlineLevel="0" collapsed="false">
      <c r="B792" s="20"/>
    </row>
    <row r="793" customFormat="false" ht="15.75" hidden="false" customHeight="false" outlineLevel="0" collapsed="false">
      <c r="B793" s="20"/>
    </row>
    <row r="794" customFormat="false" ht="15.75" hidden="false" customHeight="false" outlineLevel="0" collapsed="false">
      <c r="B794" s="20"/>
    </row>
    <row r="795" customFormat="false" ht="15.75" hidden="false" customHeight="false" outlineLevel="0" collapsed="false">
      <c r="B795" s="20"/>
    </row>
    <row r="796" customFormat="false" ht="15.75" hidden="false" customHeight="false" outlineLevel="0" collapsed="false">
      <c r="B796" s="20"/>
    </row>
    <row r="797" customFormat="false" ht="15.75" hidden="false" customHeight="false" outlineLevel="0" collapsed="false">
      <c r="B797" s="20"/>
    </row>
    <row r="798" customFormat="false" ht="15.75" hidden="false" customHeight="false" outlineLevel="0" collapsed="false">
      <c r="B798" s="20"/>
    </row>
    <row r="799" customFormat="false" ht="15.75" hidden="false" customHeight="false" outlineLevel="0" collapsed="false">
      <c r="B799" s="20"/>
    </row>
    <row r="800" customFormat="false" ht="15.75" hidden="false" customHeight="false" outlineLevel="0" collapsed="false">
      <c r="B800" s="20"/>
    </row>
    <row r="801" customFormat="false" ht="15.75" hidden="false" customHeight="false" outlineLevel="0" collapsed="false">
      <c r="B801" s="20"/>
    </row>
    <row r="802" customFormat="false" ht="15.75" hidden="false" customHeight="false" outlineLevel="0" collapsed="false">
      <c r="B802" s="20"/>
    </row>
    <row r="803" customFormat="false" ht="15.75" hidden="false" customHeight="false" outlineLevel="0" collapsed="false">
      <c r="B803" s="20"/>
    </row>
    <row r="804" customFormat="false" ht="15.75" hidden="false" customHeight="false" outlineLevel="0" collapsed="false">
      <c r="B804" s="20"/>
    </row>
    <row r="805" customFormat="false" ht="15.75" hidden="false" customHeight="false" outlineLevel="0" collapsed="false">
      <c r="B805" s="20"/>
    </row>
    <row r="806" customFormat="false" ht="15.75" hidden="false" customHeight="false" outlineLevel="0" collapsed="false">
      <c r="B806" s="20"/>
    </row>
    <row r="807" customFormat="false" ht="15.75" hidden="false" customHeight="false" outlineLevel="0" collapsed="false">
      <c r="B807" s="20"/>
    </row>
    <row r="808" customFormat="false" ht="15.75" hidden="false" customHeight="false" outlineLevel="0" collapsed="false">
      <c r="B808" s="20"/>
    </row>
    <row r="809" customFormat="false" ht="15.75" hidden="false" customHeight="false" outlineLevel="0" collapsed="false">
      <c r="B809" s="20"/>
    </row>
    <row r="810" customFormat="false" ht="15.75" hidden="false" customHeight="false" outlineLevel="0" collapsed="false">
      <c r="B810" s="20"/>
    </row>
    <row r="811" customFormat="false" ht="15.75" hidden="false" customHeight="false" outlineLevel="0" collapsed="false">
      <c r="B811" s="20"/>
    </row>
    <row r="812" customFormat="false" ht="15.75" hidden="false" customHeight="false" outlineLevel="0" collapsed="false">
      <c r="B812" s="20"/>
    </row>
    <row r="813" customFormat="false" ht="15.75" hidden="false" customHeight="false" outlineLevel="0" collapsed="false">
      <c r="B813" s="20"/>
    </row>
    <row r="814" customFormat="false" ht="15.75" hidden="false" customHeight="false" outlineLevel="0" collapsed="false">
      <c r="B814" s="20"/>
    </row>
    <row r="815" customFormat="false" ht="15.75" hidden="false" customHeight="false" outlineLevel="0" collapsed="false">
      <c r="B815" s="20"/>
    </row>
    <row r="816" customFormat="false" ht="15.75" hidden="false" customHeight="false" outlineLevel="0" collapsed="false">
      <c r="B816" s="20"/>
    </row>
    <row r="817" customFormat="false" ht="15.75" hidden="false" customHeight="false" outlineLevel="0" collapsed="false">
      <c r="B817" s="20"/>
    </row>
    <row r="818" customFormat="false" ht="15.75" hidden="false" customHeight="false" outlineLevel="0" collapsed="false">
      <c r="B818" s="20"/>
    </row>
    <row r="819" customFormat="false" ht="15.75" hidden="false" customHeight="false" outlineLevel="0" collapsed="false">
      <c r="B819" s="20"/>
    </row>
    <row r="820" customFormat="false" ht="15.75" hidden="false" customHeight="false" outlineLevel="0" collapsed="false">
      <c r="B820" s="20"/>
    </row>
    <row r="821" customFormat="false" ht="15.75" hidden="false" customHeight="false" outlineLevel="0" collapsed="false">
      <c r="B821" s="20"/>
    </row>
    <row r="822" customFormat="false" ht="15.75" hidden="false" customHeight="false" outlineLevel="0" collapsed="false">
      <c r="B822" s="20"/>
    </row>
    <row r="823" customFormat="false" ht="15.75" hidden="false" customHeight="false" outlineLevel="0" collapsed="false">
      <c r="B823" s="20"/>
    </row>
    <row r="824" customFormat="false" ht="15.75" hidden="false" customHeight="false" outlineLevel="0" collapsed="false">
      <c r="B824" s="20"/>
    </row>
    <row r="825" customFormat="false" ht="15.75" hidden="false" customHeight="false" outlineLevel="0" collapsed="false">
      <c r="B825" s="20"/>
    </row>
    <row r="826" customFormat="false" ht="15.75" hidden="false" customHeight="false" outlineLevel="0" collapsed="false">
      <c r="B826" s="20"/>
    </row>
    <row r="827" customFormat="false" ht="15.75" hidden="false" customHeight="false" outlineLevel="0" collapsed="false">
      <c r="B827" s="20"/>
    </row>
    <row r="828" customFormat="false" ht="15.75" hidden="false" customHeight="false" outlineLevel="0" collapsed="false">
      <c r="B828" s="20"/>
    </row>
    <row r="829" customFormat="false" ht="15.75" hidden="false" customHeight="false" outlineLevel="0" collapsed="false">
      <c r="B829" s="20"/>
    </row>
    <row r="830" customFormat="false" ht="15.75" hidden="false" customHeight="false" outlineLevel="0" collapsed="false">
      <c r="B830" s="20"/>
    </row>
    <row r="831" customFormat="false" ht="15.75" hidden="false" customHeight="false" outlineLevel="0" collapsed="false">
      <c r="B831" s="20"/>
    </row>
    <row r="832" customFormat="false" ht="15.75" hidden="false" customHeight="false" outlineLevel="0" collapsed="false">
      <c r="B832" s="20"/>
    </row>
    <row r="833" customFormat="false" ht="15.75" hidden="false" customHeight="false" outlineLevel="0" collapsed="false">
      <c r="B833" s="20"/>
    </row>
    <row r="834" customFormat="false" ht="15.75" hidden="false" customHeight="false" outlineLevel="0" collapsed="false">
      <c r="B834" s="20"/>
    </row>
    <row r="835" customFormat="false" ht="15.75" hidden="false" customHeight="false" outlineLevel="0" collapsed="false">
      <c r="B835" s="20"/>
    </row>
    <row r="836" customFormat="false" ht="15.75" hidden="false" customHeight="false" outlineLevel="0" collapsed="false">
      <c r="B836" s="20"/>
    </row>
    <row r="837" customFormat="false" ht="15.75" hidden="false" customHeight="false" outlineLevel="0" collapsed="false">
      <c r="B837" s="20"/>
    </row>
    <row r="838" customFormat="false" ht="15.75" hidden="false" customHeight="false" outlineLevel="0" collapsed="false">
      <c r="B838" s="20"/>
    </row>
    <row r="839" customFormat="false" ht="15.75" hidden="false" customHeight="false" outlineLevel="0" collapsed="false">
      <c r="B839" s="20"/>
    </row>
    <row r="840" customFormat="false" ht="15.75" hidden="false" customHeight="false" outlineLevel="0" collapsed="false">
      <c r="B840" s="20"/>
    </row>
    <row r="841" customFormat="false" ht="15.75" hidden="false" customHeight="false" outlineLevel="0" collapsed="false">
      <c r="B841" s="20"/>
    </row>
    <row r="842" customFormat="false" ht="15.75" hidden="false" customHeight="false" outlineLevel="0" collapsed="false">
      <c r="B842" s="20"/>
    </row>
    <row r="843" customFormat="false" ht="15.75" hidden="false" customHeight="false" outlineLevel="0" collapsed="false">
      <c r="B843" s="20"/>
    </row>
    <row r="844" customFormat="false" ht="15.75" hidden="false" customHeight="false" outlineLevel="0" collapsed="false">
      <c r="B844" s="20"/>
    </row>
    <row r="845" customFormat="false" ht="15.75" hidden="false" customHeight="false" outlineLevel="0" collapsed="false">
      <c r="B845" s="20"/>
    </row>
    <row r="846" customFormat="false" ht="15.75" hidden="false" customHeight="false" outlineLevel="0" collapsed="false">
      <c r="B846" s="20"/>
    </row>
    <row r="847" customFormat="false" ht="15.75" hidden="false" customHeight="false" outlineLevel="0" collapsed="false">
      <c r="B847" s="20"/>
    </row>
    <row r="848" customFormat="false" ht="15.75" hidden="false" customHeight="false" outlineLevel="0" collapsed="false">
      <c r="B848" s="20"/>
    </row>
    <row r="849" customFormat="false" ht="15.75" hidden="false" customHeight="false" outlineLevel="0" collapsed="false">
      <c r="B849" s="20"/>
    </row>
    <row r="850" customFormat="false" ht="15.75" hidden="false" customHeight="false" outlineLevel="0" collapsed="false">
      <c r="B850" s="20"/>
    </row>
    <row r="851" customFormat="false" ht="15.75" hidden="false" customHeight="false" outlineLevel="0" collapsed="false">
      <c r="B851" s="20"/>
    </row>
    <row r="852" customFormat="false" ht="15.75" hidden="false" customHeight="false" outlineLevel="0" collapsed="false">
      <c r="B852" s="20"/>
    </row>
    <row r="853" customFormat="false" ht="15.75" hidden="false" customHeight="false" outlineLevel="0" collapsed="false">
      <c r="B853" s="20"/>
    </row>
    <row r="854" customFormat="false" ht="15.75" hidden="false" customHeight="false" outlineLevel="0" collapsed="false">
      <c r="B854" s="20"/>
    </row>
    <row r="855" customFormat="false" ht="15.75" hidden="false" customHeight="false" outlineLevel="0" collapsed="false">
      <c r="B855" s="20"/>
    </row>
    <row r="856" customFormat="false" ht="15.75" hidden="false" customHeight="false" outlineLevel="0" collapsed="false">
      <c r="B856" s="20"/>
    </row>
    <row r="857" customFormat="false" ht="15.75" hidden="false" customHeight="false" outlineLevel="0" collapsed="false">
      <c r="B857" s="20"/>
    </row>
    <row r="858" customFormat="false" ht="15.75" hidden="false" customHeight="false" outlineLevel="0" collapsed="false">
      <c r="B858" s="20"/>
    </row>
    <row r="859" customFormat="false" ht="15.75" hidden="false" customHeight="false" outlineLevel="0" collapsed="false">
      <c r="B859" s="20"/>
    </row>
    <row r="860" customFormat="false" ht="15.75" hidden="false" customHeight="false" outlineLevel="0" collapsed="false">
      <c r="B860" s="20"/>
    </row>
    <row r="861" customFormat="false" ht="15.75" hidden="false" customHeight="false" outlineLevel="0" collapsed="false">
      <c r="B861" s="20"/>
    </row>
    <row r="862" customFormat="false" ht="15.75" hidden="false" customHeight="false" outlineLevel="0" collapsed="false">
      <c r="B862" s="20"/>
    </row>
    <row r="863" customFormat="false" ht="15.75" hidden="false" customHeight="false" outlineLevel="0" collapsed="false">
      <c r="B863" s="20"/>
    </row>
    <row r="864" customFormat="false" ht="15.75" hidden="false" customHeight="false" outlineLevel="0" collapsed="false">
      <c r="B864" s="20"/>
    </row>
    <row r="865" customFormat="false" ht="15.75" hidden="false" customHeight="false" outlineLevel="0" collapsed="false">
      <c r="B865" s="20"/>
    </row>
    <row r="866" customFormat="false" ht="15.75" hidden="false" customHeight="false" outlineLevel="0" collapsed="false">
      <c r="B866" s="20"/>
    </row>
    <row r="867" customFormat="false" ht="15.75" hidden="false" customHeight="false" outlineLevel="0" collapsed="false">
      <c r="B867" s="20"/>
    </row>
    <row r="868" customFormat="false" ht="15.75" hidden="false" customHeight="false" outlineLevel="0" collapsed="false">
      <c r="B868" s="20"/>
    </row>
    <row r="869" customFormat="false" ht="15.75" hidden="false" customHeight="false" outlineLevel="0" collapsed="false">
      <c r="B869" s="20"/>
    </row>
    <row r="870" customFormat="false" ht="15.75" hidden="false" customHeight="false" outlineLevel="0" collapsed="false">
      <c r="B870" s="20"/>
    </row>
    <row r="871" customFormat="false" ht="15.75" hidden="false" customHeight="false" outlineLevel="0" collapsed="false">
      <c r="B871" s="20"/>
    </row>
    <row r="872" customFormat="false" ht="15.75" hidden="false" customHeight="false" outlineLevel="0" collapsed="false">
      <c r="B872" s="20"/>
    </row>
    <row r="873" customFormat="false" ht="15.75" hidden="false" customHeight="false" outlineLevel="0" collapsed="false">
      <c r="B873" s="20"/>
    </row>
    <row r="874" customFormat="false" ht="15.75" hidden="false" customHeight="false" outlineLevel="0" collapsed="false">
      <c r="B874" s="20"/>
    </row>
    <row r="875" customFormat="false" ht="15.75" hidden="false" customHeight="false" outlineLevel="0" collapsed="false">
      <c r="B875" s="20"/>
    </row>
    <row r="876" customFormat="false" ht="15.75" hidden="false" customHeight="false" outlineLevel="0" collapsed="false">
      <c r="B876" s="20"/>
    </row>
    <row r="877" customFormat="false" ht="15.75" hidden="false" customHeight="false" outlineLevel="0" collapsed="false">
      <c r="B877" s="20"/>
    </row>
    <row r="878" customFormat="false" ht="15.75" hidden="false" customHeight="false" outlineLevel="0" collapsed="false">
      <c r="B878" s="20"/>
    </row>
    <row r="879" customFormat="false" ht="15.75" hidden="false" customHeight="false" outlineLevel="0" collapsed="false">
      <c r="B879" s="20"/>
    </row>
    <row r="880" customFormat="false" ht="15.75" hidden="false" customHeight="false" outlineLevel="0" collapsed="false">
      <c r="B880" s="20"/>
    </row>
    <row r="881" customFormat="false" ht="15.75" hidden="false" customHeight="false" outlineLevel="0" collapsed="false">
      <c r="B881" s="20"/>
    </row>
    <row r="882" customFormat="false" ht="15.75" hidden="false" customHeight="false" outlineLevel="0" collapsed="false">
      <c r="B882" s="20"/>
    </row>
    <row r="883" customFormat="false" ht="15.75" hidden="false" customHeight="false" outlineLevel="0" collapsed="false">
      <c r="B883" s="20"/>
    </row>
    <row r="884" customFormat="false" ht="15.75" hidden="false" customHeight="false" outlineLevel="0" collapsed="false">
      <c r="B884" s="20"/>
    </row>
    <row r="885" customFormat="false" ht="15.75" hidden="false" customHeight="false" outlineLevel="0" collapsed="false">
      <c r="B885" s="20"/>
    </row>
    <row r="886" customFormat="false" ht="15.75" hidden="false" customHeight="false" outlineLevel="0" collapsed="false">
      <c r="B886" s="20"/>
    </row>
    <row r="887" customFormat="false" ht="15.75" hidden="false" customHeight="false" outlineLevel="0" collapsed="false">
      <c r="B887" s="20"/>
    </row>
    <row r="888" customFormat="false" ht="15.75" hidden="false" customHeight="false" outlineLevel="0" collapsed="false">
      <c r="B888" s="20"/>
    </row>
    <row r="889" customFormat="false" ht="15.75" hidden="false" customHeight="false" outlineLevel="0" collapsed="false">
      <c r="B889" s="20"/>
    </row>
    <row r="890" customFormat="false" ht="15.75" hidden="false" customHeight="false" outlineLevel="0" collapsed="false">
      <c r="B890" s="20"/>
    </row>
    <row r="891" customFormat="false" ht="15.75" hidden="false" customHeight="false" outlineLevel="0" collapsed="false">
      <c r="B891" s="20"/>
    </row>
    <row r="892" customFormat="false" ht="15.75" hidden="false" customHeight="false" outlineLevel="0" collapsed="false">
      <c r="B892" s="20"/>
    </row>
    <row r="893" customFormat="false" ht="15.75" hidden="false" customHeight="false" outlineLevel="0" collapsed="false">
      <c r="B893" s="20"/>
    </row>
    <row r="894" customFormat="false" ht="15.75" hidden="false" customHeight="false" outlineLevel="0" collapsed="false">
      <c r="B894" s="20"/>
    </row>
    <row r="895" customFormat="false" ht="15.75" hidden="false" customHeight="false" outlineLevel="0" collapsed="false">
      <c r="B895" s="20"/>
    </row>
    <row r="896" customFormat="false" ht="15.75" hidden="false" customHeight="false" outlineLevel="0" collapsed="false">
      <c r="B896" s="20"/>
    </row>
    <row r="897" customFormat="false" ht="15.75" hidden="false" customHeight="false" outlineLevel="0" collapsed="false">
      <c r="B897" s="20"/>
    </row>
    <row r="898" customFormat="false" ht="15.75" hidden="false" customHeight="false" outlineLevel="0" collapsed="false">
      <c r="B898" s="20"/>
    </row>
    <row r="899" customFormat="false" ht="15.75" hidden="false" customHeight="false" outlineLevel="0" collapsed="false">
      <c r="B899" s="20"/>
    </row>
    <row r="900" customFormat="false" ht="15.75" hidden="false" customHeight="false" outlineLevel="0" collapsed="false">
      <c r="B900" s="20"/>
    </row>
    <row r="901" customFormat="false" ht="15.75" hidden="false" customHeight="false" outlineLevel="0" collapsed="false">
      <c r="B901" s="20"/>
    </row>
    <row r="902" customFormat="false" ht="15.75" hidden="false" customHeight="false" outlineLevel="0" collapsed="false">
      <c r="B902" s="20"/>
    </row>
    <row r="903" customFormat="false" ht="15.75" hidden="false" customHeight="false" outlineLevel="0" collapsed="false">
      <c r="B903" s="20"/>
    </row>
    <row r="904" customFormat="false" ht="15.75" hidden="false" customHeight="false" outlineLevel="0" collapsed="false">
      <c r="B904" s="20"/>
    </row>
    <row r="905" customFormat="false" ht="15.75" hidden="false" customHeight="false" outlineLevel="0" collapsed="false">
      <c r="B905" s="20"/>
    </row>
    <row r="906" customFormat="false" ht="15.75" hidden="false" customHeight="false" outlineLevel="0" collapsed="false">
      <c r="B906" s="20"/>
    </row>
    <row r="907" customFormat="false" ht="15.75" hidden="false" customHeight="false" outlineLevel="0" collapsed="false">
      <c r="B907" s="20"/>
    </row>
    <row r="908" customFormat="false" ht="15.75" hidden="false" customHeight="false" outlineLevel="0" collapsed="false">
      <c r="B908" s="20"/>
    </row>
    <row r="909" customFormat="false" ht="15.75" hidden="false" customHeight="false" outlineLevel="0" collapsed="false">
      <c r="B909" s="20"/>
    </row>
    <row r="910" customFormat="false" ht="15.75" hidden="false" customHeight="false" outlineLevel="0" collapsed="false">
      <c r="B910" s="20"/>
    </row>
    <row r="911" customFormat="false" ht="15.75" hidden="false" customHeight="false" outlineLevel="0" collapsed="false">
      <c r="B911" s="20"/>
    </row>
    <row r="912" customFormat="false" ht="15.75" hidden="false" customHeight="false" outlineLevel="0" collapsed="false">
      <c r="B912" s="20"/>
    </row>
    <row r="913" customFormat="false" ht="15.75" hidden="false" customHeight="false" outlineLevel="0" collapsed="false">
      <c r="B913" s="20"/>
    </row>
    <row r="914" customFormat="false" ht="15.75" hidden="false" customHeight="false" outlineLevel="0" collapsed="false">
      <c r="B914" s="20"/>
    </row>
    <row r="915" customFormat="false" ht="15.75" hidden="false" customHeight="false" outlineLevel="0" collapsed="false">
      <c r="B915" s="20"/>
    </row>
    <row r="916" customFormat="false" ht="15.75" hidden="false" customHeight="false" outlineLevel="0" collapsed="false">
      <c r="B916" s="20"/>
    </row>
    <row r="917" customFormat="false" ht="15.75" hidden="false" customHeight="false" outlineLevel="0" collapsed="false">
      <c r="B917" s="20"/>
    </row>
    <row r="918" customFormat="false" ht="15.75" hidden="false" customHeight="false" outlineLevel="0" collapsed="false">
      <c r="B918" s="20"/>
    </row>
    <row r="919" customFormat="false" ht="15.75" hidden="false" customHeight="false" outlineLevel="0" collapsed="false">
      <c r="B919" s="20"/>
    </row>
    <row r="920" customFormat="false" ht="15.75" hidden="false" customHeight="false" outlineLevel="0" collapsed="false">
      <c r="B920" s="20"/>
    </row>
    <row r="921" customFormat="false" ht="15.75" hidden="false" customHeight="false" outlineLevel="0" collapsed="false">
      <c r="B921" s="20"/>
    </row>
    <row r="922" customFormat="false" ht="15.75" hidden="false" customHeight="false" outlineLevel="0" collapsed="false">
      <c r="B922" s="20"/>
    </row>
    <row r="923" customFormat="false" ht="15.75" hidden="false" customHeight="false" outlineLevel="0" collapsed="false">
      <c r="B923" s="20"/>
    </row>
    <row r="924" customFormat="false" ht="15.75" hidden="false" customHeight="false" outlineLevel="0" collapsed="false">
      <c r="B924" s="20"/>
    </row>
    <row r="925" customFormat="false" ht="15.75" hidden="false" customHeight="false" outlineLevel="0" collapsed="false">
      <c r="B925" s="20"/>
    </row>
    <row r="926" customFormat="false" ht="15.75" hidden="false" customHeight="false" outlineLevel="0" collapsed="false">
      <c r="B926" s="20"/>
    </row>
    <row r="927" customFormat="false" ht="15.75" hidden="false" customHeight="false" outlineLevel="0" collapsed="false">
      <c r="B927" s="20"/>
    </row>
    <row r="928" customFormat="false" ht="15.75" hidden="false" customHeight="false" outlineLevel="0" collapsed="false">
      <c r="B928" s="20"/>
    </row>
    <row r="929" customFormat="false" ht="15.75" hidden="false" customHeight="false" outlineLevel="0" collapsed="false">
      <c r="B929" s="20"/>
    </row>
    <row r="930" customFormat="false" ht="15.75" hidden="false" customHeight="false" outlineLevel="0" collapsed="false">
      <c r="B930" s="20"/>
    </row>
    <row r="931" customFormat="false" ht="15.75" hidden="false" customHeight="false" outlineLevel="0" collapsed="false">
      <c r="B931" s="20"/>
    </row>
    <row r="932" customFormat="false" ht="15.75" hidden="false" customHeight="false" outlineLevel="0" collapsed="false">
      <c r="B932" s="20"/>
    </row>
    <row r="933" customFormat="false" ht="15.75" hidden="false" customHeight="false" outlineLevel="0" collapsed="false">
      <c r="B933" s="20"/>
    </row>
    <row r="934" customFormat="false" ht="15.75" hidden="false" customHeight="false" outlineLevel="0" collapsed="false">
      <c r="B934" s="20"/>
    </row>
    <row r="935" customFormat="false" ht="15.75" hidden="false" customHeight="false" outlineLevel="0" collapsed="false">
      <c r="B935" s="20"/>
    </row>
    <row r="936" customFormat="false" ht="15.75" hidden="false" customHeight="false" outlineLevel="0" collapsed="false">
      <c r="B936" s="20"/>
    </row>
    <row r="937" customFormat="false" ht="15.75" hidden="false" customHeight="false" outlineLevel="0" collapsed="false">
      <c r="B937" s="20"/>
    </row>
    <row r="938" customFormat="false" ht="15.75" hidden="false" customHeight="false" outlineLevel="0" collapsed="false">
      <c r="B938" s="20"/>
    </row>
    <row r="939" customFormat="false" ht="15.75" hidden="false" customHeight="false" outlineLevel="0" collapsed="false">
      <c r="B939" s="20"/>
    </row>
    <row r="940" customFormat="false" ht="15.75" hidden="false" customHeight="false" outlineLevel="0" collapsed="false">
      <c r="B940" s="20"/>
    </row>
    <row r="941" customFormat="false" ht="15.75" hidden="false" customHeight="false" outlineLevel="0" collapsed="false">
      <c r="B941" s="20"/>
    </row>
    <row r="942" customFormat="false" ht="15.75" hidden="false" customHeight="false" outlineLevel="0" collapsed="false">
      <c r="B942" s="20"/>
    </row>
    <row r="943" customFormat="false" ht="15.75" hidden="false" customHeight="false" outlineLevel="0" collapsed="false">
      <c r="B943" s="20"/>
    </row>
    <row r="944" customFormat="false" ht="15.75" hidden="false" customHeight="false" outlineLevel="0" collapsed="false">
      <c r="B944" s="20"/>
    </row>
    <row r="945" customFormat="false" ht="15.75" hidden="false" customHeight="false" outlineLevel="0" collapsed="false">
      <c r="B945" s="20"/>
    </row>
    <row r="946" customFormat="false" ht="15.75" hidden="false" customHeight="false" outlineLevel="0" collapsed="false">
      <c r="B946" s="20"/>
    </row>
    <row r="947" customFormat="false" ht="15.75" hidden="false" customHeight="false" outlineLevel="0" collapsed="false">
      <c r="B947" s="20"/>
    </row>
    <row r="948" customFormat="false" ht="15.75" hidden="false" customHeight="false" outlineLevel="0" collapsed="false">
      <c r="B948" s="20"/>
    </row>
    <row r="949" customFormat="false" ht="15.75" hidden="false" customHeight="false" outlineLevel="0" collapsed="false">
      <c r="B949" s="20"/>
    </row>
    <row r="950" customFormat="false" ht="15.75" hidden="false" customHeight="false" outlineLevel="0" collapsed="false">
      <c r="B950" s="20"/>
    </row>
    <row r="951" customFormat="false" ht="15.75" hidden="false" customHeight="false" outlineLevel="0" collapsed="false">
      <c r="B951" s="20"/>
    </row>
    <row r="952" customFormat="false" ht="15.75" hidden="false" customHeight="false" outlineLevel="0" collapsed="false">
      <c r="B952" s="20"/>
    </row>
    <row r="953" customFormat="false" ht="15.75" hidden="false" customHeight="false" outlineLevel="0" collapsed="false">
      <c r="B953" s="20"/>
    </row>
    <row r="954" customFormat="false" ht="15.75" hidden="false" customHeight="false" outlineLevel="0" collapsed="false">
      <c r="B954" s="20"/>
    </row>
    <row r="955" customFormat="false" ht="15.75" hidden="false" customHeight="false" outlineLevel="0" collapsed="false">
      <c r="B955" s="20"/>
    </row>
    <row r="956" customFormat="false" ht="15.75" hidden="false" customHeight="false" outlineLevel="0" collapsed="false">
      <c r="B956" s="20"/>
    </row>
    <row r="957" customFormat="false" ht="15.75" hidden="false" customHeight="false" outlineLevel="0" collapsed="false">
      <c r="B957" s="20"/>
    </row>
    <row r="958" customFormat="false" ht="15.75" hidden="false" customHeight="false" outlineLevel="0" collapsed="false">
      <c r="B958" s="20"/>
    </row>
    <row r="959" customFormat="false" ht="15.75" hidden="false" customHeight="false" outlineLevel="0" collapsed="false">
      <c r="B959" s="20"/>
    </row>
    <row r="960" customFormat="false" ht="15.75" hidden="false" customHeight="false" outlineLevel="0" collapsed="false">
      <c r="B960" s="20"/>
    </row>
    <row r="961" customFormat="false" ht="15.75" hidden="false" customHeight="false" outlineLevel="0" collapsed="false">
      <c r="B961" s="20"/>
    </row>
    <row r="962" customFormat="false" ht="15.75" hidden="false" customHeight="false" outlineLevel="0" collapsed="false">
      <c r="B962" s="20"/>
    </row>
    <row r="963" customFormat="false" ht="15.75" hidden="false" customHeight="false" outlineLevel="0" collapsed="false">
      <c r="B963" s="20"/>
    </row>
    <row r="964" customFormat="false" ht="15.75" hidden="false" customHeight="false" outlineLevel="0" collapsed="false">
      <c r="B964" s="20"/>
    </row>
    <row r="965" customFormat="false" ht="15.75" hidden="false" customHeight="false" outlineLevel="0" collapsed="false">
      <c r="B965" s="20"/>
    </row>
    <row r="966" customFormat="false" ht="15.75" hidden="false" customHeight="false" outlineLevel="0" collapsed="false">
      <c r="B966" s="20"/>
    </row>
    <row r="967" customFormat="false" ht="15.75" hidden="false" customHeight="false" outlineLevel="0" collapsed="false">
      <c r="B967" s="20"/>
    </row>
    <row r="968" customFormat="false" ht="15.75" hidden="false" customHeight="false" outlineLevel="0" collapsed="false">
      <c r="B968" s="20"/>
    </row>
    <row r="969" customFormat="false" ht="15.75" hidden="false" customHeight="false" outlineLevel="0" collapsed="false">
      <c r="B969" s="20"/>
    </row>
    <row r="970" customFormat="false" ht="15.75" hidden="false" customHeight="false" outlineLevel="0" collapsed="false">
      <c r="B970" s="20"/>
    </row>
    <row r="971" customFormat="false" ht="15.75" hidden="false" customHeight="false" outlineLevel="0" collapsed="false">
      <c r="B971" s="20"/>
    </row>
    <row r="972" customFormat="false" ht="15.75" hidden="false" customHeight="false" outlineLevel="0" collapsed="false">
      <c r="B972" s="20"/>
    </row>
    <row r="973" customFormat="false" ht="15.75" hidden="false" customHeight="false" outlineLevel="0" collapsed="false">
      <c r="B973" s="20"/>
    </row>
    <row r="974" customFormat="false" ht="15.75" hidden="false" customHeight="false" outlineLevel="0" collapsed="false">
      <c r="B974" s="20"/>
    </row>
    <row r="975" customFormat="false" ht="15.75" hidden="false" customHeight="false" outlineLevel="0" collapsed="false">
      <c r="B975" s="20"/>
    </row>
    <row r="976" customFormat="false" ht="15.75" hidden="false" customHeight="false" outlineLevel="0" collapsed="false">
      <c r="B976" s="20"/>
    </row>
    <row r="977" customFormat="false" ht="15.75" hidden="false" customHeight="false" outlineLevel="0" collapsed="false">
      <c r="B977" s="20"/>
    </row>
    <row r="978" customFormat="false" ht="15.75" hidden="false" customHeight="false" outlineLevel="0" collapsed="false">
      <c r="B978" s="20"/>
    </row>
    <row r="979" customFormat="false" ht="15.75" hidden="false" customHeight="false" outlineLevel="0" collapsed="false">
      <c r="B979" s="20"/>
    </row>
    <row r="980" customFormat="false" ht="15.75" hidden="false" customHeight="false" outlineLevel="0" collapsed="false">
      <c r="B980" s="20"/>
    </row>
    <row r="981" customFormat="false" ht="15.75" hidden="false" customHeight="false" outlineLevel="0" collapsed="false">
      <c r="B981" s="20"/>
    </row>
    <row r="982" customFormat="false" ht="15.75" hidden="false" customHeight="false" outlineLevel="0" collapsed="false">
      <c r="B982" s="20"/>
    </row>
    <row r="983" customFormat="false" ht="15.75" hidden="false" customHeight="false" outlineLevel="0" collapsed="false">
      <c r="B983" s="20"/>
    </row>
    <row r="984" customFormat="false" ht="15.75" hidden="false" customHeight="false" outlineLevel="0" collapsed="false">
      <c r="B984" s="20"/>
    </row>
    <row r="985" customFormat="false" ht="15.75" hidden="false" customHeight="false" outlineLevel="0" collapsed="false">
      <c r="B985" s="20"/>
    </row>
    <row r="986" customFormat="false" ht="15.75" hidden="false" customHeight="false" outlineLevel="0" collapsed="false">
      <c r="B986" s="20"/>
    </row>
    <row r="987" customFormat="false" ht="15.75" hidden="false" customHeight="false" outlineLevel="0" collapsed="false">
      <c r="B987" s="20"/>
    </row>
    <row r="988" customFormat="false" ht="15.75" hidden="false" customHeight="false" outlineLevel="0" collapsed="false">
      <c r="B988" s="20"/>
    </row>
    <row r="989" customFormat="false" ht="15.75" hidden="false" customHeight="false" outlineLevel="0" collapsed="false">
      <c r="B989" s="20"/>
    </row>
    <row r="990" customFormat="false" ht="15.75" hidden="false" customHeight="false" outlineLevel="0" collapsed="false">
      <c r="B990" s="20"/>
    </row>
    <row r="991" customFormat="false" ht="15.75" hidden="false" customHeight="false" outlineLevel="0" collapsed="false">
      <c r="B991" s="20"/>
    </row>
    <row r="992" customFormat="false" ht="15.75" hidden="false" customHeight="false" outlineLevel="0" collapsed="false">
      <c r="B992" s="20"/>
    </row>
    <row r="993" customFormat="false" ht="15.75" hidden="false" customHeight="false" outlineLevel="0" collapsed="false">
      <c r="B993" s="20"/>
    </row>
    <row r="994" customFormat="false" ht="15.75" hidden="false" customHeight="false" outlineLevel="0" collapsed="false">
      <c r="B994" s="20"/>
    </row>
    <row r="995" customFormat="false" ht="15.75" hidden="false" customHeight="false" outlineLevel="0" collapsed="false">
      <c r="B995" s="20"/>
    </row>
    <row r="996" customFormat="false" ht="15.75" hidden="false" customHeight="false" outlineLevel="0" collapsed="false">
      <c r="B996" s="20"/>
    </row>
    <row r="997" customFormat="false" ht="15.75" hidden="false" customHeight="false" outlineLevel="0" collapsed="false">
      <c r="B997" s="20"/>
    </row>
    <row r="998" customFormat="false" ht="15.75" hidden="false" customHeight="false" outlineLevel="0" collapsed="false">
      <c r="B998" s="20"/>
    </row>
    <row r="999" customFormat="false" ht="15.75" hidden="false" customHeight="false" outlineLevel="0" collapsed="false">
      <c r="B999" s="20"/>
    </row>
    <row r="1000" customFormat="false" ht="15.75" hidden="false" customHeight="false" outlineLevel="0" collapsed="false">
      <c r="B1000" s="20"/>
    </row>
    <row r="1001" customFormat="false" ht="15.75" hidden="false" customHeight="false" outlineLevel="0" collapsed="false">
      <c r="B1001" s="20"/>
    </row>
    <row r="1002" customFormat="false" ht="15.75" hidden="false" customHeight="false" outlineLevel="0" collapsed="false">
      <c r="B1002" s="20"/>
    </row>
    <row r="1003" customFormat="false" ht="15.75" hidden="false" customHeight="false" outlineLevel="0" collapsed="false">
      <c r="B1003" s="20"/>
    </row>
    <row r="1004" customFormat="false" ht="15.75" hidden="false" customHeight="false" outlineLevel="0" collapsed="false">
      <c r="B1004" s="20"/>
    </row>
    <row r="1005" customFormat="false" ht="15.75" hidden="false" customHeight="false" outlineLevel="0" collapsed="false">
      <c r="B1005" s="20"/>
    </row>
    <row r="1006" customFormat="false" ht="15.75" hidden="false" customHeight="false" outlineLevel="0" collapsed="false">
      <c r="B1006" s="20"/>
    </row>
    <row r="1007" customFormat="false" ht="15.75" hidden="false" customHeight="false" outlineLevel="0" collapsed="false">
      <c r="B1007" s="20"/>
    </row>
    <row r="1008" customFormat="false" ht="15.75" hidden="false" customHeight="false" outlineLevel="0" collapsed="false">
      <c r="B1008" s="20"/>
    </row>
    <row r="1009" customFormat="false" ht="15.75" hidden="false" customHeight="false" outlineLevel="0" collapsed="false">
      <c r="B1009" s="20"/>
    </row>
    <row r="1010" customFormat="false" ht="15.75" hidden="false" customHeight="false" outlineLevel="0" collapsed="false">
      <c r="B1010" s="20"/>
    </row>
    <row r="1011" customFormat="false" ht="15.75" hidden="false" customHeight="false" outlineLevel="0" collapsed="false">
      <c r="B1011" s="20"/>
    </row>
    <row r="1012" customFormat="false" ht="15.75" hidden="false" customHeight="false" outlineLevel="0" collapsed="false">
      <c r="B1012" s="20"/>
    </row>
    <row r="1013" customFormat="false" ht="15.75" hidden="false" customHeight="false" outlineLevel="0" collapsed="false">
      <c r="B1013" s="20"/>
    </row>
    <row r="1014" customFormat="false" ht="15.75" hidden="false" customHeight="false" outlineLevel="0" collapsed="false">
      <c r="B1014" s="20"/>
    </row>
    <row r="1015" customFormat="false" ht="15.75" hidden="false" customHeight="false" outlineLevel="0" collapsed="false">
      <c r="B1015" s="20"/>
    </row>
    <row r="1016" customFormat="false" ht="15.75" hidden="false" customHeight="false" outlineLevel="0" collapsed="false">
      <c r="B1016" s="20"/>
    </row>
    <row r="1017" customFormat="false" ht="15.75" hidden="false" customHeight="false" outlineLevel="0" collapsed="false">
      <c r="B1017" s="20"/>
    </row>
    <row r="1018" customFormat="false" ht="15.75" hidden="false" customHeight="false" outlineLevel="0" collapsed="false">
      <c r="B1018" s="20"/>
    </row>
    <row r="1019" customFormat="false" ht="15.75" hidden="false" customHeight="false" outlineLevel="0" collapsed="false">
      <c r="B1019" s="20"/>
    </row>
    <row r="1020" customFormat="false" ht="15.75" hidden="false" customHeight="false" outlineLevel="0" collapsed="false">
      <c r="B1020" s="20"/>
    </row>
    <row r="1021" customFormat="false" ht="15.75" hidden="false" customHeight="false" outlineLevel="0" collapsed="false">
      <c r="B1021" s="20"/>
    </row>
    <row r="1022" customFormat="false" ht="15.75" hidden="false" customHeight="false" outlineLevel="0" collapsed="false">
      <c r="B1022" s="20"/>
    </row>
    <row r="1023" customFormat="false" ht="15.75" hidden="false" customHeight="false" outlineLevel="0" collapsed="false">
      <c r="B1023" s="20"/>
    </row>
    <row r="1024" customFormat="false" ht="15.75" hidden="false" customHeight="false" outlineLevel="0" collapsed="false">
      <c r="B1024" s="20"/>
    </row>
    <row r="1025" customFormat="false" ht="15.75" hidden="false" customHeight="false" outlineLevel="0" collapsed="false">
      <c r="B1025" s="20"/>
    </row>
    <row r="1026" customFormat="false" ht="15.75" hidden="false" customHeight="false" outlineLevel="0" collapsed="false">
      <c r="B1026" s="20"/>
    </row>
    <row r="1027" customFormat="false" ht="15.75" hidden="false" customHeight="false" outlineLevel="0" collapsed="false">
      <c r="B1027" s="20"/>
    </row>
    <row r="1028" customFormat="false" ht="15.75" hidden="false" customHeight="false" outlineLevel="0" collapsed="false">
      <c r="B1028" s="20"/>
    </row>
    <row r="1029" customFormat="false" ht="15.75" hidden="false" customHeight="false" outlineLevel="0" collapsed="false">
      <c r="B1029" s="20"/>
    </row>
    <row r="1030" customFormat="false" ht="15.75" hidden="false" customHeight="false" outlineLevel="0" collapsed="false">
      <c r="B1030" s="20"/>
    </row>
    <row r="1031" customFormat="false" ht="15.75" hidden="false" customHeight="false" outlineLevel="0" collapsed="false">
      <c r="B1031" s="20"/>
    </row>
    <row r="1032" customFormat="false" ht="15.75" hidden="false" customHeight="false" outlineLevel="0" collapsed="false">
      <c r="B1032" s="20"/>
    </row>
  </sheetData>
  <dataValidations count="1">
    <dataValidation allowBlank="true" errorStyle="stop" operator="between" showDropDown="false" showErrorMessage="true" showInputMessage="false" sqref="B1:B1032" type="list">
      <formula1>Countries!$A:$A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5.13"/>
  </cols>
  <sheetData>
    <row r="1" customFormat="false" ht="15.75" hidden="false" customHeight="false" outlineLevel="0" collapsed="false">
      <c r="A1" s="20" t="s">
        <v>244</v>
      </c>
      <c r="B1" s="23" t="str">
        <f aca="false">IF(A1="-",A1,image("https://public.flourish.studio/country-flags/svg/"&amp;LOWER(A1)&amp;".svg",2))</f>
        <v>-</v>
      </c>
    </row>
    <row r="2" customFormat="false" ht="15.75" hidden="false" customHeight="false" outlineLevel="0" collapsed="false">
      <c r="A2" s="8" t="s">
        <v>1934</v>
      </c>
      <c r="B2" s="23" t="e">
        <f aca="false">IF(A2="-",A2,image("https://public.flourish.studio/country-flags/svg/"&amp;LOWER(A2)&amp;".svg",2))</f>
        <v>#NAME?</v>
      </c>
    </row>
    <row r="3" customFormat="false" ht="15.75" hidden="false" customHeight="false" outlineLevel="0" collapsed="false">
      <c r="A3" s="20" t="s">
        <v>1930</v>
      </c>
      <c r="B3" s="23" t="e">
        <f aca="false">IF(A3="-",A3,image("https://public.flourish.studio/country-flags/svg/"&amp;LOWER(A3)&amp;".svg",2))</f>
        <v>#NAME?</v>
      </c>
    </row>
    <row r="4" customFormat="false" ht="15.75" hidden="false" customHeight="false" outlineLevel="0" collapsed="false">
      <c r="A4" s="20" t="s">
        <v>1927</v>
      </c>
      <c r="B4" s="23" t="e">
        <f aca="false">IF(A4="-",A4,image("https://public.flourish.studio/country-flags/svg/"&amp;LOWER(A4)&amp;".svg",2))</f>
        <v>#NAME?</v>
      </c>
    </row>
    <row r="5" customFormat="false" ht="15.75" hidden="false" customHeight="false" outlineLevel="0" collapsed="false">
      <c r="A5" s="20" t="s">
        <v>1923</v>
      </c>
      <c r="B5" s="23" t="e">
        <f aca="false">IF(A5="-",A5,image("https://public.flourish.studio/country-flags/svg/"&amp;LOWER(A5)&amp;".svg",2))</f>
        <v>#NAME?</v>
      </c>
    </row>
    <row r="6" customFormat="false" ht="15.75" hidden="false" customHeight="false" outlineLevel="0" collapsed="false">
      <c r="A6" s="20" t="s">
        <v>1931</v>
      </c>
      <c r="B6" s="23" t="e">
        <f aca="false">IF(A6="-",A6,image("https://public.flourish.studio/country-flags/svg/"&amp;LOWER(A6)&amp;".svg",2))</f>
        <v>#NAME?</v>
      </c>
    </row>
    <row r="7" customFormat="false" ht="15.75" hidden="false" customHeight="false" outlineLevel="0" collapsed="false">
      <c r="A7" s="20" t="s">
        <v>1921</v>
      </c>
      <c r="B7" s="23" t="e">
        <f aca="false">IF(A7="-",A7,image("https://public.flourish.studio/country-flags/svg/"&amp;LOWER(A7)&amp;".svg",2))</f>
        <v>#NAME?</v>
      </c>
    </row>
    <row r="8" customFormat="false" ht="15.75" hidden="false" customHeight="false" outlineLevel="0" collapsed="false">
      <c r="A8" s="20" t="s">
        <v>1935</v>
      </c>
      <c r="B8" s="23" t="e">
        <f aca="false">IF(A8="-",A8,image("https://public.flourish.studio/country-flags/svg/"&amp;LOWER(A8)&amp;".svg",2))</f>
        <v>#NAME?</v>
      </c>
    </row>
    <row r="9" customFormat="false" ht="15.75" hidden="false" customHeight="false" outlineLevel="0" collapsed="false">
      <c r="A9" s="8" t="s">
        <v>1924</v>
      </c>
      <c r="B9" s="23" t="e">
        <f aca="false">IF(A9="-",A9,image("https://public.flourish.studio/country-flags/svg/"&amp;LOWER(A9)&amp;".svg",2))</f>
        <v>#NAME?</v>
      </c>
    </row>
    <row r="10" customFormat="false" ht="15.75" hidden="false" customHeight="false" outlineLevel="0" collapsed="false">
      <c r="A10" s="20" t="s">
        <v>1920</v>
      </c>
      <c r="B10" s="23" t="e">
        <f aca="false">IF(A10="-",A10,image("https://public.flourish.studio/country-flags/svg/"&amp;LOWER(A10)&amp;".svg",2))</f>
        <v>#NAME?</v>
      </c>
    </row>
    <row r="11" customFormat="false" ht="15.75" hidden="false" customHeight="false" outlineLevel="0" collapsed="false">
      <c r="A11" s="20" t="s">
        <v>1922</v>
      </c>
      <c r="B11" s="23" t="e">
        <f aca="false">IF(A11="-",A11,image("https://public.flourish.studio/country-flags/svg/"&amp;LOWER(A11)&amp;".svg",2))</f>
        <v>#NAME?</v>
      </c>
    </row>
    <row r="12" customFormat="false" ht="15.75" hidden="false" customHeight="false" outlineLevel="0" collapsed="false">
      <c r="A12" s="20" t="s">
        <v>1932</v>
      </c>
      <c r="B12" s="23" t="e">
        <f aca="false">IF(A12="-",A12,image("https://public.flourish.studio/country-flags/svg/"&amp;LOWER(A12)&amp;".svg",2))</f>
        <v>#NAME?</v>
      </c>
    </row>
    <row r="13" customFormat="false" ht="15.75" hidden="false" customHeight="false" outlineLevel="0" collapsed="false">
      <c r="A13" s="20" t="s">
        <v>1917</v>
      </c>
      <c r="B13" s="23" t="e">
        <f aca="false">IF(A13="-",A13,image("https://public.flourish.studio/country-flags/svg/"&amp;LOWER(A13)&amp;".svg",2))</f>
        <v>#NAME?</v>
      </c>
    </row>
    <row r="14" customFormat="false" ht="15.75" hidden="false" customHeight="false" outlineLevel="0" collapsed="false">
      <c r="A14" s="20" t="s">
        <v>1925</v>
      </c>
      <c r="B14" s="23" t="e">
        <f aca="false">IF(A14="-",A14,image("https://public.flourish.studio/country-flags/svg/"&amp;LOWER(A14)&amp;".svg",2))</f>
        <v>#NAME?</v>
      </c>
    </row>
    <row r="15" customFormat="false" ht="15.75" hidden="false" customHeight="false" outlineLevel="0" collapsed="false">
      <c r="A15" s="20" t="s">
        <v>1928</v>
      </c>
      <c r="B15" s="23" t="e">
        <f aca="false">IF(A15="-",A15,image("https://public.flourish.studio/country-flags/svg/"&amp;LOWER(A15)&amp;".svg",2))</f>
        <v>#NAME?</v>
      </c>
    </row>
    <row r="16" customFormat="false" ht="15.75" hidden="false" customHeight="false" outlineLevel="0" collapsed="false">
      <c r="A16" s="20" t="s">
        <v>1933</v>
      </c>
      <c r="B16" s="23" t="e">
        <f aca="false">IF(A16="-",A16,image("https://public.flourish.studio/country-flags/svg/"&amp;LOWER(A16)&amp;".svg",2))</f>
        <v>#NAME?</v>
      </c>
    </row>
    <row r="17" customFormat="false" ht="15.75" hidden="false" customHeight="false" outlineLevel="0" collapsed="false">
      <c r="A17" s="20" t="s">
        <v>1926</v>
      </c>
      <c r="B17" s="23" t="e">
        <f aca="false">IF(A17="-",A17,image("https://public.flourish.studio/country-flags/svg/"&amp;LOWER(A17)&amp;".svg",2))</f>
        <v>#NAME?</v>
      </c>
    </row>
    <row r="18" customFormat="false" ht="15.75" hidden="false" customHeight="false" outlineLevel="0" collapsed="false">
      <c r="A18" s="20" t="s">
        <v>1929</v>
      </c>
      <c r="B18" s="23" t="e">
        <f aca="false">IF(A18="-",A18,image("https://public.flourish.studio/country-flags/svg/"&amp;LOWER(A18)&amp;".svg",2))</f>
        <v>#NAME?</v>
      </c>
    </row>
    <row r="19" customFormat="false" ht="15.75" hidden="false" customHeight="false" outlineLevel="0" collapsed="false">
      <c r="A19" s="20" t="s">
        <v>1918</v>
      </c>
      <c r="B19" s="23" t="e">
        <f aca="false">IF(A19="-",A19,image("https://public.flourish.studio/country-flags/svg/"&amp;LOWER(A19)&amp;".svg",2))</f>
        <v>#NAME?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8" t="s">
        <v>1936</v>
      </c>
      <c r="B1" s="8" t="n">
        <v>4</v>
      </c>
    </row>
    <row r="2" customFormat="false" ht="15.75" hidden="false" customHeight="false" outlineLevel="0" collapsed="false">
      <c r="A2" s="8" t="s">
        <v>1937</v>
      </c>
      <c r="B2" s="8" t="n">
        <v>3</v>
      </c>
    </row>
    <row r="3" customFormat="false" ht="15.75" hidden="false" customHeight="false" outlineLevel="0" collapsed="false">
      <c r="A3" s="8" t="s">
        <v>1938</v>
      </c>
      <c r="B3" s="8" t="n">
        <v>2</v>
      </c>
    </row>
    <row r="4" customFormat="false" ht="15.75" hidden="false" customHeight="false" outlineLevel="0" collapsed="false">
      <c r="A4" s="8" t="s">
        <v>17</v>
      </c>
      <c r="B4" s="8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24" t="n">
        <v>1000</v>
      </c>
      <c r="B1" s="8" t="s">
        <v>17</v>
      </c>
    </row>
    <row r="2" customFormat="false" ht="15.75" hidden="false" customHeight="false" outlineLevel="0" collapsed="false">
      <c r="A2" s="24" t="n">
        <v>2000</v>
      </c>
      <c r="B2" s="8" t="s">
        <v>17</v>
      </c>
    </row>
    <row r="3" customFormat="false" ht="15.75" hidden="false" customHeight="false" outlineLevel="0" collapsed="false">
      <c r="A3" s="24" t="n">
        <v>4000</v>
      </c>
      <c r="B3" s="8" t="s">
        <v>17</v>
      </c>
    </row>
    <row r="4" customFormat="false" ht="15.75" hidden="false" customHeight="false" outlineLevel="0" collapsed="false">
      <c r="A4" s="24" t="n">
        <v>5000</v>
      </c>
      <c r="B4" s="8" t="s">
        <v>17</v>
      </c>
    </row>
    <row r="5" customFormat="false" ht="15.75" hidden="false" customHeight="false" outlineLevel="0" collapsed="false">
      <c r="A5" s="24" t="n">
        <v>10000</v>
      </c>
      <c r="B5" s="8" t="s">
        <v>17</v>
      </c>
    </row>
    <row r="6" customFormat="false" ht="15.75" hidden="false" customHeight="false" outlineLevel="0" collapsed="false">
      <c r="A6" s="24" t="n">
        <v>15000</v>
      </c>
      <c r="B6" s="8" t="s">
        <v>17</v>
      </c>
    </row>
    <row r="7" customFormat="false" ht="15.75" hidden="false" customHeight="false" outlineLevel="0" collapsed="false">
      <c r="A7" s="24" t="n">
        <v>20000</v>
      </c>
      <c r="B7" s="8" t="s">
        <v>17</v>
      </c>
    </row>
    <row r="8" customFormat="false" ht="15.75" hidden="false" customHeight="false" outlineLevel="0" collapsed="false">
      <c r="A8" s="24" t="n">
        <v>25000</v>
      </c>
      <c r="B8" s="8" t="s">
        <v>17</v>
      </c>
    </row>
    <row r="9" customFormat="false" ht="15.75" hidden="false" customHeight="false" outlineLevel="0" collapsed="false">
      <c r="A9" s="24" t="n">
        <v>30000</v>
      </c>
      <c r="B9" s="8" t="s">
        <v>17</v>
      </c>
    </row>
    <row r="10" customFormat="false" ht="15.75" hidden="false" customHeight="false" outlineLevel="0" collapsed="false">
      <c r="A10" s="24" t="n">
        <v>35000</v>
      </c>
      <c r="B10" s="8" t="s">
        <v>17</v>
      </c>
    </row>
    <row r="11" customFormat="false" ht="15.75" hidden="false" customHeight="false" outlineLevel="0" collapsed="false">
      <c r="A11" s="24" t="n">
        <v>40000</v>
      </c>
      <c r="B11" s="8" t="s">
        <v>17</v>
      </c>
    </row>
    <row r="12" customFormat="false" ht="15.75" hidden="false" customHeight="false" outlineLevel="0" collapsed="false">
      <c r="A12" s="24" t="n">
        <v>45000</v>
      </c>
      <c r="B12" s="8" t="s">
        <v>17</v>
      </c>
    </row>
    <row r="13" customFormat="false" ht="15.75" hidden="false" customHeight="false" outlineLevel="0" collapsed="false">
      <c r="A13" s="24" t="n">
        <v>50000</v>
      </c>
      <c r="B13" s="8" t="s">
        <v>17</v>
      </c>
    </row>
    <row r="14" customFormat="false" ht="15.75" hidden="false" customHeight="false" outlineLevel="0" collapsed="false">
      <c r="A14" s="24" t="n">
        <v>90000</v>
      </c>
      <c r="B14" s="8" t="s">
        <v>36</v>
      </c>
    </row>
    <row r="15" customFormat="false" ht="15.75" hidden="false" customHeight="false" outlineLevel="0" collapsed="false">
      <c r="A15" s="24" t="n">
        <v>100000</v>
      </c>
      <c r="B15" s="8" t="s">
        <v>36</v>
      </c>
    </row>
    <row r="16" customFormat="false" ht="15.75" hidden="false" customHeight="false" outlineLevel="0" collapsed="false">
      <c r="A16" s="24" t="n">
        <v>125000</v>
      </c>
      <c r="B16" s="8" t="s">
        <v>36</v>
      </c>
    </row>
    <row r="17" customFormat="false" ht="15.75" hidden="false" customHeight="false" outlineLevel="0" collapsed="false">
      <c r="A17" s="24" t="n">
        <v>150000</v>
      </c>
      <c r="B17" s="8" t="s">
        <v>53</v>
      </c>
    </row>
    <row r="18" customFormat="false" ht="15.75" hidden="false" customHeight="false" outlineLevel="0" collapsed="false">
      <c r="A18" s="24" t="n">
        <v>175000</v>
      </c>
      <c r="B18" s="8" t="s">
        <v>53</v>
      </c>
    </row>
    <row r="19" customFormat="false" ht="15.75" hidden="false" customHeight="false" outlineLevel="0" collapsed="false">
      <c r="A19" s="24" t="n">
        <v>200000</v>
      </c>
      <c r="B19" s="8" t="s">
        <v>53</v>
      </c>
    </row>
    <row r="20" customFormat="false" ht="15.75" hidden="false" customHeight="false" outlineLevel="0" collapsed="false">
      <c r="A20" s="24" t="n">
        <v>250000</v>
      </c>
      <c r="B20" s="8" t="s">
        <v>41</v>
      </c>
    </row>
    <row r="21" customFormat="false" ht="15.75" hidden="false" customHeight="false" outlineLevel="0" collapsed="false">
      <c r="A21" s="24" t="n">
        <v>300000</v>
      </c>
      <c r="B21" s="8" t="s">
        <v>41</v>
      </c>
    </row>
    <row r="22" customFormat="false" ht="15.75" hidden="false" customHeight="false" outlineLevel="0" collapsed="false">
      <c r="B22" s="20"/>
    </row>
    <row r="23" customFormat="false" ht="15.75" hidden="false" customHeight="false" outlineLevel="0" collapsed="false">
      <c r="B23" s="20"/>
    </row>
    <row r="24" customFormat="false" ht="15.75" hidden="false" customHeight="false" outlineLevel="0" collapsed="false">
      <c r="B24" s="20"/>
    </row>
    <row r="25" customFormat="false" ht="15.75" hidden="false" customHeight="false" outlineLevel="0" collapsed="false">
      <c r="B25" s="20"/>
    </row>
    <row r="26" customFormat="false" ht="15.75" hidden="false" customHeight="false" outlineLevel="0" collapsed="false">
      <c r="B26" s="20"/>
    </row>
    <row r="27" customFormat="false" ht="15.75" hidden="false" customHeight="false" outlineLevel="0" collapsed="false">
      <c r="B27" s="20"/>
    </row>
    <row r="28" customFormat="false" ht="15.75" hidden="false" customHeight="false" outlineLevel="0" collapsed="false">
      <c r="B28" s="20"/>
    </row>
    <row r="29" customFormat="false" ht="15.75" hidden="false" customHeight="false" outlineLevel="0" collapsed="false">
      <c r="B29" s="20"/>
    </row>
    <row r="30" customFormat="false" ht="15.75" hidden="false" customHeight="false" outlineLevel="0" collapsed="false">
      <c r="B30" s="20"/>
    </row>
    <row r="31" customFormat="false" ht="15.75" hidden="false" customHeight="false" outlineLevel="0" collapsed="false">
      <c r="B31" s="20"/>
    </row>
    <row r="32" customFormat="false" ht="15.75" hidden="false" customHeight="false" outlineLevel="0" collapsed="false">
      <c r="B32" s="20"/>
    </row>
    <row r="33" customFormat="false" ht="15.75" hidden="false" customHeight="false" outlineLevel="0" collapsed="false">
      <c r="B33" s="20"/>
    </row>
    <row r="34" customFormat="false" ht="15.75" hidden="false" customHeight="false" outlineLevel="0" collapsed="false">
      <c r="B34" s="20"/>
    </row>
    <row r="35" customFormat="false" ht="15.75" hidden="false" customHeight="false" outlineLevel="0" collapsed="false">
      <c r="B35" s="20"/>
    </row>
    <row r="36" customFormat="false" ht="15.75" hidden="false" customHeight="false" outlineLevel="0" collapsed="false">
      <c r="B36" s="20"/>
    </row>
    <row r="37" customFormat="false" ht="15.75" hidden="false" customHeight="false" outlineLevel="0" collapsed="false">
      <c r="B37" s="20"/>
    </row>
    <row r="38" customFormat="false" ht="15.75" hidden="false" customHeight="false" outlineLevel="0" collapsed="false">
      <c r="B38" s="20"/>
    </row>
    <row r="39" customFormat="false" ht="15.75" hidden="false" customHeight="false" outlineLevel="0" collapsed="false">
      <c r="B39" s="20"/>
    </row>
    <row r="40" customFormat="false" ht="15.75" hidden="false" customHeight="false" outlineLevel="0" collapsed="false">
      <c r="B40" s="20"/>
    </row>
    <row r="41" customFormat="false" ht="15.75" hidden="false" customHeight="false" outlineLevel="0" collapsed="false">
      <c r="B41" s="20"/>
    </row>
    <row r="42" customFormat="false" ht="15.75" hidden="false" customHeight="false" outlineLevel="0" collapsed="false">
      <c r="B42" s="20"/>
    </row>
    <row r="43" customFormat="false" ht="15.75" hidden="false" customHeight="false" outlineLevel="0" collapsed="false">
      <c r="B43" s="20"/>
    </row>
    <row r="44" customFormat="false" ht="15.75" hidden="false" customHeight="false" outlineLevel="0" collapsed="false">
      <c r="B44" s="20"/>
    </row>
    <row r="45" customFormat="false" ht="15.75" hidden="false" customHeight="false" outlineLevel="0" collapsed="false">
      <c r="B45" s="20"/>
    </row>
    <row r="46" customFormat="false" ht="15.75" hidden="false" customHeight="false" outlineLevel="0" collapsed="false">
      <c r="B46" s="20"/>
    </row>
    <row r="47" customFormat="false" ht="15.75" hidden="false" customHeight="false" outlineLevel="0" collapsed="false">
      <c r="B47" s="20"/>
    </row>
    <row r="48" customFormat="false" ht="15.75" hidden="false" customHeight="false" outlineLevel="0" collapsed="false">
      <c r="B48" s="20"/>
    </row>
    <row r="49" customFormat="false" ht="15.75" hidden="false" customHeight="false" outlineLevel="0" collapsed="false">
      <c r="B49" s="20"/>
    </row>
    <row r="50" customFormat="false" ht="15.75" hidden="false" customHeight="false" outlineLevel="0" collapsed="false">
      <c r="B50" s="20"/>
    </row>
    <row r="51" customFormat="false" ht="15.75" hidden="false" customHeight="false" outlineLevel="0" collapsed="false">
      <c r="B51" s="20"/>
    </row>
    <row r="52" customFormat="false" ht="15.75" hidden="false" customHeight="false" outlineLevel="0" collapsed="false">
      <c r="B52" s="20"/>
    </row>
    <row r="53" customFormat="false" ht="15.75" hidden="false" customHeight="false" outlineLevel="0" collapsed="false">
      <c r="B53" s="20"/>
    </row>
    <row r="54" customFormat="false" ht="15.75" hidden="false" customHeight="false" outlineLevel="0" collapsed="false">
      <c r="B54" s="20"/>
    </row>
    <row r="55" customFormat="false" ht="15.75" hidden="false" customHeight="false" outlineLevel="0" collapsed="false">
      <c r="B55" s="20"/>
    </row>
    <row r="56" customFormat="false" ht="15.75" hidden="false" customHeight="false" outlineLevel="0" collapsed="false">
      <c r="B56" s="20"/>
    </row>
    <row r="57" customFormat="false" ht="15.75" hidden="false" customHeight="false" outlineLevel="0" collapsed="false">
      <c r="B57" s="20"/>
    </row>
    <row r="58" customFormat="false" ht="15.75" hidden="false" customHeight="false" outlineLevel="0" collapsed="false">
      <c r="B58" s="20"/>
    </row>
    <row r="59" customFormat="false" ht="15.75" hidden="false" customHeight="false" outlineLevel="0" collapsed="false">
      <c r="B59" s="20"/>
    </row>
    <row r="60" customFormat="false" ht="15.75" hidden="false" customHeight="false" outlineLevel="0" collapsed="false">
      <c r="B60" s="20"/>
    </row>
    <row r="61" customFormat="false" ht="15.75" hidden="false" customHeight="false" outlineLevel="0" collapsed="false">
      <c r="B61" s="20"/>
    </row>
    <row r="62" customFormat="false" ht="15.75" hidden="false" customHeight="false" outlineLevel="0" collapsed="false">
      <c r="B62" s="20"/>
    </row>
    <row r="63" customFormat="false" ht="15.75" hidden="false" customHeight="false" outlineLevel="0" collapsed="false">
      <c r="B63" s="20"/>
    </row>
    <row r="64" customFormat="false" ht="15.75" hidden="false" customHeight="false" outlineLevel="0" collapsed="false">
      <c r="B64" s="20"/>
    </row>
    <row r="65" customFormat="false" ht="15.75" hidden="false" customHeight="false" outlineLevel="0" collapsed="false">
      <c r="B65" s="20"/>
    </row>
    <row r="66" customFormat="false" ht="15.75" hidden="false" customHeight="false" outlineLevel="0" collapsed="false">
      <c r="B66" s="20"/>
    </row>
    <row r="67" customFormat="false" ht="15.75" hidden="false" customHeight="false" outlineLevel="0" collapsed="false">
      <c r="B67" s="20"/>
    </row>
    <row r="68" customFormat="false" ht="15.75" hidden="false" customHeight="false" outlineLevel="0" collapsed="false">
      <c r="B68" s="20"/>
    </row>
    <row r="69" customFormat="false" ht="15.75" hidden="false" customHeight="false" outlineLevel="0" collapsed="false">
      <c r="B69" s="20"/>
    </row>
    <row r="70" customFormat="false" ht="15.75" hidden="false" customHeight="false" outlineLevel="0" collapsed="false">
      <c r="B70" s="20"/>
    </row>
    <row r="71" customFormat="false" ht="15.75" hidden="false" customHeight="false" outlineLevel="0" collapsed="false">
      <c r="B71" s="20"/>
    </row>
    <row r="72" customFormat="false" ht="15.75" hidden="false" customHeight="false" outlineLevel="0" collapsed="false">
      <c r="B72" s="20"/>
    </row>
    <row r="73" customFormat="false" ht="15.75" hidden="false" customHeight="false" outlineLevel="0" collapsed="false">
      <c r="B73" s="20"/>
    </row>
    <row r="74" customFormat="false" ht="15.75" hidden="false" customHeight="false" outlineLevel="0" collapsed="false">
      <c r="B74" s="20"/>
    </row>
    <row r="75" customFormat="false" ht="15.75" hidden="false" customHeight="false" outlineLevel="0" collapsed="false">
      <c r="B75" s="20"/>
    </row>
    <row r="76" customFormat="false" ht="15.75" hidden="false" customHeight="false" outlineLevel="0" collapsed="false">
      <c r="B76" s="20"/>
    </row>
    <row r="77" customFormat="false" ht="15.75" hidden="false" customHeight="false" outlineLevel="0" collapsed="false">
      <c r="B77" s="20"/>
    </row>
    <row r="78" customFormat="false" ht="15.75" hidden="false" customHeight="false" outlineLevel="0" collapsed="false">
      <c r="B78" s="20"/>
    </row>
    <row r="79" customFormat="false" ht="15.75" hidden="false" customHeight="false" outlineLevel="0" collapsed="false">
      <c r="B79" s="20"/>
    </row>
    <row r="80" customFormat="false" ht="15.75" hidden="false" customHeight="false" outlineLevel="0" collapsed="false">
      <c r="B80" s="20"/>
    </row>
    <row r="81" customFormat="false" ht="15.75" hidden="false" customHeight="false" outlineLevel="0" collapsed="false">
      <c r="B81" s="20"/>
    </row>
    <row r="82" customFormat="false" ht="15.75" hidden="false" customHeight="false" outlineLevel="0" collapsed="false">
      <c r="B82" s="20"/>
    </row>
    <row r="83" customFormat="false" ht="15.75" hidden="false" customHeight="false" outlineLevel="0" collapsed="false">
      <c r="B83" s="20"/>
    </row>
    <row r="84" customFormat="false" ht="15.75" hidden="false" customHeight="false" outlineLevel="0" collapsed="false">
      <c r="B84" s="20"/>
    </row>
    <row r="85" customFormat="false" ht="15.75" hidden="false" customHeight="false" outlineLevel="0" collapsed="false">
      <c r="B85" s="20"/>
    </row>
    <row r="86" customFormat="false" ht="15.75" hidden="false" customHeight="false" outlineLevel="0" collapsed="false">
      <c r="B86" s="20"/>
    </row>
    <row r="87" customFormat="false" ht="15.75" hidden="false" customHeight="false" outlineLevel="0" collapsed="false">
      <c r="B87" s="20"/>
    </row>
    <row r="88" customFormat="false" ht="15.75" hidden="false" customHeight="false" outlineLevel="0" collapsed="false">
      <c r="B88" s="20"/>
    </row>
    <row r="89" customFormat="false" ht="15.75" hidden="false" customHeight="false" outlineLevel="0" collapsed="false">
      <c r="B89" s="20"/>
    </row>
    <row r="90" customFormat="false" ht="15.75" hidden="false" customHeight="false" outlineLevel="0" collapsed="false">
      <c r="B90" s="20"/>
    </row>
    <row r="91" customFormat="false" ht="15.75" hidden="false" customHeight="false" outlineLevel="0" collapsed="false">
      <c r="B91" s="20"/>
    </row>
    <row r="92" customFormat="false" ht="15.75" hidden="false" customHeight="false" outlineLevel="0" collapsed="false">
      <c r="B92" s="20"/>
    </row>
    <row r="93" customFormat="false" ht="15.75" hidden="false" customHeight="false" outlineLevel="0" collapsed="false">
      <c r="B93" s="20"/>
    </row>
    <row r="94" customFormat="false" ht="15.75" hidden="false" customHeight="false" outlineLevel="0" collapsed="false">
      <c r="B94" s="20"/>
    </row>
    <row r="95" customFormat="false" ht="15.75" hidden="false" customHeight="false" outlineLevel="0" collapsed="false">
      <c r="B95" s="20"/>
    </row>
    <row r="96" customFormat="false" ht="15.75" hidden="false" customHeight="false" outlineLevel="0" collapsed="false">
      <c r="B96" s="20"/>
    </row>
    <row r="97" customFormat="false" ht="15.75" hidden="false" customHeight="false" outlineLevel="0" collapsed="false">
      <c r="B97" s="20"/>
    </row>
    <row r="98" customFormat="false" ht="15.75" hidden="false" customHeight="false" outlineLevel="0" collapsed="false">
      <c r="B98" s="20"/>
    </row>
    <row r="99" customFormat="false" ht="15.75" hidden="false" customHeight="false" outlineLevel="0" collapsed="false">
      <c r="B99" s="20"/>
    </row>
    <row r="100" customFormat="false" ht="15.75" hidden="false" customHeight="false" outlineLevel="0" collapsed="false">
      <c r="B100" s="20"/>
    </row>
    <row r="101" customFormat="false" ht="15.75" hidden="false" customHeight="false" outlineLevel="0" collapsed="false">
      <c r="B101" s="20"/>
    </row>
    <row r="102" customFormat="false" ht="15.75" hidden="false" customHeight="false" outlineLevel="0" collapsed="false">
      <c r="B102" s="20"/>
    </row>
    <row r="103" customFormat="false" ht="15.75" hidden="false" customHeight="false" outlineLevel="0" collapsed="false">
      <c r="B103" s="20"/>
    </row>
    <row r="104" customFormat="false" ht="15.75" hidden="false" customHeight="false" outlineLevel="0" collapsed="false">
      <c r="B104" s="20"/>
    </row>
    <row r="105" customFormat="false" ht="15.75" hidden="false" customHeight="false" outlineLevel="0" collapsed="false">
      <c r="B105" s="20"/>
    </row>
    <row r="106" customFormat="false" ht="15.75" hidden="false" customHeight="false" outlineLevel="0" collapsed="false">
      <c r="B106" s="20"/>
    </row>
    <row r="107" customFormat="false" ht="15.75" hidden="false" customHeight="false" outlineLevel="0" collapsed="false">
      <c r="B107" s="20"/>
    </row>
    <row r="108" customFormat="false" ht="15.75" hidden="false" customHeight="false" outlineLevel="0" collapsed="false">
      <c r="B108" s="20"/>
    </row>
    <row r="109" customFormat="false" ht="15.75" hidden="false" customHeight="false" outlineLevel="0" collapsed="false">
      <c r="B109" s="20"/>
    </row>
    <row r="110" customFormat="false" ht="15.75" hidden="false" customHeight="false" outlineLevel="0" collapsed="false">
      <c r="B110" s="20"/>
    </row>
    <row r="111" customFormat="false" ht="15.75" hidden="false" customHeight="false" outlineLevel="0" collapsed="false">
      <c r="B111" s="20"/>
    </row>
    <row r="112" customFormat="false" ht="15.75" hidden="false" customHeight="false" outlineLevel="0" collapsed="false">
      <c r="B112" s="20"/>
    </row>
    <row r="113" customFormat="false" ht="15.75" hidden="false" customHeight="false" outlineLevel="0" collapsed="false">
      <c r="B113" s="20"/>
    </row>
    <row r="114" customFormat="false" ht="15.75" hidden="false" customHeight="false" outlineLevel="0" collapsed="false">
      <c r="B114" s="20"/>
    </row>
    <row r="115" customFormat="false" ht="15.75" hidden="false" customHeight="false" outlineLevel="0" collapsed="false">
      <c r="B115" s="20"/>
    </row>
    <row r="116" customFormat="false" ht="15.75" hidden="false" customHeight="false" outlineLevel="0" collapsed="false">
      <c r="B116" s="20"/>
    </row>
    <row r="117" customFormat="false" ht="15.75" hidden="false" customHeight="false" outlineLevel="0" collapsed="false">
      <c r="B117" s="20"/>
    </row>
    <row r="118" customFormat="false" ht="15.75" hidden="false" customHeight="false" outlineLevel="0" collapsed="false">
      <c r="B118" s="20"/>
    </row>
    <row r="119" customFormat="false" ht="15.75" hidden="false" customHeight="false" outlineLevel="0" collapsed="false">
      <c r="B119" s="20"/>
    </row>
    <row r="120" customFormat="false" ht="15.75" hidden="false" customHeight="false" outlineLevel="0" collapsed="false">
      <c r="B120" s="20"/>
    </row>
    <row r="121" customFormat="false" ht="15.75" hidden="false" customHeight="false" outlineLevel="0" collapsed="false">
      <c r="B121" s="20"/>
    </row>
    <row r="122" customFormat="false" ht="15.75" hidden="false" customHeight="false" outlineLevel="0" collapsed="false">
      <c r="B122" s="20"/>
    </row>
    <row r="123" customFormat="false" ht="15.75" hidden="false" customHeight="false" outlineLevel="0" collapsed="false">
      <c r="B123" s="20"/>
    </row>
    <row r="124" customFormat="false" ht="15.75" hidden="false" customHeight="false" outlineLevel="0" collapsed="false">
      <c r="B124" s="20"/>
    </row>
    <row r="125" customFormat="false" ht="15.75" hidden="false" customHeight="false" outlineLevel="0" collapsed="false">
      <c r="B125" s="20"/>
    </row>
    <row r="126" customFormat="false" ht="15.75" hidden="false" customHeight="false" outlineLevel="0" collapsed="false">
      <c r="B126" s="20"/>
    </row>
    <row r="127" customFormat="false" ht="15.75" hidden="false" customHeight="false" outlineLevel="0" collapsed="false">
      <c r="B127" s="20"/>
    </row>
    <row r="128" customFormat="false" ht="15.75" hidden="false" customHeight="false" outlineLevel="0" collapsed="false">
      <c r="B128" s="20"/>
    </row>
    <row r="129" customFormat="false" ht="15.75" hidden="false" customHeight="false" outlineLevel="0" collapsed="false">
      <c r="B129" s="20"/>
    </row>
    <row r="130" customFormat="false" ht="15.75" hidden="false" customHeight="false" outlineLevel="0" collapsed="false">
      <c r="B130" s="20"/>
    </row>
    <row r="131" customFormat="false" ht="15.75" hidden="false" customHeight="false" outlineLevel="0" collapsed="false">
      <c r="B131" s="20"/>
    </row>
    <row r="132" customFormat="false" ht="15.75" hidden="false" customHeight="false" outlineLevel="0" collapsed="false">
      <c r="B132" s="20"/>
    </row>
    <row r="133" customFormat="false" ht="15.75" hidden="false" customHeight="false" outlineLevel="0" collapsed="false">
      <c r="B133" s="20"/>
    </row>
    <row r="134" customFormat="false" ht="15.75" hidden="false" customHeight="false" outlineLevel="0" collapsed="false">
      <c r="B134" s="20"/>
    </row>
    <row r="135" customFormat="false" ht="15.75" hidden="false" customHeight="false" outlineLevel="0" collapsed="false">
      <c r="B135" s="20"/>
    </row>
    <row r="136" customFormat="false" ht="15.75" hidden="false" customHeight="false" outlineLevel="0" collapsed="false">
      <c r="B136" s="20"/>
    </row>
    <row r="137" customFormat="false" ht="15.75" hidden="false" customHeight="false" outlineLevel="0" collapsed="false">
      <c r="B137" s="20"/>
    </row>
    <row r="138" customFormat="false" ht="15.75" hidden="false" customHeight="false" outlineLevel="0" collapsed="false">
      <c r="B138" s="20"/>
    </row>
    <row r="139" customFormat="false" ht="15.75" hidden="false" customHeight="false" outlineLevel="0" collapsed="false">
      <c r="B139" s="20"/>
    </row>
    <row r="140" customFormat="false" ht="15.75" hidden="false" customHeight="false" outlineLevel="0" collapsed="false">
      <c r="B140" s="20"/>
    </row>
    <row r="141" customFormat="false" ht="15.75" hidden="false" customHeight="false" outlineLevel="0" collapsed="false">
      <c r="B141" s="20"/>
    </row>
    <row r="142" customFormat="false" ht="15.75" hidden="false" customHeight="false" outlineLevel="0" collapsed="false">
      <c r="B142" s="20"/>
    </row>
    <row r="143" customFormat="false" ht="15.75" hidden="false" customHeight="false" outlineLevel="0" collapsed="false">
      <c r="B143" s="20"/>
    </row>
    <row r="144" customFormat="false" ht="15.75" hidden="false" customHeight="false" outlineLevel="0" collapsed="false">
      <c r="B144" s="20"/>
    </row>
    <row r="145" customFormat="false" ht="15.75" hidden="false" customHeight="false" outlineLevel="0" collapsed="false">
      <c r="B145" s="20"/>
    </row>
    <row r="146" customFormat="false" ht="15.75" hidden="false" customHeight="false" outlineLevel="0" collapsed="false">
      <c r="B146" s="20"/>
    </row>
    <row r="147" customFormat="false" ht="15.75" hidden="false" customHeight="false" outlineLevel="0" collapsed="false">
      <c r="B147" s="20"/>
    </row>
    <row r="148" customFormat="false" ht="15.75" hidden="false" customHeight="false" outlineLevel="0" collapsed="false">
      <c r="B148" s="20"/>
    </row>
    <row r="149" customFormat="false" ht="15.75" hidden="false" customHeight="false" outlineLevel="0" collapsed="false">
      <c r="B149" s="20"/>
    </row>
    <row r="150" customFormat="false" ht="15.75" hidden="false" customHeight="false" outlineLevel="0" collapsed="false">
      <c r="B150" s="20"/>
    </row>
    <row r="151" customFormat="false" ht="15.75" hidden="false" customHeight="false" outlineLevel="0" collapsed="false">
      <c r="B151" s="20"/>
    </row>
    <row r="152" customFormat="false" ht="15.75" hidden="false" customHeight="false" outlineLevel="0" collapsed="false">
      <c r="B152" s="20"/>
    </row>
    <row r="153" customFormat="false" ht="15.75" hidden="false" customHeight="false" outlineLevel="0" collapsed="false">
      <c r="B153" s="20"/>
    </row>
    <row r="154" customFormat="false" ht="15.75" hidden="false" customHeight="false" outlineLevel="0" collapsed="false">
      <c r="B154" s="20"/>
    </row>
    <row r="155" customFormat="false" ht="15.75" hidden="false" customHeight="false" outlineLevel="0" collapsed="false">
      <c r="B155" s="20"/>
    </row>
    <row r="156" customFormat="false" ht="15.75" hidden="false" customHeight="false" outlineLevel="0" collapsed="false">
      <c r="B156" s="20"/>
    </row>
    <row r="157" customFormat="false" ht="15.75" hidden="false" customHeight="false" outlineLevel="0" collapsed="false">
      <c r="B157" s="20"/>
    </row>
    <row r="158" customFormat="false" ht="15.75" hidden="false" customHeight="false" outlineLevel="0" collapsed="false">
      <c r="B158" s="20"/>
    </row>
    <row r="159" customFormat="false" ht="15.75" hidden="false" customHeight="false" outlineLevel="0" collapsed="false">
      <c r="B159" s="20"/>
    </row>
    <row r="160" customFormat="false" ht="15.75" hidden="false" customHeight="false" outlineLevel="0" collapsed="false">
      <c r="B160" s="20"/>
    </row>
    <row r="161" customFormat="false" ht="15.75" hidden="false" customHeight="false" outlineLevel="0" collapsed="false">
      <c r="B161" s="20"/>
    </row>
    <row r="162" customFormat="false" ht="15.75" hidden="false" customHeight="false" outlineLevel="0" collapsed="false">
      <c r="B162" s="20"/>
    </row>
    <row r="163" customFormat="false" ht="15.75" hidden="false" customHeight="false" outlineLevel="0" collapsed="false">
      <c r="B163" s="20"/>
    </row>
    <row r="164" customFormat="false" ht="15.75" hidden="false" customHeight="false" outlineLevel="0" collapsed="false">
      <c r="B164" s="20"/>
    </row>
    <row r="165" customFormat="false" ht="15.75" hidden="false" customHeight="false" outlineLevel="0" collapsed="false">
      <c r="B165" s="20"/>
    </row>
    <row r="166" customFormat="false" ht="15.75" hidden="false" customHeight="false" outlineLevel="0" collapsed="false">
      <c r="B166" s="20"/>
    </row>
    <row r="167" customFormat="false" ht="15.75" hidden="false" customHeight="false" outlineLevel="0" collapsed="false">
      <c r="B167" s="20"/>
    </row>
    <row r="168" customFormat="false" ht="15.75" hidden="false" customHeight="false" outlineLevel="0" collapsed="false">
      <c r="B168" s="20"/>
    </row>
    <row r="169" customFormat="false" ht="15.75" hidden="false" customHeight="false" outlineLevel="0" collapsed="false">
      <c r="B169" s="20"/>
    </row>
    <row r="170" customFormat="false" ht="15.75" hidden="false" customHeight="false" outlineLevel="0" collapsed="false">
      <c r="B170" s="20"/>
    </row>
    <row r="171" customFormat="false" ht="15.75" hidden="false" customHeight="false" outlineLevel="0" collapsed="false">
      <c r="B171" s="20"/>
    </row>
    <row r="172" customFormat="false" ht="15.75" hidden="false" customHeight="false" outlineLevel="0" collapsed="false">
      <c r="B172" s="20"/>
    </row>
    <row r="173" customFormat="false" ht="15.75" hidden="false" customHeight="false" outlineLevel="0" collapsed="false">
      <c r="B173" s="20"/>
    </row>
    <row r="174" customFormat="false" ht="15.75" hidden="false" customHeight="false" outlineLevel="0" collapsed="false">
      <c r="B174" s="20"/>
    </row>
    <row r="175" customFormat="false" ht="15.75" hidden="false" customHeight="false" outlineLevel="0" collapsed="false">
      <c r="B175" s="20"/>
    </row>
    <row r="176" customFormat="false" ht="15.75" hidden="false" customHeight="false" outlineLevel="0" collapsed="false">
      <c r="B176" s="20"/>
    </row>
    <row r="177" customFormat="false" ht="15.75" hidden="false" customHeight="false" outlineLevel="0" collapsed="false">
      <c r="B177" s="20"/>
    </row>
    <row r="178" customFormat="false" ht="15.75" hidden="false" customHeight="false" outlineLevel="0" collapsed="false">
      <c r="B178" s="20"/>
    </row>
    <row r="179" customFormat="false" ht="15.75" hidden="false" customHeight="false" outlineLevel="0" collapsed="false">
      <c r="B179" s="20"/>
    </row>
    <row r="180" customFormat="false" ht="15.75" hidden="false" customHeight="false" outlineLevel="0" collapsed="false">
      <c r="B180" s="20"/>
    </row>
    <row r="181" customFormat="false" ht="15.75" hidden="false" customHeight="false" outlineLevel="0" collapsed="false">
      <c r="B181" s="20"/>
    </row>
    <row r="182" customFormat="false" ht="15.75" hidden="false" customHeight="false" outlineLevel="0" collapsed="false">
      <c r="B182" s="20"/>
    </row>
    <row r="183" customFormat="false" ht="15.75" hidden="false" customHeight="false" outlineLevel="0" collapsed="false">
      <c r="B183" s="20"/>
    </row>
    <row r="184" customFormat="false" ht="15.75" hidden="false" customHeight="false" outlineLevel="0" collapsed="false">
      <c r="B184" s="20"/>
    </row>
    <row r="185" customFormat="false" ht="15.75" hidden="false" customHeight="false" outlineLevel="0" collapsed="false">
      <c r="B185" s="20"/>
    </row>
    <row r="186" customFormat="false" ht="15.75" hidden="false" customHeight="false" outlineLevel="0" collapsed="false">
      <c r="B186" s="20"/>
    </row>
    <row r="187" customFormat="false" ht="15.75" hidden="false" customHeight="false" outlineLevel="0" collapsed="false">
      <c r="B187" s="20"/>
    </row>
    <row r="188" customFormat="false" ht="15.75" hidden="false" customHeight="false" outlineLevel="0" collapsed="false">
      <c r="B188" s="20"/>
    </row>
    <row r="189" customFormat="false" ht="15.75" hidden="false" customHeight="false" outlineLevel="0" collapsed="false">
      <c r="B189" s="20"/>
    </row>
    <row r="190" customFormat="false" ht="15.75" hidden="false" customHeight="false" outlineLevel="0" collapsed="false">
      <c r="B190" s="20"/>
    </row>
    <row r="191" customFormat="false" ht="15.75" hidden="false" customHeight="false" outlineLevel="0" collapsed="false">
      <c r="B191" s="20"/>
    </row>
    <row r="192" customFormat="false" ht="15.75" hidden="false" customHeight="false" outlineLevel="0" collapsed="false">
      <c r="B192" s="20"/>
    </row>
    <row r="193" customFormat="false" ht="15.75" hidden="false" customHeight="false" outlineLevel="0" collapsed="false">
      <c r="B193" s="20"/>
    </row>
    <row r="194" customFormat="false" ht="15.75" hidden="false" customHeight="false" outlineLevel="0" collapsed="false">
      <c r="B194" s="20"/>
    </row>
    <row r="195" customFormat="false" ht="15.75" hidden="false" customHeight="false" outlineLevel="0" collapsed="false">
      <c r="B195" s="20"/>
    </row>
    <row r="196" customFormat="false" ht="15.75" hidden="false" customHeight="false" outlineLevel="0" collapsed="false">
      <c r="B196" s="20"/>
    </row>
    <row r="197" customFormat="false" ht="15.75" hidden="false" customHeight="false" outlineLevel="0" collapsed="false">
      <c r="B197" s="20"/>
    </row>
    <row r="198" customFormat="false" ht="15.75" hidden="false" customHeight="false" outlineLevel="0" collapsed="false">
      <c r="B198" s="20"/>
    </row>
    <row r="199" customFormat="false" ht="15.75" hidden="false" customHeight="false" outlineLevel="0" collapsed="false">
      <c r="B199" s="20"/>
    </row>
    <row r="200" customFormat="false" ht="15.75" hidden="false" customHeight="false" outlineLevel="0" collapsed="false">
      <c r="B200" s="20"/>
    </row>
    <row r="201" customFormat="false" ht="15.75" hidden="false" customHeight="false" outlineLevel="0" collapsed="false">
      <c r="B201" s="20"/>
    </row>
    <row r="202" customFormat="false" ht="15.75" hidden="false" customHeight="false" outlineLevel="0" collapsed="false">
      <c r="B202" s="20"/>
    </row>
    <row r="203" customFormat="false" ht="15.75" hidden="false" customHeight="false" outlineLevel="0" collapsed="false">
      <c r="B203" s="20"/>
    </row>
    <row r="204" customFormat="false" ht="15.75" hidden="false" customHeight="false" outlineLevel="0" collapsed="false">
      <c r="B204" s="20"/>
    </row>
    <row r="205" customFormat="false" ht="15.75" hidden="false" customHeight="false" outlineLevel="0" collapsed="false">
      <c r="B205" s="20"/>
    </row>
    <row r="206" customFormat="false" ht="15.75" hidden="false" customHeight="false" outlineLevel="0" collapsed="false">
      <c r="B206" s="20"/>
    </row>
    <row r="207" customFormat="false" ht="15.75" hidden="false" customHeight="false" outlineLevel="0" collapsed="false">
      <c r="B207" s="20"/>
    </row>
    <row r="208" customFormat="false" ht="15.75" hidden="false" customHeight="false" outlineLevel="0" collapsed="false">
      <c r="B208" s="20"/>
    </row>
    <row r="209" customFormat="false" ht="15.75" hidden="false" customHeight="false" outlineLevel="0" collapsed="false">
      <c r="B209" s="20"/>
    </row>
    <row r="210" customFormat="false" ht="15.75" hidden="false" customHeight="false" outlineLevel="0" collapsed="false">
      <c r="B210" s="20"/>
    </row>
    <row r="211" customFormat="false" ht="15.75" hidden="false" customHeight="false" outlineLevel="0" collapsed="false">
      <c r="B211" s="20"/>
    </row>
    <row r="212" customFormat="false" ht="15.75" hidden="false" customHeight="false" outlineLevel="0" collapsed="false">
      <c r="B212" s="20"/>
    </row>
    <row r="213" customFormat="false" ht="15.75" hidden="false" customHeight="false" outlineLevel="0" collapsed="false">
      <c r="B213" s="20"/>
    </row>
    <row r="214" customFormat="false" ht="15.75" hidden="false" customHeight="false" outlineLevel="0" collapsed="false">
      <c r="B214" s="20"/>
    </row>
    <row r="215" customFormat="false" ht="15.75" hidden="false" customHeight="false" outlineLevel="0" collapsed="false">
      <c r="B215" s="20"/>
    </row>
    <row r="216" customFormat="false" ht="15.75" hidden="false" customHeight="false" outlineLevel="0" collapsed="false">
      <c r="B216" s="20"/>
    </row>
    <row r="217" customFormat="false" ht="15.75" hidden="false" customHeight="false" outlineLevel="0" collapsed="false">
      <c r="B217" s="20"/>
    </row>
    <row r="218" customFormat="false" ht="15.75" hidden="false" customHeight="false" outlineLevel="0" collapsed="false">
      <c r="B218" s="20"/>
    </row>
    <row r="219" customFormat="false" ht="15.75" hidden="false" customHeight="false" outlineLevel="0" collapsed="false">
      <c r="B219" s="20"/>
    </row>
    <row r="220" customFormat="false" ht="15.75" hidden="false" customHeight="false" outlineLevel="0" collapsed="false">
      <c r="B220" s="20"/>
    </row>
    <row r="221" customFormat="false" ht="15.75" hidden="false" customHeight="false" outlineLevel="0" collapsed="false">
      <c r="B221" s="20"/>
    </row>
    <row r="222" customFormat="false" ht="15.75" hidden="false" customHeight="false" outlineLevel="0" collapsed="false">
      <c r="B222" s="20"/>
    </row>
    <row r="223" customFormat="false" ht="15.75" hidden="false" customHeight="false" outlineLevel="0" collapsed="false">
      <c r="B223" s="20"/>
    </row>
    <row r="224" customFormat="false" ht="15.75" hidden="false" customHeight="false" outlineLevel="0" collapsed="false">
      <c r="B224" s="20"/>
    </row>
    <row r="225" customFormat="false" ht="15.75" hidden="false" customHeight="false" outlineLevel="0" collapsed="false">
      <c r="B225" s="20"/>
    </row>
    <row r="226" customFormat="false" ht="15.75" hidden="false" customHeight="false" outlineLevel="0" collapsed="false">
      <c r="B226" s="20"/>
    </row>
    <row r="227" customFormat="false" ht="15.75" hidden="false" customHeight="false" outlineLevel="0" collapsed="false">
      <c r="B227" s="20"/>
    </row>
    <row r="228" customFormat="false" ht="15.75" hidden="false" customHeight="false" outlineLevel="0" collapsed="false">
      <c r="B228" s="20"/>
    </row>
    <row r="229" customFormat="false" ht="15.75" hidden="false" customHeight="false" outlineLevel="0" collapsed="false">
      <c r="B229" s="20"/>
    </row>
    <row r="230" customFormat="false" ht="15.75" hidden="false" customHeight="false" outlineLevel="0" collapsed="false">
      <c r="B230" s="20"/>
    </row>
    <row r="231" customFormat="false" ht="15.75" hidden="false" customHeight="false" outlineLevel="0" collapsed="false">
      <c r="B231" s="20"/>
    </row>
    <row r="232" customFormat="false" ht="15.75" hidden="false" customHeight="false" outlineLevel="0" collapsed="false">
      <c r="B232" s="20"/>
    </row>
    <row r="233" customFormat="false" ht="15.75" hidden="false" customHeight="false" outlineLevel="0" collapsed="false">
      <c r="B233" s="20"/>
    </row>
    <row r="234" customFormat="false" ht="15.75" hidden="false" customHeight="false" outlineLevel="0" collapsed="false">
      <c r="B234" s="20"/>
    </row>
    <row r="235" customFormat="false" ht="15.75" hidden="false" customHeight="false" outlineLevel="0" collapsed="false">
      <c r="B235" s="20"/>
    </row>
    <row r="236" customFormat="false" ht="15.75" hidden="false" customHeight="false" outlineLevel="0" collapsed="false">
      <c r="B236" s="20"/>
    </row>
    <row r="237" customFormat="false" ht="15.75" hidden="false" customHeight="false" outlineLevel="0" collapsed="false">
      <c r="B237" s="20"/>
    </row>
    <row r="238" customFormat="false" ht="15.75" hidden="false" customHeight="false" outlineLevel="0" collapsed="false">
      <c r="B238" s="20"/>
    </row>
    <row r="239" customFormat="false" ht="15.75" hidden="false" customHeight="false" outlineLevel="0" collapsed="false">
      <c r="B239" s="20"/>
    </row>
    <row r="240" customFormat="false" ht="15.75" hidden="false" customHeight="false" outlineLevel="0" collapsed="false">
      <c r="B240" s="20"/>
    </row>
    <row r="241" customFormat="false" ht="15.75" hidden="false" customHeight="false" outlineLevel="0" collapsed="false">
      <c r="B241" s="20"/>
    </row>
    <row r="242" customFormat="false" ht="15.75" hidden="false" customHeight="false" outlineLevel="0" collapsed="false">
      <c r="B242" s="20"/>
    </row>
    <row r="243" customFormat="false" ht="15.75" hidden="false" customHeight="false" outlineLevel="0" collapsed="false">
      <c r="B243" s="20"/>
    </row>
    <row r="244" customFormat="false" ht="15.75" hidden="false" customHeight="false" outlineLevel="0" collapsed="false">
      <c r="B244" s="20"/>
    </row>
    <row r="245" customFormat="false" ht="15.75" hidden="false" customHeight="false" outlineLevel="0" collapsed="false">
      <c r="B245" s="20"/>
    </row>
    <row r="246" customFormat="false" ht="15.75" hidden="false" customHeight="false" outlineLevel="0" collapsed="false">
      <c r="B246" s="20"/>
    </row>
    <row r="247" customFormat="false" ht="15.75" hidden="false" customHeight="false" outlineLevel="0" collapsed="false">
      <c r="B247" s="20"/>
    </row>
    <row r="248" customFormat="false" ht="15.75" hidden="false" customHeight="false" outlineLevel="0" collapsed="false">
      <c r="B248" s="20"/>
    </row>
    <row r="249" customFormat="false" ht="15.75" hidden="false" customHeight="false" outlineLevel="0" collapsed="false">
      <c r="B249" s="20"/>
    </row>
    <row r="250" customFormat="false" ht="15.75" hidden="false" customHeight="false" outlineLevel="0" collapsed="false">
      <c r="B250" s="20"/>
    </row>
    <row r="251" customFormat="false" ht="15.75" hidden="false" customHeight="false" outlineLevel="0" collapsed="false">
      <c r="B251" s="20"/>
    </row>
    <row r="252" customFormat="false" ht="15.75" hidden="false" customHeight="false" outlineLevel="0" collapsed="false">
      <c r="B252" s="20"/>
    </row>
    <row r="253" customFormat="false" ht="15.75" hidden="false" customHeight="false" outlineLevel="0" collapsed="false">
      <c r="B253" s="20"/>
    </row>
    <row r="254" customFormat="false" ht="15.75" hidden="false" customHeight="false" outlineLevel="0" collapsed="false">
      <c r="B254" s="20"/>
    </row>
    <row r="255" customFormat="false" ht="15.75" hidden="false" customHeight="false" outlineLevel="0" collapsed="false">
      <c r="B255" s="20"/>
    </row>
    <row r="256" customFormat="false" ht="15.75" hidden="false" customHeight="false" outlineLevel="0" collapsed="false">
      <c r="B256" s="20"/>
    </row>
    <row r="257" customFormat="false" ht="15.75" hidden="false" customHeight="false" outlineLevel="0" collapsed="false">
      <c r="B257" s="20"/>
    </row>
    <row r="258" customFormat="false" ht="15.75" hidden="false" customHeight="false" outlineLevel="0" collapsed="false">
      <c r="B258" s="20"/>
    </row>
    <row r="259" customFormat="false" ht="15.75" hidden="false" customHeight="false" outlineLevel="0" collapsed="false">
      <c r="B259" s="20"/>
    </row>
    <row r="260" customFormat="false" ht="15.75" hidden="false" customHeight="false" outlineLevel="0" collapsed="false">
      <c r="B260" s="20"/>
    </row>
    <row r="261" customFormat="false" ht="15.75" hidden="false" customHeight="false" outlineLevel="0" collapsed="false">
      <c r="B261" s="20"/>
    </row>
    <row r="262" customFormat="false" ht="15.75" hidden="false" customHeight="false" outlineLevel="0" collapsed="false">
      <c r="B262" s="20"/>
    </row>
    <row r="263" customFormat="false" ht="15.75" hidden="false" customHeight="false" outlineLevel="0" collapsed="false">
      <c r="B263" s="20"/>
    </row>
    <row r="264" customFormat="false" ht="15.75" hidden="false" customHeight="false" outlineLevel="0" collapsed="false">
      <c r="B264" s="20"/>
    </row>
    <row r="265" customFormat="false" ht="15.75" hidden="false" customHeight="false" outlineLevel="0" collapsed="false">
      <c r="B265" s="20"/>
    </row>
    <row r="266" customFormat="false" ht="15.75" hidden="false" customHeight="false" outlineLevel="0" collapsed="false">
      <c r="B266" s="20"/>
    </row>
    <row r="267" customFormat="false" ht="15.75" hidden="false" customHeight="false" outlineLevel="0" collapsed="false">
      <c r="B267" s="20"/>
    </row>
    <row r="268" customFormat="false" ht="15.75" hidden="false" customHeight="false" outlineLevel="0" collapsed="false">
      <c r="B268" s="20"/>
    </row>
    <row r="269" customFormat="false" ht="15.75" hidden="false" customHeight="false" outlineLevel="0" collapsed="false">
      <c r="B269" s="20"/>
    </row>
    <row r="270" customFormat="false" ht="15.75" hidden="false" customHeight="false" outlineLevel="0" collapsed="false">
      <c r="B270" s="20"/>
    </row>
    <row r="271" customFormat="false" ht="15.75" hidden="false" customHeight="false" outlineLevel="0" collapsed="false">
      <c r="B271" s="20"/>
    </row>
    <row r="272" customFormat="false" ht="15.75" hidden="false" customHeight="false" outlineLevel="0" collapsed="false">
      <c r="B272" s="20"/>
    </row>
    <row r="273" customFormat="false" ht="15.75" hidden="false" customHeight="false" outlineLevel="0" collapsed="false">
      <c r="B273" s="20"/>
    </row>
    <row r="274" customFormat="false" ht="15.75" hidden="false" customHeight="false" outlineLevel="0" collapsed="false">
      <c r="B274" s="20"/>
    </row>
    <row r="275" customFormat="false" ht="15.75" hidden="false" customHeight="false" outlineLevel="0" collapsed="false">
      <c r="B275" s="20"/>
    </row>
    <row r="276" customFormat="false" ht="15.75" hidden="false" customHeight="false" outlineLevel="0" collapsed="false">
      <c r="B276" s="20"/>
    </row>
    <row r="277" customFormat="false" ht="15.75" hidden="false" customHeight="false" outlineLevel="0" collapsed="false">
      <c r="B277" s="20"/>
    </row>
    <row r="278" customFormat="false" ht="15.75" hidden="false" customHeight="false" outlineLevel="0" collapsed="false">
      <c r="B278" s="20"/>
    </row>
    <row r="279" customFormat="false" ht="15.75" hidden="false" customHeight="false" outlineLevel="0" collapsed="false">
      <c r="B279" s="20"/>
    </row>
    <row r="280" customFormat="false" ht="15.75" hidden="false" customHeight="false" outlineLevel="0" collapsed="false">
      <c r="B280" s="20"/>
    </row>
    <row r="281" customFormat="false" ht="15.75" hidden="false" customHeight="false" outlineLevel="0" collapsed="false">
      <c r="B281" s="20"/>
    </row>
    <row r="282" customFormat="false" ht="15.75" hidden="false" customHeight="false" outlineLevel="0" collapsed="false">
      <c r="B282" s="20"/>
    </row>
    <row r="283" customFormat="false" ht="15.75" hidden="false" customHeight="false" outlineLevel="0" collapsed="false">
      <c r="B283" s="20"/>
    </row>
    <row r="284" customFormat="false" ht="15.75" hidden="false" customHeight="false" outlineLevel="0" collapsed="false">
      <c r="B284" s="20"/>
    </row>
    <row r="285" customFormat="false" ht="15.75" hidden="false" customHeight="false" outlineLevel="0" collapsed="false">
      <c r="B285" s="20"/>
    </row>
    <row r="286" customFormat="false" ht="15.75" hidden="false" customHeight="false" outlineLevel="0" collapsed="false">
      <c r="B286" s="20"/>
    </row>
    <row r="287" customFormat="false" ht="15.75" hidden="false" customHeight="false" outlineLevel="0" collapsed="false">
      <c r="B287" s="20"/>
    </row>
    <row r="288" customFormat="false" ht="15.75" hidden="false" customHeight="false" outlineLevel="0" collapsed="false">
      <c r="B288" s="20"/>
    </row>
    <row r="289" customFormat="false" ht="15.75" hidden="false" customHeight="false" outlineLevel="0" collapsed="false">
      <c r="B289" s="20"/>
    </row>
    <row r="290" customFormat="false" ht="15.75" hidden="false" customHeight="false" outlineLevel="0" collapsed="false">
      <c r="B290" s="20"/>
    </row>
    <row r="291" customFormat="false" ht="15.75" hidden="false" customHeight="false" outlineLevel="0" collapsed="false">
      <c r="B291" s="20"/>
    </row>
    <row r="292" customFormat="false" ht="15.75" hidden="false" customHeight="false" outlineLevel="0" collapsed="false">
      <c r="B292" s="20"/>
    </row>
    <row r="293" customFormat="false" ht="15.75" hidden="false" customHeight="false" outlineLevel="0" collapsed="false">
      <c r="B293" s="20"/>
    </row>
    <row r="294" customFormat="false" ht="15.75" hidden="false" customHeight="false" outlineLevel="0" collapsed="false">
      <c r="B294" s="20"/>
    </row>
    <row r="295" customFormat="false" ht="15.75" hidden="false" customHeight="false" outlineLevel="0" collapsed="false">
      <c r="B295" s="20"/>
    </row>
    <row r="296" customFormat="false" ht="15.75" hidden="false" customHeight="false" outlineLevel="0" collapsed="false">
      <c r="B296" s="20"/>
    </row>
    <row r="297" customFormat="false" ht="15.75" hidden="false" customHeight="false" outlineLevel="0" collapsed="false">
      <c r="B297" s="20"/>
    </row>
    <row r="298" customFormat="false" ht="15.75" hidden="false" customHeight="false" outlineLevel="0" collapsed="false">
      <c r="B298" s="20"/>
    </row>
    <row r="299" customFormat="false" ht="15.75" hidden="false" customHeight="false" outlineLevel="0" collapsed="false">
      <c r="B299" s="20"/>
    </row>
    <row r="300" customFormat="false" ht="15.75" hidden="false" customHeight="false" outlineLevel="0" collapsed="false">
      <c r="B300" s="20"/>
    </row>
    <row r="301" customFormat="false" ht="15.75" hidden="false" customHeight="false" outlineLevel="0" collapsed="false">
      <c r="B301" s="20"/>
    </row>
    <row r="302" customFormat="false" ht="15.75" hidden="false" customHeight="false" outlineLevel="0" collapsed="false">
      <c r="B302" s="20"/>
    </row>
    <row r="303" customFormat="false" ht="15.75" hidden="false" customHeight="false" outlineLevel="0" collapsed="false">
      <c r="B303" s="20"/>
    </row>
    <row r="304" customFormat="false" ht="15.75" hidden="false" customHeight="false" outlineLevel="0" collapsed="false">
      <c r="B304" s="20"/>
    </row>
    <row r="305" customFormat="false" ht="15.75" hidden="false" customHeight="false" outlineLevel="0" collapsed="false">
      <c r="B305" s="20"/>
    </row>
    <row r="306" customFormat="false" ht="15.75" hidden="false" customHeight="false" outlineLevel="0" collapsed="false">
      <c r="B306" s="20"/>
    </row>
    <row r="307" customFormat="false" ht="15.75" hidden="false" customHeight="false" outlineLevel="0" collapsed="false">
      <c r="B307" s="20"/>
    </row>
    <row r="308" customFormat="false" ht="15.75" hidden="false" customHeight="false" outlineLevel="0" collapsed="false">
      <c r="B308" s="20"/>
    </row>
    <row r="309" customFormat="false" ht="15.75" hidden="false" customHeight="false" outlineLevel="0" collapsed="false">
      <c r="B309" s="20"/>
    </row>
    <row r="310" customFormat="false" ht="15.75" hidden="false" customHeight="false" outlineLevel="0" collapsed="false">
      <c r="B310" s="20"/>
    </row>
    <row r="311" customFormat="false" ht="15.75" hidden="false" customHeight="false" outlineLevel="0" collapsed="false">
      <c r="B311" s="20"/>
    </row>
    <row r="312" customFormat="false" ht="15.75" hidden="false" customHeight="false" outlineLevel="0" collapsed="false">
      <c r="B312" s="20"/>
    </row>
    <row r="313" customFormat="false" ht="15.75" hidden="false" customHeight="false" outlineLevel="0" collapsed="false">
      <c r="B313" s="20"/>
    </row>
    <row r="314" customFormat="false" ht="15.75" hidden="false" customHeight="false" outlineLevel="0" collapsed="false">
      <c r="B314" s="20"/>
    </row>
    <row r="315" customFormat="false" ht="15.75" hidden="false" customHeight="false" outlineLevel="0" collapsed="false">
      <c r="B315" s="20"/>
    </row>
    <row r="316" customFormat="false" ht="15.75" hidden="false" customHeight="false" outlineLevel="0" collapsed="false">
      <c r="B316" s="20"/>
    </row>
    <row r="317" customFormat="false" ht="15.75" hidden="false" customHeight="false" outlineLevel="0" collapsed="false">
      <c r="B317" s="20"/>
    </row>
    <row r="318" customFormat="false" ht="15.75" hidden="false" customHeight="false" outlineLevel="0" collapsed="false">
      <c r="B318" s="20"/>
    </row>
    <row r="319" customFormat="false" ht="15.75" hidden="false" customHeight="false" outlineLevel="0" collapsed="false">
      <c r="B319" s="20"/>
    </row>
    <row r="320" customFormat="false" ht="15.75" hidden="false" customHeight="false" outlineLevel="0" collapsed="false">
      <c r="B320" s="20"/>
    </row>
    <row r="321" customFormat="false" ht="15.75" hidden="false" customHeight="false" outlineLevel="0" collapsed="false">
      <c r="B321" s="20"/>
    </row>
    <row r="322" customFormat="false" ht="15.75" hidden="false" customHeight="false" outlineLevel="0" collapsed="false">
      <c r="B322" s="20"/>
    </row>
    <row r="323" customFormat="false" ht="15.75" hidden="false" customHeight="false" outlineLevel="0" collapsed="false">
      <c r="B323" s="20"/>
    </row>
    <row r="324" customFormat="false" ht="15.75" hidden="false" customHeight="false" outlineLevel="0" collapsed="false">
      <c r="B324" s="20"/>
    </row>
    <row r="325" customFormat="false" ht="15.75" hidden="false" customHeight="false" outlineLevel="0" collapsed="false">
      <c r="B325" s="20"/>
    </row>
    <row r="326" customFormat="false" ht="15.75" hidden="false" customHeight="false" outlineLevel="0" collapsed="false">
      <c r="B326" s="20"/>
    </row>
    <row r="327" customFormat="false" ht="15.75" hidden="false" customHeight="false" outlineLevel="0" collapsed="false">
      <c r="B327" s="20"/>
    </row>
    <row r="328" customFormat="false" ht="15.75" hidden="false" customHeight="false" outlineLevel="0" collapsed="false">
      <c r="B328" s="20"/>
    </row>
    <row r="329" customFormat="false" ht="15.75" hidden="false" customHeight="false" outlineLevel="0" collapsed="false">
      <c r="B329" s="20"/>
    </row>
    <row r="330" customFormat="false" ht="15.75" hidden="false" customHeight="false" outlineLevel="0" collapsed="false">
      <c r="B330" s="20"/>
    </row>
    <row r="331" customFormat="false" ht="15.75" hidden="false" customHeight="false" outlineLevel="0" collapsed="false">
      <c r="B331" s="20"/>
    </row>
    <row r="332" customFormat="false" ht="15.75" hidden="false" customHeight="false" outlineLevel="0" collapsed="false">
      <c r="B332" s="20"/>
    </row>
    <row r="333" customFormat="false" ht="15.75" hidden="false" customHeight="false" outlineLevel="0" collapsed="false">
      <c r="B333" s="20"/>
    </row>
    <row r="334" customFormat="false" ht="15.75" hidden="false" customHeight="false" outlineLevel="0" collapsed="false">
      <c r="B334" s="20"/>
    </row>
    <row r="335" customFormat="false" ht="15.75" hidden="false" customHeight="false" outlineLevel="0" collapsed="false">
      <c r="B335" s="20"/>
    </row>
    <row r="336" customFormat="false" ht="15.75" hidden="false" customHeight="false" outlineLevel="0" collapsed="false">
      <c r="B336" s="20"/>
    </row>
    <row r="337" customFormat="false" ht="15.75" hidden="false" customHeight="false" outlineLevel="0" collapsed="false">
      <c r="B337" s="20"/>
    </row>
    <row r="338" customFormat="false" ht="15.75" hidden="false" customHeight="false" outlineLevel="0" collapsed="false">
      <c r="B338" s="20"/>
    </row>
    <row r="339" customFormat="false" ht="15.75" hidden="false" customHeight="false" outlineLevel="0" collapsed="false">
      <c r="B339" s="20"/>
    </row>
    <row r="340" customFormat="false" ht="15.75" hidden="false" customHeight="false" outlineLevel="0" collapsed="false">
      <c r="B340" s="20"/>
    </row>
    <row r="341" customFormat="false" ht="15.75" hidden="false" customHeight="false" outlineLevel="0" collapsed="false">
      <c r="B341" s="20"/>
    </row>
    <row r="342" customFormat="false" ht="15.75" hidden="false" customHeight="false" outlineLevel="0" collapsed="false">
      <c r="B342" s="20"/>
    </row>
    <row r="343" customFormat="false" ht="15.75" hidden="false" customHeight="false" outlineLevel="0" collapsed="false">
      <c r="B343" s="20"/>
    </row>
    <row r="344" customFormat="false" ht="15.75" hidden="false" customHeight="false" outlineLevel="0" collapsed="false">
      <c r="B344" s="20"/>
    </row>
    <row r="345" customFormat="false" ht="15.75" hidden="false" customHeight="false" outlineLevel="0" collapsed="false">
      <c r="B345" s="20"/>
    </row>
    <row r="346" customFormat="false" ht="15.75" hidden="false" customHeight="false" outlineLevel="0" collapsed="false">
      <c r="B346" s="20"/>
    </row>
    <row r="347" customFormat="false" ht="15.75" hidden="false" customHeight="false" outlineLevel="0" collapsed="false">
      <c r="B347" s="20"/>
    </row>
    <row r="348" customFormat="false" ht="15.75" hidden="false" customHeight="false" outlineLevel="0" collapsed="false">
      <c r="B348" s="20"/>
    </row>
    <row r="349" customFormat="false" ht="15.75" hidden="false" customHeight="false" outlineLevel="0" collapsed="false">
      <c r="B349" s="20"/>
    </row>
    <row r="350" customFormat="false" ht="15.75" hidden="false" customHeight="false" outlineLevel="0" collapsed="false">
      <c r="B350" s="20"/>
    </row>
    <row r="351" customFormat="false" ht="15.75" hidden="false" customHeight="false" outlineLevel="0" collapsed="false">
      <c r="B351" s="20"/>
    </row>
    <row r="352" customFormat="false" ht="15.75" hidden="false" customHeight="false" outlineLevel="0" collapsed="false">
      <c r="B352" s="20"/>
    </row>
    <row r="353" customFormat="false" ht="15.75" hidden="false" customHeight="false" outlineLevel="0" collapsed="false">
      <c r="B353" s="20"/>
    </row>
    <row r="354" customFormat="false" ht="15.75" hidden="false" customHeight="false" outlineLevel="0" collapsed="false">
      <c r="B354" s="20"/>
    </row>
    <row r="355" customFormat="false" ht="15.75" hidden="false" customHeight="false" outlineLevel="0" collapsed="false">
      <c r="B355" s="20"/>
    </row>
    <row r="356" customFormat="false" ht="15.75" hidden="false" customHeight="false" outlineLevel="0" collapsed="false">
      <c r="B356" s="20"/>
    </row>
    <row r="357" customFormat="false" ht="15.75" hidden="false" customHeight="false" outlineLevel="0" collapsed="false">
      <c r="B357" s="20"/>
    </row>
    <row r="358" customFormat="false" ht="15.75" hidden="false" customHeight="false" outlineLevel="0" collapsed="false">
      <c r="B358" s="20"/>
    </row>
    <row r="359" customFormat="false" ht="15.75" hidden="false" customHeight="false" outlineLevel="0" collapsed="false">
      <c r="B359" s="20"/>
    </row>
    <row r="360" customFormat="false" ht="15.75" hidden="false" customHeight="false" outlineLevel="0" collapsed="false">
      <c r="B360" s="20"/>
    </row>
    <row r="361" customFormat="false" ht="15.75" hidden="false" customHeight="false" outlineLevel="0" collapsed="false">
      <c r="B361" s="20"/>
    </row>
    <row r="362" customFormat="false" ht="15.75" hidden="false" customHeight="false" outlineLevel="0" collapsed="false">
      <c r="B362" s="20"/>
    </row>
    <row r="363" customFormat="false" ht="15.75" hidden="false" customHeight="false" outlineLevel="0" collapsed="false">
      <c r="B363" s="20"/>
    </row>
    <row r="364" customFormat="false" ht="15.75" hidden="false" customHeight="false" outlineLevel="0" collapsed="false">
      <c r="B364" s="20"/>
    </row>
    <row r="365" customFormat="false" ht="15.75" hidden="false" customHeight="false" outlineLevel="0" collapsed="false">
      <c r="B365" s="20"/>
    </row>
    <row r="366" customFormat="false" ht="15.75" hidden="false" customHeight="false" outlineLevel="0" collapsed="false">
      <c r="B366" s="20"/>
    </row>
    <row r="367" customFormat="false" ht="15.75" hidden="false" customHeight="false" outlineLevel="0" collapsed="false">
      <c r="B367" s="20"/>
    </row>
    <row r="368" customFormat="false" ht="15.75" hidden="false" customHeight="false" outlineLevel="0" collapsed="false">
      <c r="B368" s="20"/>
    </row>
    <row r="369" customFormat="false" ht="15.75" hidden="false" customHeight="false" outlineLevel="0" collapsed="false">
      <c r="B369" s="20"/>
    </row>
    <row r="370" customFormat="false" ht="15.75" hidden="false" customHeight="false" outlineLevel="0" collapsed="false">
      <c r="B370" s="20"/>
    </row>
    <row r="371" customFormat="false" ht="15.75" hidden="false" customHeight="false" outlineLevel="0" collapsed="false">
      <c r="B371" s="20"/>
    </row>
    <row r="372" customFormat="false" ht="15.75" hidden="false" customHeight="false" outlineLevel="0" collapsed="false">
      <c r="B372" s="20"/>
    </row>
    <row r="373" customFormat="false" ht="15.75" hidden="false" customHeight="false" outlineLevel="0" collapsed="false">
      <c r="B373" s="20"/>
    </row>
    <row r="374" customFormat="false" ht="15.75" hidden="false" customHeight="false" outlineLevel="0" collapsed="false">
      <c r="B374" s="20"/>
    </row>
    <row r="375" customFormat="false" ht="15.75" hidden="false" customHeight="false" outlineLevel="0" collapsed="false">
      <c r="B375" s="20"/>
    </row>
    <row r="376" customFormat="false" ht="15.75" hidden="false" customHeight="false" outlineLevel="0" collapsed="false">
      <c r="B376" s="20"/>
    </row>
    <row r="377" customFormat="false" ht="15.75" hidden="false" customHeight="false" outlineLevel="0" collapsed="false">
      <c r="B377" s="20"/>
    </row>
    <row r="378" customFormat="false" ht="15.75" hidden="false" customHeight="false" outlineLevel="0" collapsed="false">
      <c r="B378" s="20"/>
    </row>
    <row r="379" customFormat="false" ht="15.75" hidden="false" customHeight="false" outlineLevel="0" collapsed="false">
      <c r="B379" s="20"/>
    </row>
    <row r="380" customFormat="false" ht="15.75" hidden="false" customHeight="false" outlineLevel="0" collapsed="false">
      <c r="B380" s="20"/>
    </row>
    <row r="381" customFormat="false" ht="15.75" hidden="false" customHeight="false" outlineLevel="0" collapsed="false">
      <c r="B381" s="20"/>
    </row>
    <row r="382" customFormat="false" ht="15.75" hidden="false" customHeight="false" outlineLevel="0" collapsed="false">
      <c r="B382" s="20"/>
    </row>
    <row r="383" customFormat="false" ht="15.75" hidden="false" customHeight="false" outlineLevel="0" collapsed="false">
      <c r="B383" s="20"/>
    </row>
    <row r="384" customFormat="false" ht="15.75" hidden="false" customHeight="false" outlineLevel="0" collapsed="false">
      <c r="B384" s="20"/>
    </row>
    <row r="385" customFormat="false" ht="15.75" hidden="false" customHeight="false" outlineLevel="0" collapsed="false">
      <c r="B385" s="20"/>
    </row>
    <row r="386" customFormat="false" ht="15.75" hidden="false" customHeight="false" outlineLevel="0" collapsed="false">
      <c r="B386" s="20"/>
    </row>
    <row r="387" customFormat="false" ht="15.75" hidden="false" customHeight="false" outlineLevel="0" collapsed="false">
      <c r="B387" s="20"/>
    </row>
    <row r="388" customFormat="false" ht="15.75" hidden="false" customHeight="false" outlineLevel="0" collapsed="false">
      <c r="B388" s="20"/>
    </row>
    <row r="389" customFormat="false" ht="15.75" hidden="false" customHeight="false" outlineLevel="0" collapsed="false">
      <c r="B389" s="20"/>
    </row>
    <row r="390" customFormat="false" ht="15.75" hidden="false" customHeight="false" outlineLevel="0" collapsed="false">
      <c r="B390" s="20"/>
    </row>
    <row r="391" customFormat="false" ht="15.75" hidden="false" customHeight="false" outlineLevel="0" collapsed="false">
      <c r="B391" s="20"/>
    </row>
    <row r="392" customFormat="false" ht="15.75" hidden="false" customHeight="false" outlineLevel="0" collapsed="false">
      <c r="B392" s="20"/>
    </row>
    <row r="393" customFormat="false" ht="15.75" hidden="false" customHeight="false" outlineLevel="0" collapsed="false">
      <c r="B393" s="20"/>
    </row>
    <row r="394" customFormat="false" ht="15.75" hidden="false" customHeight="false" outlineLevel="0" collapsed="false">
      <c r="B394" s="20"/>
    </row>
    <row r="395" customFormat="false" ht="15.75" hidden="false" customHeight="false" outlineLevel="0" collapsed="false">
      <c r="B395" s="20"/>
    </row>
    <row r="396" customFormat="false" ht="15.75" hidden="false" customHeight="false" outlineLevel="0" collapsed="false">
      <c r="B396" s="20"/>
    </row>
    <row r="397" customFormat="false" ht="15.75" hidden="false" customHeight="false" outlineLevel="0" collapsed="false">
      <c r="B397" s="20"/>
    </row>
    <row r="398" customFormat="false" ht="15.75" hidden="false" customHeight="false" outlineLevel="0" collapsed="false">
      <c r="B398" s="20"/>
    </row>
    <row r="399" customFormat="false" ht="15.75" hidden="false" customHeight="false" outlineLevel="0" collapsed="false">
      <c r="B399" s="20"/>
    </row>
    <row r="400" customFormat="false" ht="15.75" hidden="false" customHeight="false" outlineLevel="0" collapsed="false">
      <c r="B400" s="20"/>
    </row>
    <row r="401" customFormat="false" ht="15.75" hidden="false" customHeight="false" outlineLevel="0" collapsed="false">
      <c r="B401" s="20"/>
    </row>
    <row r="402" customFormat="false" ht="15.75" hidden="false" customHeight="false" outlineLevel="0" collapsed="false">
      <c r="B402" s="20"/>
    </row>
    <row r="403" customFormat="false" ht="15.75" hidden="false" customHeight="false" outlineLevel="0" collapsed="false">
      <c r="B403" s="20"/>
    </row>
    <row r="404" customFormat="false" ht="15.75" hidden="false" customHeight="false" outlineLevel="0" collapsed="false">
      <c r="B404" s="20"/>
    </row>
    <row r="405" customFormat="false" ht="15.75" hidden="false" customHeight="false" outlineLevel="0" collapsed="false">
      <c r="B405" s="20"/>
    </row>
    <row r="406" customFormat="false" ht="15.75" hidden="false" customHeight="false" outlineLevel="0" collapsed="false">
      <c r="B406" s="20"/>
    </row>
    <row r="407" customFormat="false" ht="15.75" hidden="false" customHeight="false" outlineLevel="0" collapsed="false">
      <c r="B407" s="20"/>
    </row>
    <row r="408" customFormat="false" ht="15.75" hidden="false" customHeight="false" outlineLevel="0" collapsed="false">
      <c r="B408" s="20"/>
    </row>
    <row r="409" customFormat="false" ht="15.75" hidden="false" customHeight="false" outlineLevel="0" collapsed="false">
      <c r="B409" s="20"/>
    </row>
    <row r="410" customFormat="false" ht="15.75" hidden="false" customHeight="false" outlineLevel="0" collapsed="false">
      <c r="B410" s="20"/>
    </row>
    <row r="411" customFormat="false" ht="15.75" hidden="false" customHeight="false" outlineLevel="0" collapsed="false">
      <c r="B411" s="20"/>
    </row>
    <row r="412" customFormat="false" ht="15.75" hidden="false" customHeight="false" outlineLevel="0" collapsed="false">
      <c r="B412" s="20"/>
    </row>
    <row r="413" customFormat="false" ht="15.75" hidden="false" customHeight="false" outlineLevel="0" collapsed="false">
      <c r="B413" s="20"/>
    </row>
    <row r="414" customFormat="false" ht="15.75" hidden="false" customHeight="false" outlineLevel="0" collapsed="false">
      <c r="B414" s="20"/>
    </row>
    <row r="415" customFormat="false" ht="15.75" hidden="false" customHeight="false" outlineLevel="0" collapsed="false">
      <c r="B415" s="20"/>
    </row>
    <row r="416" customFormat="false" ht="15.75" hidden="false" customHeight="false" outlineLevel="0" collapsed="false">
      <c r="B416" s="20"/>
    </row>
    <row r="417" customFormat="false" ht="15.75" hidden="false" customHeight="false" outlineLevel="0" collapsed="false">
      <c r="B417" s="20"/>
    </row>
    <row r="418" customFormat="false" ht="15.75" hidden="false" customHeight="false" outlineLevel="0" collapsed="false">
      <c r="B418" s="20"/>
    </row>
    <row r="419" customFormat="false" ht="15.75" hidden="false" customHeight="false" outlineLevel="0" collapsed="false">
      <c r="B419" s="20"/>
    </row>
    <row r="420" customFormat="false" ht="15.75" hidden="false" customHeight="false" outlineLevel="0" collapsed="false">
      <c r="B420" s="20"/>
    </row>
    <row r="421" customFormat="false" ht="15.75" hidden="false" customHeight="false" outlineLevel="0" collapsed="false">
      <c r="B421" s="20"/>
    </row>
    <row r="422" customFormat="false" ht="15.75" hidden="false" customHeight="false" outlineLevel="0" collapsed="false">
      <c r="B422" s="20"/>
    </row>
    <row r="423" customFormat="false" ht="15.75" hidden="false" customHeight="false" outlineLevel="0" collapsed="false">
      <c r="B423" s="20"/>
    </row>
    <row r="424" customFormat="false" ht="15.75" hidden="false" customHeight="false" outlineLevel="0" collapsed="false">
      <c r="B424" s="20"/>
    </row>
    <row r="425" customFormat="false" ht="15.75" hidden="false" customHeight="false" outlineLevel="0" collapsed="false">
      <c r="B425" s="20"/>
    </row>
    <row r="426" customFormat="false" ht="15.75" hidden="false" customHeight="false" outlineLevel="0" collapsed="false">
      <c r="B426" s="20"/>
    </row>
    <row r="427" customFormat="false" ht="15.75" hidden="false" customHeight="false" outlineLevel="0" collapsed="false">
      <c r="B427" s="20"/>
    </row>
    <row r="428" customFormat="false" ht="15.75" hidden="false" customHeight="false" outlineLevel="0" collapsed="false">
      <c r="B428" s="20"/>
    </row>
    <row r="429" customFormat="false" ht="15.75" hidden="false" customHeight="false" outlineLevel="0" collapsed="false">
      <c r="B429" s="20"/>
    </row>
    <row r="430" customFormat="false" ht="15.75" hidden="false" customHeight="false" outlineLevel="0" collapsed="false">
      <c r="B430" s="20"/>
    </row>
    <row r="431" customFormat="false" ht="15.75" hidden="false" customHeight="false" outlineLevel="0" collapsed="false">
      <c r="B431" s="20"/>
    </row>
    <row r="432" customFormat="false" ht="15.75" hidden="false" customHeight="false" outlineLevel="0" collapsed="false">
      <c r="B432" s="20"/>
    </row>
    <row r="433" customFormat="false" ht="15.75" hidden="false" customHeight="false" outlineLevel="0" collapsed="false">
      <c r="B433" s="20"/>
    </row>
    <row r="434" customFormat="false" ht="15.75" hidden="false" customHeight="false" outlineLevel="0" collapsed="false">
      <c r="B434" s="20"/>
    </row>
    <row r="435" customFormat="false" ht="15.75" hidden="false" customHeight="false" outlineLevel="0" collapsed="false">
      <c r="B435" s="20"/>
    </row>
    <row r="436" customFormat="false" ht="15.75" hidden="false" customHeight="false" outlineLevel="0" collapsed="false">
      <c r="B436" s="20"/>
    </row>
    <row r="437" customFormat="false" ht="15.75" hidden="false" customHeight="false" outlineLevel="0" collapsed="false">
      <c r="B437" s="20"/>
    </row>
    <row r="438" customFormat="false" ht="15.75" hidden="false" customHeight="false" outlineLevel="0" collapsed="false">
      <c r="B438" s="20"/>
    </row>
    <row r="439" customFormat="false" ht="15.75" hidden="false" customHeight="false" outlineLevel="0" collapsed="false">
      <c r="B439" s="20"/>
    </row>
    <row r="440" customFormat="false" ht="15.75" hidden="false" customHeight="false" outlineLevel="0" collapsed="false">
      <c r="B440" s="20"/>
    </row>
    <row r="441" customFormat="false" ht="15.75" hidden="false" customHeight="false" outlineLevel="0" collapsed="false">
      <c r="B441" s="20"/>
    </row>
    <row r="442" customFormat="false" ht="15.75" hidden="false" customHeight="false" outlineLevel="0" collapsed="false">
      <c r="B442" s="20"/>
    </row>
    <row r="443" customFormat="false" ht="15.75" hidden="false" customHeight="false" outlineLevel="0" collapsed="false">
      <c r="B443" s="20"/>
    </row>
    <row r="444" customFormat="false" ht="15.75" hidden="false" customHeight="false" outlineLevel="0" collapsed="false">
      <c r="B444" s="20"/>
    </row>
    <row r="445" customFormat="false" ht="15.75" hidden="false" customHeight="false" outlineLevel="0" collapsed="false">
      <c r="B445" s="20"/>
    </row>
    <row r="446" customFormat="false" ht="15.75" hidden="false" customHeight="false" outlineLevel="0" collapsed="false">
      <c r="B446" s="20"/>
    </row>
    <row r="447" customFormat="false" ht="15.75" hidden="false" customHeight="false" outlineLevel="0" collapsed="false">
      <c r="B447" s="20"/>
    </row>
    <row r="448" customFormat="false" ht="15.75" hidden="false" customHeight="false" outlineLevel="0" collapsed="false">
      <c r="B448" s="20"/>
    </row>
    <row r="449" customFormat="false" ht="15.75" hidden="false" customHeight="false" outlineLevel="0" collapsed="false">
      <c r="B449" s="20"/>
    </row>
    <row r="450" customFormat="false" ht="15.75" hidden="false" customHeight="false" outlineLevel="0" collapsed="false">
      <c r="B450" s="20"/>
    </row>
    <row r="451" customFormat="false" ht="15.75" hidden="false" customHeight="false" outlineLevel="0" collapsed="false">
      <c r="B451" s="20"/>
    </row>
    <row r="452" customFormat="false" ht="15.75" hidden="false" customHeight="false" outlineLevel="0" collapsed="false">
      <c r="B452" s="20"/>
    </row>
    <row r="453" customFormat="false" ht="15.75" hidden="false" customHeight="false" outlineLevel="0" collapsed="false">
      <c r="B453" s="20"/>
    </row>
    <row r="454" customFormat="false" ht="15.75" hidden="false" customHeight="false" outlineLevel="0" collapsed="false">
      <c r="B454" s="20"/>
    </row>
    <row r="455" customFormat="false" ht="15.75" hidden="false" customHeight="false" outlineLevel="0" collapsed="false">
      <c r="B455" s="20"/>
    </row>
    <row r="456" customFormat="false" ht="15.75" hidden="false" customHeight="false" outlineLevel="0" collapsed="false">
      <c r="B456" s="20"/>
    </row>
    <row r="457" customFormat="false" ht="15.75" hidden="false" customHeight="false" outlineLevel="0" collapsed="false">
      <c r="B457" s="20"/>
    </row>
    <row r="458" customFormat="false" ht="15.75" hidden="false" customHeight="false" outlineLevel="0" collapsed="false">
      <c r="B458" s="20"/>
    </row>
    <row r="459" customFormat="false" ht="15.75" hidden="false" customHeight="false" outlineLevel="0" collapsed="false">
      <c r="B459" s="20"/>
    </row>
    <row r="460" customFormat="false" ht="15.75" hidden="false" customHeight="false" outlineLevel="0" collapsed="false">
      <c r="B460" s="20"/>
    </row>
    <row r="461" customFormat="false" ht="15.75" hidden="false" customHeight="false" outlineLevel="0" collapsed="false">
      <c r="B461" s="20"/>
    </row>
    <row r="462" customFormat="false" ht="15.75" hidden="false" customHeight="false" outlineLevel="0" collapsed="false">
      <c r="B462" s="20"/>
    </row>
    <row r="463" customFormat="false" ht="15.75" hidden="false" customHeight="false" outlineLevel="0" collapsed="false">
      <c r="B463" s="20"/>
    </row>
    <row r="464" customFormat="false" ht="15.75" hidden="false" customHeight="false" outlineLevel="0" collapsed="false">
      <c r="B464" s="20"/>
    </row>
    <row r="465" customFormat="false" ht="15.75" hidden="false" customHeight="false" outlineLevel="0" collapsed="false">
      <c r="B465" s="20"/>
    </row>
    <row r="466" customFormat="false" ht="15.75" hidden="false" customHeight="false" outlineLevel="0" collapsed="false">
      <c r="B466" s="20"/>
    </row>
    <row r="467" customFormat="false" ht="15.75" hidden="false" customHeight="false" outlineLevel="0" collapsed="false">
      <c r="B467" s="20"/>
    </row>
    <row r="468" customFormat="false" ht="15.75" hidden="false" customHeight="false" outlineLevel="0" collapsed="false">
      <c r="B468" s="20"/>
    </row>
    <row r="469" customFormat="false" ht="15.75" hidden="false" customHeight="false" outlineLevel="0" collapsed="false">
      <c r="B469" s="20"/>
    </row>
    <row r="470" customFormat="false" ht="15.75" hidden="false" customHeight="false" outlineLevel="0" collapsed="false">
      <c r="B470" s="20"/>
    </row>
    <row r="471" customFormat="false" ht="15.75" hidden="false" customHeight="false" outlineLevel="0" collapsed="false">
      <c r="B471" s="20"/>
    </row>
    <row r="472" customFormat="false" ht="15.75" hidden="false" customHeight="false" outlineLevel="0" collapsed="false">
      <c r="B472" s="20"/>
    </row>
    <row r="473" customFormat="false" ht="15.75" hidden="false" customHeight="false" outlineLevel="0" collapsed="false">
      <c r="B473" s="20"/>
    </row>
    <row r="474" customFormat="false" ht="15.75" hidden="false" customHeight="false" outlineLevel="0" collapsed="false">
      <c r="B474" s="20"/>
    </row>
    <row r="475" customFormat="false" ht="15.75" hidden="false" customHeight="false" outlineLevel="0" collapsed="false">
      <c r="B475" s="20"/>
    </row>
    <row r="476" customFormat="false" ht="15.75" hidden="false" customHeight="false" outlineLevel="0" collapsed="false">
      <c r="B476" s="20"/>
    </row>
    <row r="477" customFormat="false" ht="15.75" hidden="false" customHeight="false" outlineLevel="0" collapsed="false">
      <c r="B477" s="20"/>
    </row>
    <row r="478" customFormat="false" ht="15.75" hidden="false" customHeight="false" outlineLevel="0" collapsed="false">
      <c r="B478" s="20"/>
    </row>
    <row r="479" customFormat="false" ht="15.75" hidden="false" customHeight="false" outlineLevel="0" collapsed="false">
      <c r="B479" s="20"/>
    </row>
    <row r="480" customFormat="false" ht="15.75" hidden="false" customHeight="false" outlineLevel="0" collapsed="false">
      <c r="B480" s="20"/>
    </row>
    <row r="481" customFormat="false" ht="15.75" hidden="false" customHeight="false" outlineLevel="0" collapsed="false">
      <c r="B481" s="20"/>
    </row>
    <row r="482" customFormat="false" ht="15.75" hidden="false" customHeight="false" outlineLevel="0" collapsed="false">
      <c r="B482" s="20"/>
    </row>
    <row r="483" customFormat="false" ht="15.75" hidden="false" customHeight="false" outlineLevel="0" collapsed="false">
      <c r="B483" s="20"/>
    </row>
    <row r="484" customFormat="false" ht="15.75" hidden="false" customHeight="false" outlineLevel="0" collapsed="false">
      <c r="B484" s="20"/>
    </row>
    <row r="485" customFormat="false" ht="15.75" hidden="false" customHeight="false" outlineLevel="0" collapsed="false">
      <c r="B485" s="20"/>
    </row>
    <row r="486" customFormat="false" ht="15.75" hidden="false" customHeight="false" outlineLevel="0" collapsed="false">
      <c r="B486" s="20"/>
    </row>
    <row r="487" customFormat="false" ht="15.75" hidden="false" customHeight="false" outlineLevel="0" collapsed="false">
      <c r="B487" s="20"/>
    </row>
    <row r="488" customFormat="false" ht="15.75" hidden="false" customHeight="false" outlineLevel="0" collapsed="false">
      <c r="B488" s="20"/>
    </row>
    <row r="489" customFormat="false" ht="15.75" hidden="false" customHeight="false" outlineLevel="0" collapsed="false">
      <c r="B489" s="20"/>
    </row>
    <row r="490" customFormat="false" ht="15.75" hidden="false" customHeight="false" outlineLevel="0" collapsed="false">
      <c r="B490" s="20"/>
    </row>
    <row r="491" customFormat="false" ht="15.75" hidden="false" customHeight="false" outlineLevel="0" collapsed="false">
      <c r="B491" s="20"/>
    </row>
    <row r="492" customFormat="false" ht="15.75" hidden="false" customHeight="false" outlineLevel="0" collapsed="false">
      <c r="B492" s="20"/>
    </row>
    <row r="493" customFormat="false" ht="15.75" hidden="false" customHeight="false" outlineLevel="0" collapsed="false">
      <c r="B493" s="20"/>
    </row>
    <row r="494" customFormat="false" ht="15.75" hidden="false" customHeight="false" outlineLevel="0" collapsed="false">
      <c r="B494" s="20"/>
    </row>
    <row r="495" customFormat="false" ht="15.75" hidden="false" customHeight="false" outlineLevel="0" collapsed="false">
      <c r="B495" s="20"/>
    </row>
    <row r="496" customFormat="false" ht="15.75" hidden="false" customHeight="false" outlineLevel="0" collapsed="false">
      <c r="B496" s="20"/>
    </row>
    <row r="497" customFormat="false" ht="15.75" hidden="false" customHeight="false" outlineLevel="0" collapsed="false">
      <c r="B497" s="20"/>
    </row>
    <row r="498" customFormat="false" ht="15.75" hidden="false" customHeight="false" outlineLevel="0" collapsed="false">
      <c r="B498" s="20"/>
    </row>
    <row r="499" customFormat="false" ht="15.75" hidden="false" customHeight="false" outlineLevel="0" collapsed="false">
      <c r="B499" s="20"/>
    </row>
    <row r="500" customFormat="false" ht="15.75" hidden="false" customHeight="false" outlineLevel="0" collapsed="false">
      <c r="B500" s="20"/>
    </row>
    <row r="501" customFormat="false" ht="15.75" hidden="false" customHeight="false" outlineLevel="0" collapsed="false">
      <c r="B501" s="20"/>
    </row>
    <row r="502" customFormat="false" ht="15.75" hidden="false" customHeight="false" outlineLevel="0" collapsed="false">
      <c r="B502" s="20"/>
    </row>
    <row r="503" customFormat="false" ht="15.75" hidden="false" customHeight="false" outlineLevel="0" collapsed="false">
      <c r="B503" s="20"/>
    </row>
    <row r="504" customFormat="false" ht="15.75" hidden="false" customHeight="false" outlineLevel="0" collapsed="false">
      <c r="B504" s="20"/>
    </row>
    <row r="505" customFormat="false" ht="15.75" hidden="false" customHeight="false" outlineLevel="0" collapsed="false">
      <c r="B505" s="20"/>
    </row>
    <row r="506" customFormat="false" ht="15.75" hidden="false" customHeight="false" outlineLevel="0" collapsed="false">
      <c r="B506" s="20"/>
    </row>
    <row r="507" customFormat="false" ht="15.75" hidden="false" customHeight="false" outlineLevel="0" collapsed="false">
      <c r="B507" s="20"/>
    </row>
    <row r="508" customFormat="false" ht="15.75" hidden="false" customHeight="false" outlineLevel="0" collapsed="false">
      <c r="B508" s="20"/>
    </row>
    <row r="509" customFormat="false" ht="15.75" hidden="false" customHeight="false" outlineLevel="0" collapsed="false">
      <c r="B509" s="20"/>
    </row>
    <row r="510" customFormat="false" ht="15.75" hidden="false" customHeight="false" outlineLevel="0" collapsed="false">
      <c r="B510" s="20"/>
    </row>
    <row r="511" customFormat="false" ht="15.75" hidden="false" customHeight="false" outlineLevel="0" collapsed="false">
      <c r="B511" s="20"/>
    </row>
    <row r="512" customFormat="false" ht="15.75" hidden="false" customHeight="false" outlineLevel="0" collapsed="false">
      <c r="B512" s="20"/>
    </row>
    <row r="513" customFormat="false" ht="15.75" hidden="false" customHeight="false" outlineLevel="0" collapsed="false">
      <c r="B513" s="20"/>
    </row>
    <row r="514" customFormat="false" ht="15.75" hidden="false" customHeight="false" outlineLevel="0" collapsed="false">
      <c r="B514" s="20"/>
    </row>
    <row r="515" customFormat="false" ht="15.75" hidden="false" customHeight="false" outlineLevel="0" collapsed="false">
      <c r="B515" s="20"/>
    </row>
    <row r="516" customFormat="false" ht="15.75" hidden="false" customHeight="false" outlineLevel="0" collapsed="false">
      <c r="B516" s="20"/>
    </row>
    <row r="517" customFormat="false" ht="15.75" hidden="false" customHeight="false" outlineLevel="0" collapsed="false">
      <c r="B517" s="20"/>
    </row>
    <row r="518" customFormat="false" ht="15.75" hidden="false" customHeight="false" outlineLevel="0" collapsed="false">
      <c r="B518" s="20"/>
    </row>
    <row r="519" customFormat="false" ht="15.75" hidden="false" customHeight="false" outlineLevel="0" collapsed="false">
      <c r="B519" s="20"/>
    </row>
    <row r="520" customFormat="false" ht="15.75" hidden="false" customHeight="false" outlineLevel="0" collapsed="false">
      <c r="B520" s="20"/>
    </row>
    <row r="521" customFormat="false" ht="15.75" hidden="false" customHeight="false" outlineLevel="0" collapsed="false">
      <c r="B521" s="20"/>
    </row>
    <row r="522" customFormat="false" ht="15.75" hidden="false" customHeight="false" outlineLevel="0" collapsed="false">
      <c r="B522" s="20"/>
    </row>
    <row r="523" customFormat="false" ht="15.75" hidden="false" customHeight="false" outlineLevel="0" collapsed="false">
      <c r="B523" s="20"/>
    </row>
    <row r="524" customFormat="false" ht="15.75" hidden="false" customHeight="false" outlineLevel="0" collapsed="false">
      <c r="B524" s="20"/>
    </row>
    <row r="525" customFormat="false" ht="15.75" hidden="false" customHeight="false" outlineLevel="0" collapsed="false">
      <c r="B525" s="20"/>
    </row>
    <row r="526" customFormat="false" ht="15.75" hidden="false" customHeight="false" outlineLevel="0" collapsed="false">
      <c r="B526" s="20"/>
    </row>
    <row r="527" customFormat="false" ht="15.75" hidden="false" customHeight="false" outlineLevel="0" collapsed="false">
      <c r="B527" s="20"/>
    </row>
    <row r="528" customFormat="false" ht="15.75" hidden="false" customHeight="false" outlineLevel="0" collapsed="false">
      <c r="B528" s="20"/>
    </row>
    <row r="529" customFormat="false" ht="15.75" hidden="false" customHeight="false" outlineLevel="0" collapsed="false">
      <c r="B529" s="20"/>
    </row>
    <row r="530" customFormat="false" ht="15.75" hidden="false" customHeight="false" outlineLevel="0" collapsed="false">
      <c r="B530" s="20"/>
    </row>
    <row r="531" customFormat="false" ht="15.75" hidden="false" customHeight="false" outlineLevel="0" collapsed="false">
      <c r="B531" s="20"/>
    </row>
    <row r="532" customFormat="false" ht="15.75" hidden="false" customHeight="false" outlineLevel="0" collapsed="false">
      <c r="B532" s="20"/>
    </row>
    <row r="533" customFormat="false" ht="15.75" hidden="false" customHeight="false" outlineLevel="0" collapsed="false">
      <c r="B533" s="20"/>
    </row>
    <row r="534" customFormat="false" ht="15.75" hidden="false" customHeight="false" outlineLevel="0" collapsed="false">
      <c r="B534" s="20"/>
    </row>
    <row r="535" customFormat="false" ht="15.75" hidden="false" customHeight="false" outlineLevel="0" collapsed="false">
      <c r="B535" s="20"/>
    </row>
    <row r="536" customFormat="false" ht="15.75" hidden="false" customHeight="false" outlineLevel="0" collapsed="false">
      <c r="B536" s="20"/>
    </row>
    <row r="537" customFormat="false" ht="15.75" hidden="false" customHeight="false" outlineLevel="0" collapsed="false">
      <c r="B537" s="20"/>
    </row>
    <row r="538" customFormat="false" ht="15.75" hidden="false" customHeight="false" outlineLevel="0" collapsed="false">
      <c r="B538" s="20"/>
    </row>
    <row r="539" customFormat="false" ht="15.75" hidden="false" customHeight="false" outlineLevel="0" collapsed="false">
      <c r="B539" s="20"/>
    </row>
    <row r="540" customFormat="false" ht="15.75" hidden="false" customHeight="false" outlineLevel="0" collapsed="false">
      <c r="B540" s="20"/>
    </row>
    <row r="541" customFormat="false" ht="15.75" hidden="false" customHeight="false" outlineLevel="0" collapsed="false">
      <c r="B541" s="20"/>
    </row>
    <row r="542" customFormat="false" ht="15.75" hidden="false" customHeight="false" outlineLevel="0" collapsed="false">
      <c r="B542" s="20"/>
    </row>
    <row r="543" customFormat="false" ht="15.75" hidden="false" customHeight="false" outlineLevel="0" collapsed="false">
      <c r="B543" s="20"/>
    </row>
    <row r="544" customFormat="false" ht="15.75" hidden="false" customHeight="false" outlineLevel="0" collapsed="false">
      <c r="B544" s="20"/>
    </row>
    <row r="545" customFormat="false" ht="15.75" hidden="false" customHeight="false" outlineLevel="0" collapsed="false">
      <c r="B545" s="20"/>
    </row>
    <row r="546" customFormat="false" ht="15.75" hidden="false" customHeight="false" outlineLevel="0" collapsed="false">
      <c r="B546" s="20"/>
    </row>
    <row r="547" customFormat="false" ht="15.75" hidden="false" customHeight="false" outlineLevel="0" collapsed="false">
      <c r="B547" s="20"/>
    </row>
    <row r="548" customFormat="false" ht="15.75" hidden="false" customHeight="false" outlineLevel="0" collapsed="false">
      <c r="B548" s="20"/>
    </row>
    <row r="549" customFormat="false" ht="15.75" hidden="false" customHeight="false" outlineLevel="0" collapsed="false">
      <c r="B549" s="20"/>
    </row>
    <row r="550" customFormat="false" ht="15.75" hidden="false" customHeight="false" outlineLevel="0" collapsed="false">
      <c r="B550" s="20"/>
    </row>
    <row r="551" customFormat="false" ht="15.75" hidden="false" customHeight="false" outlineLevel="0" collapsed="false">
      <c r="B551" s="20"/>
    </row>
    <row r="552" customFormat="false" ht="15.75" hidden="false" customHeight="false" outlineLevel="0" collapsed="false">
      <c r="B552" s="20"/>
    </row>
    <row r="553" customFormat="false" ht="15.75" hidden="false" customHeight="false" outlineLevel="0" collapsed="false">
      <c r="B553" s="20"/>
    </row>
    <row r="554" customFormat="false" ht="15.75" hidden="false" customHeight="false" outlineLevel="0" collapsed="false">
      <c r="B554" s="20"/>
    </row>
    <row r="555" customFormat="false" ht="15.75" hidden="false" customHeight="false" outlineLevel="0" collapsed="false">
      <c r="B555" s="20"/>
    </row>
    <row r="556" customFormat="false" ht="15.75" hidden="false" customHeight="false" outlineLevel="0" collapsed="false">
      <c r="B556" s="20"/>
    </row>
    <row r="557" customFormat="false" ht="15.75" hidden="false" customHeight="false" outlineLevel="0" collapsed="false">
      <c r="B557" s="20"/>
    </row>
    <row r="558" customFormat="false" ht="15.75" hidden="false" customHeight="false" outlineLevel="0" collapsed="false">
      <c r="B558" s="20"/>
    </row>
    <row r="559" customFormat="false" ht="15.75" hidden="false" customHeight="false" outlineLevel="0" collapsed="false">
      <c r="B559" s="20"/>
    </row>
    <row r="560" customFormat="false" ht="15.75" hidden="false" customHeight="false" outlineLevel="0" collapsed="false">
      <c r="B560" s="20"/>
    </row>
    <row r="561" customFormat="false" ht="15.75" hidden="false" customHeight="false" outlineLevel="0" collapsed="false">
      <c r="B561" s="20"/>
    </row>
    <row r="562" customFormat="false" ht="15.75" hidden="false" customHeight="false" outlineLevel="0" collapsed="false">
      <c r="B562" s="20"/>
    </row>
    <row r="563" customFormat="false" ht="15.75" hidden="false" customHeight="false" outlineLevel="0" collapsed="false">
      <c r="B563" s="20"/>
    </row>
    <row r="564" customFormat="false" ht="15.75" hidden="false" customHeight="false" outlineLevel="0" collapsed="false">
      <c r="B564" s="20"/>
    </row>
    <row r="565" customFormat="false" ht="15.75" hidden="false" customHeight="false" outlineLevel="0" collapsed="false">
      <c r="B565" s="20"/>
    </row>
    <row r="566" customFormat="false" ht="15.75" hidden="false" customHeight="false" outlineLevel="0" collapsed="false">
      <c r="B566" s="20"/>
    </row>
    <row r="567" customFormat="false" ht="15.75" hidden="false" customHeight="false" outlineLevel="0" collapsed="false">
      <c r="B567" s="20"/>
    </row>
    <row r="568" customFormat="false" ht="15.75" hidden="false" customHeight="false" outlineLevel="0" collapsed="false">
      <c r="B568" s="20"/>
    </row>
    <row r="569" customFormat="false" ht="15.75" hidden="false" customHeight="false" outlineLevel="0" collapsed="false">
      <c r="B569" s="20"/>
    </row>
    <row r="570" customFormat="false" ht="15.75" hidden="false" customHeight="false" outlineLevel="0" collapsed="false">
      <c r="B570" s="20"/>
    </row>
    <row r="571" customFormat="false" ht="15.75" hidden="false" customHeight="false" outlineLevel="0" collapsed="false">
      <c r="B571" s="20"/>
    </row>
    <row r="572" customFormat="false" ht="15.75" hidden="false" customHeight="false" outlineLevel="0" collapsed="false">
      <c r="B572" s="20"/>
    </row>
    <row r="573" customFormat="false" ht="15.75" hidden="false" customHeight="false" outlineLevel="0" collapsed="false">
      <c r="B573" s="20"/>
    </row>
    <row r="574" customFormat="false" ht="15.75" hidden="false" customHeight="false" outlineLevel="0" collapsed="false">
      <c r="B574" s="20"/>
    </row>
    <row r="575" customFormat="false" ht="15.75" hidden="false" customHeight="false" outlineLevel="0" collapsed="false">
      <c r="B575" s="20"/>
    </row>
    <row r="576" customFormat="false" ht="15.75" hidden="false" customHeight="false" outlineLevel="0" collapsed="false">
      <c r="B576" s="20"/>
    </row>
    <row r="577" customFormat="false" ht="15.75" hidden="false" customHeight="false" outlineLevel="0" collapsed="false">
      <c r="B577" s="20"/>
    </row>
    <row r="578" customFormat="false" ht="15.75" hidden="false" customHeight="false" outlineLevel="0" collapsed="false">
      <c r="B578" s="20"/>
    </row>
    <row r="579" customFormat="false" ht="15.75" hidden="false" customHeight="false" outlineLevel="0" collapsed="false">
      <c r="B579" s="20"/>
    </row>
    <row r="580" customFormat="false" ht="15.75" hidden="false" customHeight="false" outlineLevel="0" collapsed="false">
      <c r="B580" s="20"/>
    </row>
    <row r="581" customFormat="false" ht="15.75" hidden="false" customHeight="false" outlineLevel="0" collapsed="false">
      <c r="B581" s="20"/>
    </row>
    <row r="582" customFormat="false" ht="15.75" hidden="false" customHeight="false" outlineLevel="0" collapsed="false">
      <c r="B582" s="20"/>
    </row>
    <row r="583" customFormat="false" ht="15.75" hidden="false" customHeight="false" outlineLevel="0" collapsed="false">
      <c r="B583" s="20"/>
    </row>
    <row r="584" customFormat="false" ht="15.75" hidden="false" customHeight="false" outlineLevel="0" collapsed="false">
      <c r="B584" s="20"/>
    </row>
    <row r="585" customFormat="false" ht="15.75" hidden="false" customHeight="false" outlineLevel="0" collapsed="false">
      <c r="B585" s="20"/>
    </row>
    <row r="586" customFormat="false" ht="15.75" hidden="false" customHeight="false" outlineLevel="0" collapsed="false">
      <c r="B586" s="20"/>
    </row>
    <row r="587" customFormat="false" ht="15.75" hidden="false" customHeight="false" outlineLevel="0" collapsed="false">
      <c r="B587" s="20"/>
    </row>
    <row r="588" customFormat="false" ht="15.75" hidden="false" customHeight="false" outlineLevel="0" collapsed="false">
      <c r="B588" s="20"/>
    </row>
    <row r="589" customFormat="false" ht="15.75" hidden="false" customHeight="false" outlineLevel="0" collapsed="false">
      <c r="B589" s="20"/>
    </row>
    <row r="590" customFormat="false" ht="15.75" hidden="false" customHeight="false" outlineLevel="0" collapsed="false">
      <c r="B590" s="20"/>
    </row>
    <row r="591" customFormat="false" ht="15.75" hidden="false" customHeight="false" outlineLevel="0" collapsed="false">
      <c r="B591" s="20"/>
    </row>
    <row r="592" customFormat="false" ht="15.75" hidden="false" customHeight="false" outlineLevel="0" collapsed="false">
      <c r="B592" s="20"/>
    </row>
    <row r="593" customFormat="false" ht="15.75" hidden="false" customHeight="false" outlineLevel="0" collapsed="false">
      <c r="B593" s="20"/>
    </row>
    <row r="594" customFormat="false" ht="15.75" hidden="false" customHeight="false" outlineLevel="0" collapsed="false">
      <c r="B594" s="20"/>
    </row>
    <row r="595" customFormat="false" ht="15.75" hidden="false" customHeight="false" outlineLevel="0" collapsed="false">
      <c r="B595" s="20"/>
    </row>
    <row r="596" customFormat="false" ht="15.75" hidden="false" customHeight="false" outlineLevel="0" collapsed="false">
      <c r="B596" s="20"/>
    </row>
    <row r="597" customFormat="false" ht="15.75" hidden="false" customHeight="false" outlineLevel="0" collapsed="false">
      <c r="B597" s="20"/>
    </row>
    <row r="598" customFormat="false" ht="15.75" hidden="false" customHeight="false" outlineLevel="0" collapsed="false">
      <c r="B598" s="20"/>
    </row>
    <row r="599" customFormat="false" ht="15.75" hidden="false" customHeight="false" outlineLevel="0" collapsed="false">
      <c r="B599" s="20"/>
    </row>
    <row r="600" customFormat="false" ht="15.75" hidden="false" customHeight="false" outlineLevel="0" collapsed="false">
      <c r="B600" s="20"/>
    </row>
    <row r="601" customFormat="false" ht="15.75" hidden="false" customHeight="false" outlineLevel="0" collapsed="false">
      <c r="B601" s="20"/>
    </row>
    <row r="602" customFormat="false" ht="15.75" hidden="false" customHeight="false" outlineLevel="0" collapsed="false">
      <c r="B602" s="20"/>
    </row>
    <row r="603" customFormat="false" ht="15.75" hidden="false" customHeight="false" outlineLevel="0" collapsed="false">
      <c r="B603" s="20"/>
    </row>
    <row r="604" customFormat="false" ht="15.75" hidden="false" customHeight="false" outlineLevel="0" collapsed="false">
      <c r="B604" s="20"/>
    </row>
    <row r="605" customFormat="false" ht="15.75" hidden="false" customHeight="false" outlineLevel="0" collapsed="false">
      <c r="B605" s="20"/>
    </row>
    <row r="606" customFormat="false" ht="15.75" hidden="false" customHeight="false" outlineLevel="0" collapsed="false">
      <c r="B606" s="20"/>
    </row>
    <row r="607" customFormat="false" ht="15.75" hidden="false" customHeight="false" outlineLevel="0" collapsed="false">
      <c r="B607" s="20"/>
    </row>
    <row r="608" customFormat="false" ht="15.75" hidden="false" customHeight="false" outlineLevel="0" collapsed="false">
      <c r="B608" s="20"/>
    </row>
    <row r="609" customFormat="false" ht="15.75" hidden="false" customHeight="false" outlineLevel="0" collapsed="false">
      <c r="B609" s="20"/>
    </row>
    <row r="610" customFormat="false" ht="15.75" hidden="false" customHeight="false" outlineLevel="0" collapsed="false">
      <c r="B610" s="20"/>
    </row>
    <row r="611" customFormat="false" ht="15.75" hidden="false" customHeight="false" outlineLevel="0" collapsed="false">
      <c r="B611" s="20"/>
    </row>
    <row r="612" customFormat="false" ht="15.75" hidden="false" customHeight="false" outlineLevel="0" collapsed="false">
      <c r="B612" s="20"/>
    </row>
    <row r="613" customFormat="false" ht="15.75" hidden="false" customHeight="false" outlineLevel="0" collapsed="false">
      <c r="B613" s="20"/>
    </row>
    <row r="614" customFormat="false" ht="15.75" hidden="false" customHeight="false" outlineLevel="0" collapsed="false">
      <c r="B614" s="20"/>
    </row>
    <row r="615" customFormat="false" ht="15.75" hidden="false" customHeight="false" outlineLevel="0" collapsed="false">
      <c r="B615" s="20"/>
    </row>
    <row r="616" customFormat="false" ht="15.75" hidden="false" customHeight="false" outlineLevel="0" collapsed="false">
      <c r="B616" s="20"/>
    </row>
    <row r="617" customFormat="false" ht="15.75" hidden="false" customHeight="false" outlineLevel="0" collapsed="false">
      <c r="B617" s="20"/>
    </row>
    <row r="618" customFormat="false" ht="15.75" hidden="false" customHeight="false" outlineLevel="0" collapsed="false">
      <c r="B618" s="20"/>
    </row>
    <row r="619" customFormat="false" ht="15.75" hidden="false" customHeight="false" outlineLevel="0" collapsed="false">
      <c r="B619" s="20"/>
    </row>
    <row r="620" customFormat="false" ht="15.75" hidden="false" customHeight="false" outlineLevel="0" collapsed="false">
      <c r="B620" s="20"/>
    </row>
    <row r="621" customFormat="false" ht="15.75" hidden="false" customHeight="false" outlineLevel="0" collapsed="false">
      <c r="B621" s="20"/>
    </row>
    <row r="622" customFormat="false" ht="15.75" hidden="false" customHeight="false" outlineLevel="0" collapsed="false">
      <c r="B622" s="20"/>
    </row>
    <row r="623" customFormat="false" ht="15.75" hidden="false" customHeight="false" outlineLevel="0" collapsed="false">
      <c r="B623" s="20"/>
    </row>
    <row r="624" customFormat="false" ht="15.75" hidden="false" customHeight="false" outlineLevel="0" collapsed="false">
      <c r="B624" s="20"/>
    </row>
    <row r="625" customFormat="false" ht="15.75" hidden="false" customHeight="false" outlineLevel="0" collapsed="false">
      <c r="B625" s="20"/>
    </row>
    <row r="626" customFormat="false" ht="15.75" hidden="false" customHeight="false" outlineLevel="0" collapsed="false">
      <c r="B626" s="20"/>
    </row>
    <row r="627" customFormat="false" ht="15.75" hidden="false" customHeight="false" outlineLevel="0" collapsed="false">
      <c r="B627" s="20"/>
    </row>
    <row r="628" customFormat="false" ht="15.75" hidden="false" customHeight="false" outlineLevel="0" collapsed="false">
      <c r="B628" s="20"/>
    </row>
    <row r="629" customFormat="false" ht="15.75" hidden="false" customHeight="false" outlineLevel="0" collapsed="false">
      <c r="B629" s="20"/>
    </row>
    <row r="630" customFormat="false" ht="15.75" hidden="false" customHeight="false" outlineLevel="0" collapsed="false">
      <c r="B630" s="20"/>
    </row>
    <row r="631" customFormat="false" ht="15.75" hidden="false" customHeight="false" outlineLevel="0" collapsed="false">
      <c r="B631" s="20"/>
    </row>
    <row r="632" customFormat="false" ht="15.75" hidden="false" customHeight="false" outlineLevel="0" collapsed="false">
      <c r="B632" s="20"/>
    </row>
    <row r="633" customFormat="false" ht="15.75" hidden="false" customHeight="false" outlineLevel="0" collapsed="false">
      <c r="B633" s="20"/>
    </row>
    <row r="634" customFormat="false" ht="15.75" hidden="false" customHeight="false" outlineLevel="0" collapsed="false">
      <c r="B634" s="20"/>
    </row>
    <row r="635" customFormat="false" ht="15.75" hidden="false" customHeight="false" outlineLevel="0" collapsed="false">
      <c r="B635" s="20"/>
    </row>
    <row r="636" customFormat="false" ht="15.75" hidden="false" customHeight="false" outlineLevel="0" collapsed="false">
      <c r="B636" s="20"/>
    </row>
    <row r="637" customFormat="false" ht="15.75" hidden="false" customHeight="false" outlineLevel="0" collapsed="false">
      <c r="B637" s="20"/>
    </row>
    <row r="638" customFormat="false" ht="15.75" hidden="false" customHeight="false" outlineLevel="0" collapsed="false">
      <c r="B638" s="20"/>
    </row>
    <row r="639" customFormat="false" ht="15.75" hidden="false" customHeight="false" outlineLevel="0" collapsed="false">
      <c r="B639" s="20"/>
    </row>
    <row r="640" customFormat="false" ht="15.75" hidden="false" customHeight="false" outlineLevel="0" collapsed="false">
      <c r="B640" s="20"/>
    </row>
    <row r="641" customFormat="false" ht="15.75" hidden="false" customHeight="false" outlineLevel="0" collapsed="false">
      <c r="B641" s="20"/>
    </row>
    <row r="642" customFormat="false" ht="15.75" hidden="false" customHeight="false" outlineLevel="0" collapsed="false">
      <c r="B642" s="20"/>
    </row>
    <row r="643" customFormat="false" ht="15.75" hidden="false" customHeight="false" outlineLevel="0" collapsed="false">
      <c r="B643" s="20"/>
    </row>
    <row r="644" customFormat="false" ht="15.75" hidden="false" customHeight="false" outlineLevel="0" collapsed="false">
      <c r="B644" s="20"/>
    </row>
    <row r="645" customFormat="false" ht="15.75" hidden="false" customHeight="false" outlineLevel="0" collapsed="false">
      <c r="B645" s="20"/>
    </row>
    <row r="646" customFormat="false" ht="15.75" hidden="false" customHeight="false" outlineLevel="0" collapsed="false">
      <c r="B646" s="20"/>
    </row>
    <row r="647" customFormat="false" ht="15.75" hidden="false" customHeight="false" outlineLevel="0" collapsed="false">
      <c r="B647" s="20"/>
    </row>
    <row r="648" customFormat="false" ht="15.75" hidden="false" customHeight="false" outlineLevel="0" collapsed="false">
      <c r="B648" s="20"/>
    </row>
    <row r="649" customFormat="false" ht="15.75" hidden="false" customHeight="false" outlineLevel="0" collapsed="false">
      <c r="B649" s="20"/>
    </row>
    <row r="650" customFormat="false" ht="15.75" hidden="false" customHeight="false" outlineLevel="0" collapsed="false">
      <c r="B650" s="20"/>
    </row>
    <row r="651" customFormat="false" ht="15.75" hidden="false" customHeight="false" outlineLevel="0" collapsed="false">
      <c r="B651" s="20"/>
    </row>
    <row r="652" customFormat="false" ht="15.75" hidden="false" customHeight="false" outlineLevel="0" collapsed="false">
      <c r="B652" s="20"/>
    </row>
    <row r="653" customFormat="false" ht="15.75" hidden="false" customHeight="false" outlineLevel="0" collapsed="false">
      <c r="B653" s="20"/>
    </row>
    <row r="654" customFormat="false" ht="15.75" hidden="false" customHeight="false" outlineLevel="0" collapsed="false">
      <c r="B654" s="20"/>
    </row>
    <row r="655" customFormat="false" ht="15.75" hidden="false" customHeight="false" outlineLevel="0" collapsed="false">
      <c r="B655" s="20"/>
    </row>
    <row r="656" customFormat="false" ht="15.75" hidden="false" customHeight="false" outlineLevel="0" collapsed="false">
      <c r="B656" s="20"/>
    </row>
    <row r="657" customFormat="false" ht="15.75" hidden="false" customHeight="false" outlineLevel="0" collapsed="false">
      <c r="B657" s="20"/>
    </row>
    <row r="658" customFormat="false" ht="15.75" hidden="false" customHeight="false" outlineLevel="0" collapsed="false">
      <c r="B658" s="20"/>
    </row>
    <row r="659" customFormat="false" ht="15.75" hidden="false" customHeight="false" outlineLevel="0" collapsed="false">
      <c r="B659" s="20"/>
    </row>
    <row r="660" customFormat="false" ht="15.75" hidden="false" customHeight="false" outlineLevel="0" collapsed="false">
      <c r="B660" s="20"/>
    </row>
    <row r="661" customFormat="false" ht="15.75" hidden="false" customHeight="false" outlineLevel="0" collapsed="false">
      <c r="B661" s="20"/>
    </row>
    <row r="662" customFormat="false" ht="15.75" hidden="false" customHeight="false" outlineLevel="0" collapsed="false">
      <c r="B662" s="20"/>
    </row>
    <row r="663" customFormat="false" ht="15.75" hidden="false" customHeight="false" outlineLevel="0" collapsed="false">
      <c r="B663" s="20"/>
    </row>
    <row r="664" customFormat="false" ht="15.75" hidden="false" customHeight="false" outlineLevel="0" collapsed="false">
      <c r="B664" s="20"/>
    </row>
    <row r="665" customFormat="false" ht="15.75" hidden="false" customHeight="false" outlineLevel="0" collapsed="false">
      <c r="B665" s="20"/>
    </row>
    <row r="666" customFormat="false" ht="15.75" hidden="false" customHeight="false" outlineLevel="0" collapsed="false">
      <c r="B666" s="20"/>
    </row>
    <row r="667" customFormat="false" ht="15.75" hidden="false" customHeight="false" outlineLevel="0" collapsed="false">
      <c r="B667" s="20"/>
    </row>
    <row r="668" customFormat="false" ht="15.75" hidden="false" customHeight="false" outlineLevel="0" collapsed="false">
      <c r="B668" s="20"/>
    </row>
    <row r="669" customFormat="false" ht="15.75" hidden="false" customHeight="false" outlineLevel="0" collapsed="false">
      <c r="B669" s="20"/>
    </row>
    <row r="670" customFormat="false" ht="15.75" hidden="false" customHeight="false" outlineLevel="0" collapsed="false">
      <c r="B670" s="20"/>
    </row>
    <row r="671" customFormat="false" ht="15.75" hidden="false" customHeight="false" outlineLevel="0" collapsed="false">
      <c r="B671" s="20"/>
    </row>
    <row r="672" customFormat="false" ht="15.75" hidden="false" customHeight="false" outlineLevel="0" collapsed="false">
      <c r="B672" s="20"/>
    </row>
    <row r="673" customFormat="false" ht="15.75" hidden="false" customHeight="false" outlineLevel="0" collapsed="false">
      <c r="B673" s="20"/>
    </row>
    <row r="674" customFormat="false" ht="15.75" hidden="false" customHeight="false" outlineLevel="0" collapsed="false">
      <c r="B674" s="20"/>
    </row>
    <row r="675" customFormat="false" ht="15.75" hidden="false" customHeight="false" outlineLevel="0" collapsed="false">
      <c r="B675" s="20"/>
    </row>
    <row r="676" customFormat="false" ht="15.75" hidden="false" customHeight="false" outlineLevel="0" collapsed="false">
      <c r="B676" s="20"/>
    </row>
    <row r="677" customFormat="false" ht="15.75" hidden="false" customHeight="false" outlineLevel="0" collapsed="false">
      <c r="B677" s="20"/>
    </row>
    <row r="678" customFormat="false" ht="15.75" hidden="false" customHeight="false" outlineLevel="0" collapsed="false">
      <c r="B678" s="20"/>
    </row>
    <row r="679" customFormat="false" ht="15.75" hidden="false" customHeight="false" outlineLevel="0" collapsed="false">
      <c r="B679" s="20"/>
    </row>
    <row r="680" customFormat="false" ht="15.75" hidden="false" customHeight="false" outlineLevel="0" collapsed="false">
      <c r="B680" s="20"/>
    </row>
    <row r="681" customFormat="false" ht="15.75" hidden="false" customHeight="false" outlineLevel="0" collapsed="false">
      <c r="B681" s="20"/>
    </row>
    <row r="682" customFormat="false" ht="15.75" hidden="false" customHeight="false" outlineLevel="0" collapsed="false">
      <c r="B682" s="20"/>
    </row>
    <row r="683" customFormat="false" ht="15.75" hidden="false" customHeight="false" outlineLevel="0" collapsed="false">
      <c r="B683" s="20"/>
    </row>
    <row r="684" customFormat="false" ht="15.75" hidden="false" customHeight="false" outlineLevel="0" collapsed="false">
      <c r="B684" s="20"/>
    </row>
    <row r="685" customFormat="false" ht="15.75" hidden="false" customHeight="false" outlineLevel="0" collapsed="false">
      <c r="B685" s="20"/>
    </row>
    <row r="686" customFormat="false" ht="15.75" hidden="false" customHeight="false" outlineLevel="0" collapsed="false">
      <c r="B686" s="20"/>
    </row>
    <row r="687" customFormat="false" ht="15.75" hidden="false" customHeight="false" outlineLevel="0" collapsed="false">
      <c r="B687" s="20"/>
    </row>
    <row r="688" customFormat="false" ht="15.75" hidden="false" customHeight="false" outlineLevel="0" collapsed="false">
      <c r="B688" s="20"/>
    </row>
    <row r="689" customFormat="false" ht="15.75" hidden="false" customHeight="false" outlineLevel="0" collapsed="false">
      <c r="B689" s="20"/>
    </row>
    <row r="690" customFormat="false" ht="15.75" hidden="false" customHeight="false" outlineLevel="0" collapsed="false">
      <c r="B690" s="20"/>
    </row>
    <row r="691" customFormat="false" ht="15.75" hidden="false" customHeight="false" outlineLevel="0" collapsed="false">
      <c r="B691" s="20"/>
    </row>
    <row r="692" customFormat="false" ht="15.75" hidden="false" customHeight="false" outlineLevel="0" collapsed="false">
      <c r="B692" s="20"/>
    </row>
    <row r="693" customFormat="false" ht="15.75" hidden="false" customHeight="false" outlineLevel="0" collapsed="false">
      <c r="B693" s="20"/>
    </row>
    <row r="694" customFormat="false" ht="15.75" hidden="false" customHeight="false" outlineLevel="0" collapsed="false">
      <c r="B694" s="20"/>
    </row>
    <row r="695" customFormat="false" ht="15.75" hidden="false" customHeight="false" outlineLevel="0" collapsed="false">
      <c r="B695" s="20"/>
    </row>
    <row r="696" customFormat="false" ht="15.75" hidden="false" customHeight="false" outlineLevel="0" collapsed="false">
      <c r="B696" s="20"/>
    </row>
    <row r="697" customFormat="false" ht="15.75" hidden="false" customHeight="false" outlineLevel="0" collapsed="false">
      <c r="B697" s="20"/>
    </row>
    <row r="698" customFormat="false" ht="15.75" hidden="false" customHeight="false" outlineLevel="0" collapsed="false">
      <c r="B698" s="20"/>
    </row>
    <row r="699" customFormat="false" ht="15.75" hidden="false" customHeight="false" outlineLevel="0" collapsed="false">
      <c r="B699" s="20"/>
    </row>
    <row r="700" customFormat="false" ht="15.75" hidden="false" customHeight="false" outlineLevel="0" collapsed="false">
      <c r="B700" s="20"/>
    </row>
    <row r="701" customFormat="false" ht="15.75" hidden="false" customHeight="false" outlineLevel="0" collapsed="false">
      <c r="B701" s="20"/>
    </row>
    <row r="702" customFormat="false" ht="15.75" hidden="false" customHeight="false" outlineLevel="0" collapsed="false">
      <c r="B702" s="20"/>
    </row>
    <row r="703" customFormat="false" ht="15.75" hidden="false" customHeight="false" outlineLevel="0" collapsed="false">
      <c r="B703" s="20"/>
    </row>
    <row r="704" customFormat="false" ht="15.75" hidden="false" customHeight="false" outlineLevel="0" collapsed="false">
      <c r="B704" s="20"/>
    </row>
    <row r="705" customFormat="false" ht="15.75" hidden="false" customHeight="false" outlineLevel="0" collapsed="false">
      <c r="B705" s="20"/>
    </row>
    <row r="706" customFormat="false" ht="15.75" hidden="false" customHeight="false" outlineLevel="0" collapsed="false">
      <c r="B706" s="20"/>
    </row>
    <row r="707" customFormat="false" ht="15.75" hidden="false" customHeight="false" outlineLevel="0" collapsed="false">
      <c r="B707" s="20"/>
    </row>
    <row r="708" customFormat="false" ht="15.75" hidden="false" customHeight="false" outlineLevel="0" collapsed="false">
      <c r="B708" s="20"/>
    </row>
    <row r="709" customFormat="false" ht="15.75" hidden="false" customHeight="false" outlineLevel="0" collapsed="false">
      <c r="B709" s="20"/>
    </row>
    <row r="710" customFormat="false" ht="15.75" hidden="false" customHeight="false" outlineLevel="0" collapsed="false">
      <c r="B710" s="20"/>
    </row>
    <row r="711" customFormat="false" ht="15.75" hidden="false" customHeight="false" outlineLevel="0" collapsed="false">
      <c r="B711" s="20"/>
    </row>
    <row r="712" customFormat="false" ht="15.75" hidden="false" customHeight="false" outlineLevel="0" collapsed="false">
      <c r="B712" s="20"/>
    </row>
    <row r="713" customFormat="false" ht="15.75" hidden="false" customHeight="false" outlineLevel="0" collapsed="false">
      <c r="B713" s="20"/>
    </row>
    <row r="714" customFormat="false" ht="15.75" hidden="false" customHeight="false" outlineLevel="0" collapsed="false">
      <c r="B714" s="20"/>
    </row>
    <row r="715" customFormat="false" ht="15.75" hidden="false" customHeight="false" outlineLevel="0" collapsed="false">
      <c r="B715" s="20"/>
    </row>
    <row r="716" customFormat="false" ht="15.75" hidden="false" customHeight="false" outlineLevel="0" collapsed="false">
      <c r="B716" s="20"/>
    </row>
    <row r="717" customFormat="false" ht="15.75" hidden="false" customHeight="false" outlineLevel="0" collapsed="false">
      <c r="B717" s="20"/>
    </row>
    <row r="718" customFormat="false" ht="15.75" hidden="false" customHeight="false" outlineLevel="0" collapsed="false">
      <c r="B718" s="20"/>
    </row>
    <row r="719" customFormat="false" ht="15.75" hidden="false" customHeight="false" outlineLevel="0" collapsed="false">
      <c r="B719" s="20"/>
    </row>
    <row r="720" customFormat="false" ht="15.75" hidden="false" customHeight="false" outlineLevel="0" collapsed="false">
      <c r="B720" s="20"/>
    </row>
    <row r="721" customFormat="false" ht="15.75" hidden="false" customHeight="false" outlineLevel="0" collapsed="false">
      <c r="B721" s="20"/>
    </row>
    <row r="722" customFormat="false" ht="15.75" hidden="false" customHeight="false" outlineLevel="0" collapsed="false">
      <c r="B722" s="20"/>
    </row>
    <row r="723" customFormat="false" ht="15.75" hidden="false" customHeight="false" outlineLevel="0" collapsed="false">
      <c r="B723" s="20"/>
    </row>
    <row r="724" customFormat="false" ht="15.75" hidden="false" customHeight="false" outlineLevel="0" collapsed="false">
      <c r="B724" s="20"/>
    </row>
    <row r="725" customFormat="false" ht="15.75" hidden="false" customHeight="false" outlineLevel="0" collapsed="false">
      <c r="B725" s="20"/>
    </row>
    <row r="726" customFormat="false" ht="15.75" hidden="false" customHeight="false" outlineLevel="0" collapsed="false">
      <c r="B726" s="20"/>
    </row>
    <row r="727" customFormat="false" ht="15.75" hidden="false" customHeight="false" outlineLevel="0" collapsed="false">
      <c r="B727" s="20"/>
    </row>
    <row r="728" customFormat="false" ht="15.75" hidden="false" customHeight="false" outlineLevel="0" collapsed="false">
      <c r="B728" s="20"/>
    </row>
    <row r="729" customFormat="false" ht="15.75" hidden="false" customHeight="false" outlineLevel="0" collapsed="false">
      <c r="B729" s="20"/>
    </row>
    <row r="730" customFormat="false" ht="15.75" hidden="false" customHeight="false" outlineLevel="0" collapsed="false">
      <c r="B730" s="20"/>
    </row>
    <row r="731" customFormat="false" ht="15.75" hidden="false" customHeight="false" outlineLevel="0" collapsed="false">
      <c r="B731" s="20"/>
    </row>
    <row r="732" customFormat="false" ht="15.75" hidden="false" customHeight="false" outlineLevel="0" collapsed="false">
      <c r="B732" s="20"/>
    </row>
    <row r="733" customFormat="false" ht="15.75" hidden="false" customHeight="false" outlineLevel="0" collapsed="false">
      <c r="B733" s="20"/>
    </row>
    <row r="734" customFormat="false" ht="15.75" hidden="false" customHeight="false" outlineLevel="0" collapsed="false">
      <c r="B734" s="20"/>
    </row>
    <row r="735" customFormat="false" ht="15.75" hidden="false" customHeight="false" outlineLevel="0" collapsed="false">
      <c r="B735" s="20"/>
    </row>
    <row r="736" customFormat="false" ht="15.75" hidden="false" customHeight="false" outlineLevel="0" collapsed="false">
      <c r="B736" s="20"/>
    </row>
    <row r="737" customFormat="false" ht="15.75" hidden="false" customHeight="false" outlineLevel="0" collapsed="false">
      <c r="B737" s="20"/>
    </row>
    <row r="738" customFormat="false" ht="15.75" hidden="false" customHeight="false" outlineLevel="0" collapsed="false">
      <c r="B738" s="20"/>
    </row>
    <row r="739" customFormat="false" ht="15.75" hidden="false" customHeight="false" outlineLevel="0" collapsed="false">
      <c r="B739" s="20"/>
    </row>
    <row r="740" customFormat="false" ht="15.75" hidden="false" customHeight="false" outlineLevel="0" collapsed="false">
      <c r="B740" s="20"/>
    </row>
    <row r="741" customFormat="false" ht="15.75" hidden="false" customHeight="false" outlineLevel="0" collapsed="false">
      <c r="B741" s="20"/>
    </row>
    <row r="742" customFormat="false" ht="15.75" hidden="false" customHeight="false" outlineLevel="0" collapsed="false">
      <c r="B742" s="20"/>
    </row>
    <row r="743" customFormat="false" ht="15.75" hidden="false" customHeight="false" outlineLevel="0" collapsed="false">
      <c r="B743" s="20"/>
    </row>
    <row r="744" customFormat="false" ht="15.75" hidden="false" customHeight="false" outlineLevel="0" collapsed="false">
      <c r="B744" s="20"/>
    </row>
    <row r="745" customFormat="false" ht="15.75" hidden="false" customHeight="false" outlineLevel="0" collapsed="false">
      <c r="B745" s="20"/>
    </row>
    <row r="746" customFormat="false" ht="15.75" hidden="false" customHeight="false" outlineLevel="0" collapsed="false">
      <c r="B746" s="20"/>
    </row>
    <row r="747" customFormat="false" ht="15.75" hidden="false" customHeight="false" outlineLevel="0" collapsed="false">
      <c r="B747" s="20"/>
    </row>
    <row r="748" customFormat="false" ht="15.75" hidden="false" customHeight="false" outlineLevel="0" collapsed="false">
      <c r="B748" s="20"/>
    </row>
    <row r="749" customFormat="false" ht="15.75" hidden="false" customHeight="false" outlineLevel="0" collapsed="false">
      <c r="B749" s="20"/>
    </row>
    <row r="750" customFormat="false" ht="15.75" hidden="false" customHeight="false" outlineLevel="0" collapsed="false">
      <c r="B750" s="20"/>
    </row>
    <row r="751" customFormat="false" ht="15.75" hidden="false" customHeight="false" outlineLevel="0" collapsed="false">
      <c r="B751" s="20"/>
    </row>
    <row r="752" customFormat="false" ht="15.75" hidden="false" customHeight="false" outlineLevel="0" collapsed="false">
      <c r="B752" s="20"/>
    </row>
    <row r="753" customFormat="false" ht="15.75" hidden="false" customHeight="false" outlineLevel="0" collapsed="false">
      <c r="B753" s="20"/>
    </row>
    <row r="754" customFormat="false" ht="15.75" hidden="false" customHeight="false" outlineLevel="0" collapsed="false">
      <c r="B754" s="20"/>
    </row>
    <row r="755" customFormat="false" ht="15.75" hidden="false" customHeight="false" outlineLevel="0" collapsed="false">
      <c r="B755" s="20"/>
    </row>
    <row r="756" customFormat="false" ht="15.75" hidden="false" customHeight="false" outlineLevel="0" collapsed="false">
      <c r="B756" s="20"/>
    </row>
    <row r="757" customFormat="false" ht="15.75" hidden="false" customHeight="false" outlineLevel="0" collapsed="false">
      <c r="B757" s="20"/>
    </row>
    <row r="758" customFormat="false" ht="15.75" hidden="false" customHeight="false" outlineLevel="0" collapsed="false">
      <c r="B758" s="20"/>
    </row>
    <row r="759" customFormat="false" ht="15.75" hidden="false" customHeight="false" outlineLevel="0" collapsed="false">
      <c r="B759" s="20"/>
    </row>
    <row r="760" customFormat="false" ht="15.75" hidden="false" customHeight="false" outlineLevel="0" collapsed="false">
      <c r="B760" s="20"/>
    </row>
    <row r="761" customFormat="false" ht="15.75" hidden="false" customHeight="false" outlineLevel="0" collapsed="false">
      <c r="B761" s="20"/>
    </row>
    <row r="762" customFormat="false" ht="15.75" hidden="false" customHeight="false" outlineLevel="0" collapsed="false">
      <c r="B762" s="20"/>
    </row>
    <row r="763" customFormat="false" ht="15.75" hidden="false" customHeight="false" outlineLevel="0" collapsed="false">
      <c r="B763" s="20"/>
    </row>
    <row r="764" customFormat="false" ht="15.75" hidden="false" customHeight="false" outlineLevel="0" collapsed="false">
      <c r="B764" s="20"/>
    </row>
    <row r="765" customFormat="false" ht="15.75" hidden="false" customHeight="false" outlineLevel="0" collapsed="false">
      <c r="B765" s="20"/>
    </row>
    <row r="766" customFormat="false" ht="15.75" hidden="false" customHeight="false" outlineLevel="0" collapsed="false">
      <c r="B766" s="20"/>
    </row>
    <row r="767" customFormat="false" ht="15.75" hidden="false" customHeight="false" outlineLevel="0" collapsed="false">
      <c r="B767" s="20"/>
    </row>
    <row r="768" customFormat="false" ht="15.75" hidden="false" customHeight="false" outlineLevel="0" collapsed="false">
      <c r="B768" s="20"/>
    </row>
    <row r="769" customFormat="false" ht="15.75" hidden="false" customHeight="false" outlineLevel="0" collapsed="false">
      <c r="B769" s="20"/>
    </row>
    <row r="770" customFormat="false" ht="15.75" hidden="false" customHeight="false" outlineLevel="0" collapsed="false">
      <c r="B770" s="20"/>
    </row>
    <row r="771" customFormat="false" ht="15.75" hidden="false" customHeight="false" outlineLevel="0" collapsed="false">
      <c r="B771" s="20"/>
    </row>
    <row r="772" customFormat="false" ht="15.75" hidden="false" customHeight="false" outlineLevel="0" collapsed="false">
      <c r="B772" s="20"/>
    </row>
    <row r="773" customFormat="false" ht="15.75" hidden="false" customHeight="false" outlineLevel="0" collapsed="false">
      <c r="B773" s="20"/>
    </row>
    <row r="774" customFormat="false" ht="15.75" hidden="false" customHeight="false" outlineLevel="0" collapsed="false">
      <c r="B774" s="20"/>
    </row>
    <row r="775" customFormat="false" ht="15.75" hidden="false" customHeight="false" outlineLevel="0" collapsed="false">
      <c r="B775" s="20"/>
    </row>
    <row r="776" customFormat="false" ht="15.75" hidden="false" customHeight="false" outlineLevel="0" collapsed="false">
      <c r="B776" s="20"/>
    </row>
    <row r="777" customFormat="false" ht="15.75" hidden="false" customHeight="false" outlineLevel="0" collapsed="false">
      <c r="B777" s="20"/>
    </row>
    <row r="778" customFormat="false" ht="15.75" hidden="false" customHeight="false" outlineLevel="0" collapsed="false">
      <c r="B778" s="20"/>
    </row>
    <row r="779" customFormat="false" ht="15.75" hidden="false" customHeight="false" outlineLevel="0" collapsed="false">
      <c r="B779" s="20"/>
    </row>
    <row r="780" customFormat="false" ht="15.75" hidden="false" customHeight="false" outlineLevel="0" collapsed="false">
      <c r="B780" s="20"/>
    </row>
    <row r="781" customFormat="false" ht="15.75" hidden="false" customHeight="false" outlineLevel="0" collapsed="false">
      <c r="B781" s="20"/>
    </row>
    <row r="782" customFormat="false" ht="15.75" hidden="false" customHeight="false" outlineLevel="0" collapsed="false">
      <c r="B782" s="20"/>
    </row>
    <row r="783" customFormat="false" ht="15.75" hidden="false" customHeight="false" outlineLevel="0" collapsed="false">
      <c r="B783" s="20"/>
    </row>
    <row r="784" customFormat="false" ht="15.75" hidden="false" customHeight="false" outlineLevel="0" collapsed="false">
      <c r="B784" s="20"/>
    </row>
    <row r="785" customFormat="false" ht="15.75" hidden="false" customHeight="false" outlineLevel="0" collapsed="false">
      <c r="B785" s="20"/>
    </row>
    <row r="786" customFormat="false" ht="15.75" hidden="false" customHeight="false" outlineLevel="0" collapsed="false">
      <c r="B786" s="20"/>
    </row>
    <row r="787" customFormat="false" ht="15.75" hidden="false" customHeight="false" outlineLevel="0" collapsed="false">
      <c r="B787" s="20"/>
    </row>
    <row r="788" customFormat="false" ht="15.75" hidden="false" customHeight="false" outlineLevel="0" collapsed="false">
      <c r="B788" s="20"/>
    </row>
    <row r="789" customFormat="false" ht="15.75" hidden="false" customHeight="false" outlineLevel="0" collapsed="false">
      <c r="B789" s="20"/>
    </row>
    <row r="790" customFormat="false" ht="15.75" hidden="false" customHeight="false" outlineLevel="0" collapsed="false">
      <c r="B790" s="20"/>
    </row>
    <row r="791" customFormat="false" ht="15.75" hidden="false" customHeight="false" outlineLevel="0" collapsed="false">
      <c r="B791" s="20"/>
    </row>
    <row r="792" customFormat="false" ht="15.75" hidden="false" customHeight="false" outlineLevel="0" collapsed="false">
      <c r="B792" s="20"/>
    </row>
    <row r="793" customFormat="false" ht="15.75" hidden="false" customHeight="false" outlineLevel="0" collapsed="false">
      <c r="B793" s="20"/>
    </row>
    <row r="794" customFormat="false" ht="15.75" hidden="false" customHeight="false" outlineLevel="0" collapsed="false">
      <c r="B794" s="20"/>
    </row>
    <row r="795" customFormat="false" ht="15.75" hidden="false" customHeight="false" outlineLevel="0" collapsed="false">
      <c r="B795" s="20"/>
    </row>
    <row r="796" customFormat="false" ht="15.75" hidden="false" customHeight="false" outlineLevel="0" collapsed="false">
      <c r="B796" s="20"/>
    </row>
    <row r="797" customFormat="false" ht="15.75" hidden="false" customHeight="false" outlineLevel="0" collapsed="false">
      <c r="B797" s="20"/>
    </row>
    <row r="798" customFormat="false" ht="15.75" hidden="false" customHeight="false" outlineLevel="0" collapsed="false">
      <c r="B798" s="20"/>
    </row>
    <row r="799" customFormat="false" ht="15.75" hidden="false" customHeight="false" outlineLevel="0" collapsed="false">
      <c r="B799" s="20"/>
    </row>
    <row r="800" customFormat="false" ht="15.75" hidden="false" customHeight="false" outlineLevel="0" collapsed="false">
      <c r="B800" s="20"/>
    </row>
    <row r="801" customFormat="false" ht="15.75" hidden="false" customHeight="false" outlineLevel="0" collapsed="false">
      <c r="B801" s="20"/>
    </row>
    <row r="802" customFormat="false" ht="15.75" hidden="false" customHeight="false" outlineLevel="0" collapsed="false">
      <c r="B802" s="20"/>
    </row>
    <row r="803" customFormat="false" ht="15.75" hidden="false" customHeight="false" outlineLevel="0" collapsed="false">
      <c r="B803" s="20"/>
    </row>
    <row r="804" customFormat="false" ht="15.75" hidden="false" customHeight="false" outlineLevel="0" collapsed="false">
      <c r="B804" s="20"/>
    </row>
    <row r="805" customFormat="false" ht="15.75" hidden="false" customHeight="false" outlineLevel="0" collapsed="false">
      <c r="B805" s="20"/>
    </row>
    <row r="806" customFormat="false" ht="15.75" hidden="false" customHeight="false" outlineLevel="0" collapsed="false">
      <c r="B806" s="20"/>
    </row>
    <row r="807" customFormat="false" ht="15.75" hidden="false" customHeight="false" outlineLevel="0" collapsed="false">
      <c r="B807" s="20"/>
    </row>
    <row r="808" customFormat="false" ht="15.75" hidden="false" customHeight="false" outlineLevel="0" collapsed="false">
      <c r="B808" s="20"/>
    </row>
    <row r="809" customFormat="false" ht="15.75" hidden="false" customHeight="false" outlineLevel="0" collapsed="false">
      <c r="B809" s="20"/>
    </row>
    <row r="810" customFormat="false" ht="15.75" hidden="false" customHeight="false" outlineLevel="0" collapsed="false">
      <c r="B810" s="20"/>
    </row>
    <row r="811" customFormat="false" ht="15.75" hidden="false" customHeight="false" outlineLevel="0" collapsed="false">
      <c r="B811" s="20"/>
    </row>
    <row r="812" customFormat="false" ht="15.75" hidden="false" customHeight="false" outlineLevel="0" collapsed="false">
      <c r="B812" s="20"/>
    </row>
    <row r="813" customFormat="false" ht="15.75" hidden="false" customHeight="false" outlineLevel="0" collapsed="false">
      <c r="B813" s="20"/>
    </row>
    <row r="814" customFormat="false" ht="15.75" hidden="false" customHeight="false" outlineLevel="0" collapsed="false">
      <c r="B814" s="20"/>
    </row>
    <row r="815" customFormat="false" ht="15.75" hidden="false" customHeight="false" outlineLevel="0" collapsed="false">
      <c r="B815" s="20"/>
    </row>
    <row r="816" customFormat="false" ht="15.75" hidden="false" customHeight="false" outlineLevel="0" collapsed="false">
      <c r="B816" s="20"/>
    </row>
    <row r="817" customFormat="false" ht="15.75" hidden="false" customHeight="false" outlineLevel="0" collapsed="false">
      <c r="B817" s="20"/>
    </row>
    <row r="818" customFormat="false" ht="15.75" hidden="false" customHeight="false" outlineLevel="0" collapsed="false">
      <c r="B818" s="20"/>
    </row>
    <row r="819" customFormat="false" ht="15.75" hidden="false" customHeight="false" outlineLevel="0" collapsed="false">
      <c r="B819" s="20"/>
    </row>
    <row r="820" customFormat="false" ht="15.75" hidden="false" customHeight="false" outlineLevel="0" collapsed="false">
      <c r="B820" s="20"/>
    </row>
    <row r="821" customFormat="false" ht="15.75" hidden="false" customHeight="false" outlineLevel="0" collapsed="false">
      <c r="B821" s="20"/>
    </row>
    <row r="822" customFormat="false" ht="15.75" hidden="false" customHeight="false" outlineLevel="0" collapsed="false">
      <c r="B822" s="20"/>
    </row>
    <row r="823" customFormat="false" ht="15.75" hidden="false" customHeight="false" outlineLevel="0" collapsed="false">
      <c r="B823" s="20"/>
    </row>
    <row r="824" customFormat="false" ht="15.75" hidden="false" customHeight="false" outlineLevel="0" collapsed="false">
      <c r="B824" s="20"/>
    </row>
    <row r="825" customFormat="false" ht="15.75" hidden="false" customHeight="false" outlineLevel="0" collapsed="false">
      <c r="B825" s="20"/>
    </row>
    <row r="826" customFormat="false" ht="15.75" hidden="false" customHeight="false" outlineLevel="0" collapsed="false">
      <c r="B826" s="20"/>
    </row>
    <row r="827" customFormat="false" ht="15.75" hidden="false" customHeight="false" outlineLevel="0" collapsed="false">
      <c r="B827" s="20"/>
    </row>
    <row r="828" customFormat="false" ht="15.75" hidden="false" customHeight="false" outlineLevel="0" collapsed="false">
      <c r="B828" s="20"/>
    </row>
    <row r="829" customFormat="false" ht="15.75" hidden="false" customHeight="false" outlineLevel="0" collapsed="false">
      <c r="B829" s="20"/>
    </row>
    <row r="830" customFormat="false" ht="15.75" hidden="false" customHeight="false" outlineLevel="0" collapsed="false">
      <c r="B830" s="20"/>
    </row>
    <row r="831" customFormat="false" ht="15.75" hidden="false" customHeight="false" outlineLevel="0" collapsed="false">
      <c r="B831" s="20"/>
    </row>
    <row r="832" customFormat="false" ht="15.75" hidden="false" customHeight="false" outlineLevel="0" collapsed="false">
      <c r="B832" s="20"/>
    </row>
    <row r="833" customFormat="false" ht="15.75" hidden="false" customHeight="false" outlineLevel="0" collapsed="false">
      <c r="B833" s="20"/>
    </row>
    <row r="834" customFormat="false" ht="15.75" hidden="false" customHeight="false" outlineLevel="0" collapsed="false">
      <c r="B834" s="20"/>
    </row>
    <row r="835" customFormat="false" ht="15.75" hidden="false" customHeight="false" outlineLevel="0" collapsed="false">
      <c r="B835" s="20"/>
    </row>
    <row r="836" customFormat="false" ht="15.75" hidden="false" customHeight="false" outlineLevel="0" collapsed="false">
      <c r="B836" s="20"/>
    </row>
    <row r="837" customFormat="false" ht="15.75" hidden="false" customHeight="false" outlineLevel="0" collapsed="false">
      <c r="B837" s="20"/>
    </row>
    <row r="838" customFormat="false" ht="15.75" hidden="false" customHeight="false" outlineLevel="0" collapsed="false">
      <c r="B838" s="20"/>
    </row>
    <row r="839" customFormat="false" ht="15.75" hidden="false" customHeight="false" outlineLevel="0" collapsed="false">
      <c r="B839" s="20"/>
    </row>
    <row r="840" customFormat="false" ht="15.75" hidden="false" customHeight="false" outlineLevel="0" collapsed="false">
      <c r="B840" s="20"/>
    </row>
    <row r="841" customFormat="false" ht="15.75" hidden="false" customHeight="false" outlineLevel="0" collapsed="false">
      <c r="B841" s="20"/>
    </row>
    <row r="842" customFormat="false" ht="15.75" hidden="false" customHeight="false" outlineLevel="0" collapsed="false">
      <c r="B842" s="20"/>
    </row>
    <row r="843" customFormat="false" ht="15.75" hidden="false" customHeight="false" outlineLevel="0" collapsed="false">
      <c r="B843" s="20"/>
    </row>
    <row r="844" customFormat="false" ht="15.75" hidden="false" customHeight="false" outlineLevel="0" collapsed="false">
      <c r="B844" s="20"/>
    </row>
    <row r="845" customFormat="false" ht="15.75" hidden="false" customHeight="false" outlineLevel="0" collapsed="false">
      <c r="B845" s="20"/>
    </row>
    <row r="846" customFormat="false" ht="15.75" hidden="false" customHeight="false" outlineLevel="0" collapsed="false">
      <c r="B846" s="20"/>
    </row>
    <row r="847" customFormat="false" ht="15.75" hidden="false" customHeight="false" outlineLevel="0" collapsed="false">
      <c r="B847" s="20"/>
    </row>
    <row r="848" customFormat="false" ht="15.75" hidden="false" customHeight="false" outlineLevel="0" collapsed="false">
      <c r="B848" s="20"/>
    </row>
    <row r="849" customFormat="false" ht="15.75" hidden="false" customHeight="false" outlineLevel="0" collapsed="false">
      <c r="B849" s="20"/>
    </row>
    <row r="850" customFormat="false" ht="15.75" hidden="false" customHeight="false" outlineLevel="0" collapsed="false">
      <c r="B850" s="20"/>
    </row>
    <row r="851" customFormat="false" ht="15.75" hidden="false" customHeight="false" outlineLevel="0" collapsed="false">
      <c r="B851" s="20"/>
    </row>
    <row r="852" customFormat="false" ht="15.75" hidden="false" customHeight="false" outlineLevel="0" collapsed="false">
      <c r="B852" s="20"/>
    </row>
    <row r="853" customFormat="false" ht="15.75" hidden="false" customHeight="false" outlineLevel="0" collapsed="false">
      <c r="B853" s="20"/>
    </row>
    <row r="854" customFormat="false" ht="15.75" hidden="false" customHeight="false" outlineLevel="0" collapsed="false">
      <c r="B854" s="20"/>
    </row>
    <row r="855" customFormat="false" ht="15.75" hidden="false" customHeight="false" outlineLevel="0" collapsed="false">
      <c r="B855" s="20"/>
    </row>
    <row r="856" customFormat="false" ht="15.75" hidden="false" customHeight="false" outlineLevel="0" collapsed="false">
      <c r="B856" s="20"/>
    </row>
    <row r="857" customFormat="false" ht="15.75" hidden="false" customHeight="false" outlineLevel="0" collapsed="false">
      <c r="B857" s="20"/>
    </row>
    <row r="858" customFormat="false" ht="15.75" hidden="false" customHeight="false" outlineLevel="0" collapsed="false">
      <c r="B858" s="20"/>
    </row>
    <row r="859" customFormat="false" ht="15.75" hidden="false" customHeight="false" outlineLevel="0" collapsed="false">
      <c r="B859" s="20"/>
    </row>
    <row r="860" customFormat="false" ht="15.75" hidden="false" customHeight="false" outlineLevel="0" collapsed="false">
      <c r="B860" s="20"/>
    </row>
    <row r="861" customFormat="false" ht="15.75" hidden="false" customHeight="false" outlineLevel="0" collapsed="false">
      <c r="B861" s="20"/>
    </row>
    <row r="862" customFormat="false" ht="15.75" hidden="false" customHeight="false" outlineLevel="0" collapsed="false">
      <c r="B862" s="20"/>
    </row>
    <row r="863" customFormat="false" ht="15.75" hidden="false" customHeight="false" outlineLevel="0" collapsed="false">
      <c r="B863" s="20"/>
    </row>
    <row r="864" customFormat="false" ht="15.75" hidden="false" customHeight="false" outlineLevel="0" collapsed="false">
      <c r="B864" s="20"/>
    </row>
    <row r="865" customFormat="false" ht="15.75" hidden="false" customHeight="false" outlineLevel="0" collapsed="false">
      <c r="B865" s="20"/>
    </row>
    <row r="866" customFormat="false" ht="15.75" hidden="false" customHeight="false" outlineLevel="0" collapsed="false">
      <c r="B866" s="20"/>
    </row>
    <row r="867" customFormat="false" ht="15.75" hidden="false" customHeight="false" outlineLevel="0" collapsed="false">
      <c r="B867" s="20"/>
    </row>
    <row r="868" customFormat="false" ht="15.75" hidden="false" customHeight="false" outlineLevel="0" collapsed="false">
      <c r="B868" s="20"/>
    </row>
    <row r="869" customFormat="false" ht="15.75" hidden="false" customHeight="false" outlineLevel="0" collapsed="false">
      <c r="B869" s="20"/>
    </row>
    <row r="870" customFormat="false" ht="15.75" hidden="false" customHeight="false" outlineLevel="0" collapsed="false">
      <c r="B870" s="20"/>
    </row>
    <row r="871" customFormat="false" ht="15.75" hidden="false" customHeight="false" outlineLevel="0" collapsed="false">
      <c r="B871" s="20"/>
    </row>
    <row r="872" customFormat="false" ht="15.75" hidden="false" customHeight="false" outlineLevel="0" collapsed="false">
      <c r="B872" s="20"/>
    </row>
    <row r="873" customFormat="false" ht="15.75" hidden="false" customHeight="false" outlineLevel="0" collapsed="false">
      <c r="B873" s="20"/>
    </row>
    <row r="874" customFormat="false" ht="15.75" hidden="false" customHeight="false" outlineLevel="0" collapsed="false">
      <c r="B874" s="20"/>
    </row>
    <row r="875" customFormat="false" ht="15.75" hidden="false" customHeight="false" outlineLevel="0" collapsed="false">
      <c r="B875" s="20"/>
    </row>
    <row r="876" customFormat="false" ht="15.75" hidden="false" customHeight="false" outlineLevel="0" collapsed="false">
      <c r="B876" s="20"/>
    </row>
    <row r="877" customFormat="false" ht="15.75" hidden="false" customHeight="false" outlineLevel="0" collapsed="false">
      <c r="B877" s="20"/>
    </row>
    <row r="878" customFormat="false" ht="15.75" hidden="false" customHeight="false" outlineLevel="0" collapsed="false">
      <c r="B878" s="20"/>
    </row>
    <row r="879" customFormat="false" ht="15.75" hidden="false" customHeight="false" outlineLevel="0" collapsed="false">
      <c r="B879" s="20"/>
    </row>
    <row r="880" customFormat="false" ht="15.75" hidden="false" customHeight="false" outlineLevel="0" collapsed="false">
      <c r="B880" s="20"/>
    </row>
    <row r="881" customFormat="false" ht="15.75" hidden="false" customHeight="false" outlineLevel="0" collapsed="false">
      <c r="B881" s="20"/>
    </row>
    <row r="882" customFormat="false" ht="15.75" hidden="false" customHeight="false" outlineLevel="0" collapsed="false">
      <c r="B882" s="20"/>
    </row>
    <row r="883" customFormat="false" ht="15.75" hidden="false" customHeight="false" outlineLevel="0" collapsed="false">
      <c r="B883" s="20"/>
    </row>
    <row r="884" customFormat="false" ht="15.75" hidden="false" customHeight="false" outlineLevel="0" collapsed="false">
      <c r="B884" s="20"/>
    </row>
    <row r="885" customFormat="false" ht="15.75" hidden="false" customHeight="false" outlineLevel="0" collapsed="false">
      <c r="B885" s="20"/>
    </row>
    <row r="886" customFormat="false" ht="15.75" hidden="false" customHeight="false" outlineLevel="0" collapsed="false">
      <c r="B886" s="20"/>
    </row>
    <row r="887" customFormat="false" ht="15.75" hidden="false" customHeight="false" outlineLevel="0" collapsed="false">
      <c r="B887" s="20"/>
    </row>
    <row r="888" customFormat="false" ht="15.75" hidden="false" customHeight="false" outlineLevel="0" collapsed="false">
      <c r="B888" s="20"/>
    </row>
    <row r="889" customFormat="false" ht="15.75" hidden="false" customHeight="false" outlineLevel="0" collapsed="false">
      <c r="B889" s="20"/>
    </row>
    <row r="890" customFormat="false" ht="15.75" hidden="false" customHeight="false" outlineLevel="0" collapsed="false">
      <c r="B890" s="20"/>
    </row>
    <row r="891" customFormat="false" ht="15.75" hidden="false" customHeight="false" outlineLevel="0" collapsed="false">
      <c r="B891" s="20"/>
    </row>
    <row r="892" customFormat="false" ht="15.75" hidden="false" customHeight="false" outlineLevel="0" collapsed="false">
      <c r="B892" s="20"/>
    </row>
    <row r="893" customFormat="false" ht="15.75" hidden="false" customHeight="false" outlineLevel="0" collapsed="false">
      <c r="B893" s="20"/>
    </row>
    <row r="894" customFormat="false" ht="15.75" hidden="false" customHeight="false" outlineLevel="0" collapsed="false">
      <c r="B894" s="20"/>
    </row>
    <row r="895" customFormat="false" ht="15.75" hidden="false" customHeight="false" outlineLevel="0" collapsed="false">
      <c r="B895" s="20"/>
    </row>
    <row r="896" customFormat="false" ht="15.75" hidden="false" customHeight="false" outlineLevel="0" collapsed="false">
      <c r="B896" s="20"/>
    </row>
    <row r="897" customFormat="false" ht="15.75" hidden="false" customHeight="false" outlineLevel="0" collapsed="false">
      <c r="B897" s="20"/>
    </row>
    <row r="898" customFormat="false" ht="15.75" hidden="false" customHeight="false" outlineLevel="0" collapsed="false">
      <c r="B898" s="20"/>
    </row>
    <row r="899" customFormat="false" ht="15.75" hidden="false" customHeight="false" outlineLevel="0" collapsed="false">
      <c r="B899" s="20"/>
    </row>
    <row r="900" customFormat="false" ht="15.75" hidden="false" customHeight="false" outlineLevel="0" collapsed="false">
      <c r="B900" s="20"/>
    </row>
    <row r="901" customFormat="false" ht="15.75" hidden="false" customHeight="false" outlineLevel="0" collapsed="false">
      <c r="B901" s="20"/>
    </row>
    <row r="902" customFormat="false" ht="15.75" hidden="false" customHeight="false" outlineLevel="0" collapsed="false">
      <c r="B902" s="20"/>
    </row>
    <row r="903" customFormat="false" ht="15.75" hidden="false" customHeight="false" outlineLevel="0" collapsed="false">
      <c r="B903" s="20"/>
    </row>
    <row r="904" customFormat="false" ht="15.75" hidden="false" customHeight="false" outlineLevel="0" collapsed="false">
      <c r="B904" s="20"/>
    </row>
    <row r="905" customFormat="false" ht="15.75" hidden="false" customHeight="false" outlineLevel="0" collapsed="false">
      <c r="B905" s="20"/>
    </row>
    <row r="906" customFormat="false" ht="15.75" hidden="false" customHeight="false" outlineLevel="0" collapsed="false">
      <c r="B906" s="20"/>
    </row>
    <row r="907" customFormat="false" ht="15.75" hidden="false" customHeight="false" outlineLevel="0" collapsed="false">
      <c r="B907" s="20"/>
    </row>
    <row r="908" customFormat="false" ht="15.75" hidden="false" customHeight="false" outlineLevel="0" collapsed="false">
      <c r="B908" s="20"/>
    </row>
    <row r="909" customFormat="false" ht="15.75" hidden="false" customHeight="false" outlineLevel="0" collapsed="false">
      <c r="B909" s="20"/>
    </row>
    <row r="910" customFormat="false" ht="15.75" hidden="false" customHeight="false" outlineLevel="0" collapsed="false">
      <c r="B910" s="20"/>
    </row>
    <row r="911" customFormat="false" ht="15.75" hidden="false" customHeight="false" outlineLevel="0" collapsed="false">
      <c r="B911" s="20"/>
    </row>
    <row r="912" customFormat="false" ht="15.75" hidden="false" customHeight="false" outlineLevel="0" collapsed="false">
      <c r="B912" s="20"/>
    </row>
    <row r="913" customFormat="false" ht="15.75" hidden="false" customHeight="false" outlineLevel="0" collapsed="false">
      <c r="B913" s="20"/>
    </row>
    <row r="914" customFormat="false" ht="15.75" hidden="false" customHeight="false" outlineLevel="0" collapsed="false">
      <c r="B914" s="20"/>
    </row>
    <row r="915" customFormat="false" ht="15.75" hidden="false" customHeight="false" outlineLevel="0" collapsed="false">
      <c r="B915" s="20"/>
    </row>
    <row r="916" customFormat="false" ht="15.75" hidden="false" customHeight="false" outlineLevel="0" collapsed="false">
      <c r="B916" s="20"/>
    </row>
    <row r="917" customFormat="false" ht="15.75" hidden="false" customHeight="false" outlineLevel="0" collapsed="false">
      <c r="B917" s="20"/>
    </row>
    <row r="918" customFormat="false" ht="15.75" hidden="false" customHeight="false" outlineLevel="0" collapsed="false">
      <c r="B918" s="20"/>
    </row>
    <row r="919" customFormat="false" ht="15.75" hidden="false" customHeight="false" outlineLevel="0" collapsed="false">
      <c r="B919" s="20"/>
    </row>
    <row r="920" customFormat="false" ht="15.75" hidden="false" customHeight="false" outlineLevel="0" collapsed="false">
      <c r="B920" s="20"/>
    </row>
    <row r="921" customFormat="false" ht="15.75" hidden="false" customHeight="false" outlineLevel="0" collapsed="false">
      <c r="B921" s="20"/>
    </row>
    <row r="922" customFormat="false" ht="15.75" hidden="false" customHeight="false" outlineLevel="0" collapsed="false">
      <c r="B922" s="20"/>
    </row>
    <row r="923" customFormat="false" ht="15.75" hidden="false" customHeight="false" outlineLevel="0" collapsed="false">
      <c r="B923" s="20"/>
    </row>
    <row r="924" customFormat="false" ht="15.75" hidden="false" customHeight="false" outlineLevel="0" collapsed="false">
      <c r="B924" s="20"/>
    </row>
    <row r="925" customFormat="false" ht="15.75" hidden="false" customHeight="false" outlineLevel="0" collapsed="false">
      <c r="B925" s="20"/>
    </row>
    <row r="926" customFormat="false" ht="15.75" hidden="false" customHeight="false" outlineLevel="0" collapsed="false">
      <c r="B926" s="20"/>
    </row>
    <row r="927" customFormat="false" ht="15.75" hidden="false" customHeight="false" outlineLevel="0" collapsed="false">
      <c r="B927" s="20"/>
    </row>
    <row r="928" customFormat="false" ht="15.75" hidden="false" customHeight="false" outlineLevel="0" collapsed="false">
      <c r="B928" s="20"/>
    </row>
    <row r="929" customFormat="false" ht="15.75" hidden="false" customHeight="false" outlineLevel="0" collapsed="false">
      <c r="B929" s="20"/>
    </row>
    <row r="930" customFormat="false" ht="15.75" hidden="false" customHeight="false" outlineLevel="0" collapsed="false">
      <c r="B930" s="20"/>
    </row>
    <row r="931" customFormat="false" ht="15.75" hidden="false" customHeight="false" outlineLevel="0" collapsed="false">
      <c r="B931" s="20"/>
    </row>
    <row r="932" customFormat="false" ht="15.75" hidden="false" customHeight="false" outlineLevel="0" collapsed="false">
      <c r="B932" s="20"/>
    </row>
    <row r="933" customFormat="false" ht="15.75" hidden="false" customHeight="false" outlineLevel="0" collapsed="false">
      <c r="B933" s="20"/>
    </row>
    <row r="934" customFormat="false" ht="15.75" hidden="false" customHeight="false" outlineLevel="0" collapsed="false">
      <c r="B934" s="20"/>
    </row>
    <row r="935" customFormat="false" ht="15.75" hidden="false" customHeight="false" outlineLevel="0" collapsed="false">
      <c r="B935" s="20"/>
    </row>
    <row r="936" customFormat="false" ht="15.75" hidden="false" customHeight="false" outlineLevel="0" collapsed="false">
      <c r="B936" s="20"/>
    </row>
    <row r="937" customFormat="false" ht="15.75" hidden="false" customHeight="false" outlineLevel="0" collapsed="false">
      <c r="B937" s="20"/>
    </row>
    <row r="938" customFormat="false" ht="15.75" hidden="false" customHeight="false" outlineLevel="0" collapsed="false">
      <c r="B938" s="20"/>
    </row>
    <row r="939" customFormat="false" ht="15.75" hidden="false" customHeight="false" outlineLevel="0" collapsed="false">
      <c r="B939" s="20"/>
    </row>
    <row r="940" customFormat="false" ht="15.75" hidden="false" customHeight="false" outlineLevel="0" collapsed="false">
      <c r="B940" s="20"/>
    </row>
    <row r="941" customFormat="false" ht="15.75" hidden="false" customHeight="false" outlineLevel="0" collapsed="false">
      <c r="B941" s="20"/>
    </row>
    <row r="942" customFormat="false" ht="15.75" hidden="false" customHeight="false" outlineLevel="0" collapsed="false">
      <c r="B942" s="20"/>
    </row>
    <row r="943" customFormat="false" ht="15.75" hidden="false" customHeight="false" outlineLevel="0" collapsed="false">
      <c r="B943" s="20"/>
    </row>
    <row r="944" customFormat="false" ht="15.75" hidden="false" customHeight="false" outlineLevel="0" collapsed="false">
      <c r="B944" s="20"/>
    </row>
    <row r="945" customFormat="false" ht="15.75" hidden="false" customHeight="false" outlineLevel="0" collapsed="false">
      <c r="B945" s="20"/>
    </row>
    <row r="946" customFormat="false" ht="15.75" hidden="false" customHeight="false" outlineLevel="0" collapsed="false">
      <c r="B946" s="20"/>
    </row>
    <row r="947" customFormat="false" ht="15.75" hidden="false" customHeight="false" outlineLevel="0" collapsed="false">
      <c r="B947" s="20"/>
    </row>
    <row r="948" customFormat="false" ht="15.75" hidden="false" customHeight="false" outlineLevel="0" collapsed="false">
      <c r="B948" s="20"/>
    </row>
    <row r="949" customFormat="false" ht="15.75" hidden="false" customHeight="false" outlineLevel="0" collapsed="false">
      <c r="B949" s="20"/>
    </row>
    <row r="950" customFormat="false" ht="15.75" hidden="false" customHeight="false" outlineLevel="0" collapsed="false">
      <c r="B950" s="20"/>
    </row>
    <row r="951" customFormat="false" ht="15.75" hidden="false" customHeight="false" outlineLevel="0" collapsed="false">
      <c r="B951" s="20"/>
    </row>
    <row r="952" customFormat="false" ht="15.75" hidden="false" customHeight="false" outlineLevel="0" collapsed="false">
      <c r="B952" s="20"/>
    </row>
    <row r="953" customFormat="false" ht="15.75" hidden="false" customHeight="false" outlineLevel="0" collapsed="false">
      <c r="B953" s="20"/>
    </row>
    <row r="954" customFormat="false" ht="15.75" hidden="false" customHeight="false" outlineLevel="0" collapsed="false">
      <c r="B954" s="20"/>
    </row>
    <row r="955" customFormat="false" ht="15.75" hidden="false" customHeight="false" outlineLevel="0" collapsed="false">
      <c r="B955" s="20"/>
    </row>
    <row r="956" customFormat="false" ht="15.75" hidden="false" customHeight="false" outlineLevel="0" collapsed="false">
      <c r="B956" s="20"/>
    </row>
    <row r="957" customFormat="false" ht="15.75" hidden="false" customHeight="false" outlineLevel="0" collapsed="false">
      <c r="B957" s="20"/>
    </row>
    <row r="958" customFormat="false" ht="15.75" hidden="false" customHeight="false" outlineLevel="0" collapsed="false">
      <c r="B958" s="20"/>
    </row>
    <row r="959" customFormat="false" ht="15.75" hidden="false" customHeight="false" outlineLevel="0" collapsed="false">
      <c r="B959" s="20"/>
    </row>
    <row r="960" customFormat="false" ht="15.75" hidden="false" customHeight="false" outlineLevel="0" collapsed="false">
      <c r="B960" s="20"/>
    </row>
    <row r="961" customFormat="false" ht="15.75" hidden="false" customHeight="false" outlineLevel="0" collapsed="false">
      <c r="B961" s="20"/>
    </row>
    <row r="962" customFormat="false" ht="15.75" hidden="false" customHeight="false" outlineLevel="0" collapsed="false">
      <c r="B962" s="20"/>
    </row>
    <row r="963" customFormat="false" ht="15.75" hidden="false" customHeight="false" outlineLevel="0" collapsed="false">
      <c r="B963" s="20"/>
    </row>
    <row r="964" customFormat="false" ht="15.75" hidden="false" customHeight="false" outlineLevel="0" collapsed="false">
      <c r="B964" s="20"/>
    </row>
    <row r="965" customFormat="false" ht="15.75" hidden="false" customHeight="false" outlineLevel="0" collapsed="false">
      <c r="B965" s="20"/>
    </row>
    <row r="966" customFormat="false" ht="15.75" hidden="false" customHeight="false" outlineLevel="0" collapsed="false">
      <c r="B966" s="20"/>
    </row>
    <row r="967" customFormat="false" ht="15.75" hidden="false" customHeight="false" outlineLevel="0" collapsed="false">
      <c r="B967" s="20"/>
    </row>
    <row r="968" customFormat="false" ht="15.75" hidden="false" customHeight="false" outlineLevel="0" collapsed="false">
      <c r="B968" s="20"/>
    </row>
    <row r="969" customFormat="false" ht="15.75" hidden="false" customHeight="false" outlineLevel="0" collapsed="false">
      <c r="B969" s="20"/>
    </row>
    <row r="970" customFormat="false" ht="15.75" hidden="false" customHeight="false" outlineLevel="0" collapsed="false">
      <c r="B970" s="20"/>
    </row>
    <row r="971" customFormat="false" ht="15.75" hidden="false" customHeight="false" outlineLevel="0" collapsed="false">
      <c r="B971" s="20"/>
    </row>
    <row r="972" customFormat="false" ht="15.75" hidden="false" customHeight="false" outlineLevel="0" collapsed="false">
      <c r="B972" s="20"/>
    </row>
    <row r="973" customFormat="false" ht="15.75" hidden="false" customHeight="false" outlineLevel="0" collapsed="false">
      <c r="B973" s="20"/>
    </row>
    <row r="974" customFormat="false" ht="15.75" hidden="false" customHeight="false" outlineLevel="0" collapsed="false">
      <c r="B974" s="20"/>
    </row>
    <row r="975" customFormat="false" ht="15.75" hidden="false" customHeight="false" outlineLevel="0" collapsed="false">
      <c r="B975" s="20"/>
    </row>
    <row r="976" customFormat="false" ht="15.75" hidden="false" customHeight="false" outlineLevel="0" collapsed="false">
      <c r="B976" s="20"/>
    </row>
    <row r="977" customFormat="false" ht="15.75" hidden="false" customHeight="false" outlineLevel="0" collapsed="false">
      <c r="B977" s="20"/>
    </row>
    <row r="978" customFormat="false" ht="15.75" hidden="false" customHeight="false" outlineLevel="0" collapsed="false">
      <c r="B978" s="20"/>
    </row>
    <row r="979" customFormat="false" ht="15.75" hidden="false" customHeight="false" outlineLevel="0" collapsed="false">
      <c r="B979" s="20"/>
    </row>
    <row r="980" customFormat="false" ht="15.75" hidden="false" customHeight="false" outlineLevel="0" collapsed="false">
      <c r="B980" s="20"/>
    </row>
    <row r="981" customFormat="false" ht="15.75" hidden="false" customHeight="false" outlineLevel="0" collapsed="false">
      <c r="B981" s="20"/>
    </row>
    <row r="982" customFormat="false" ht="15.75" hidden="false" customHeight="false" outlineLevel="0" collapsed="false">
      <c r="B982" s="20"/>
    </row>
    <row r="983" customFormat="false" ht="15.75" hidden="false" customHeight="false" outlineLevel="0" collapsed="false">
      <c r="B983" s="20"/>
    </row>
    <row r="984" customFormat="false" ht="15.75" hidden="false" customHeight="false" outlineLevel="0" collapsed="false">
      <c r="B984" s="20"/>
    </row>
    <row r="985" customFormat="false" ht="15.75" hidden="false" customHeight="false" outlineLevel="0" collapsed="false">
      <c r="B985" s="20"/>
    </row>
    <row r="986" customFormat="false" ht="15.75" hidden="false" customHeight="false" outlineLevel="0" collapsed="false">
      <c r="B986" s="20"/>
    </row>
    <row r="987" customFormat="false" ht="15.75" hidden="false" customHeight="false" outlineLevel="0" collapsed="false">
      <c r="B987" s="20"/>
    </row>
    <row r="988" customFormat="false" ht="15.75" hidden="false" customHeight="false" outlineLevel="0" collapsed="false">
      <c r="B988" s="20"/>
    </row>
    <row r="989" customFormat="false" ht="15.75" hidden="false" customHeight="false" outlineLevel="0" collapsed="false">
      <c r="B989" s="20"/>
    </row>
    <row r="990" customFormat="false" ht="15.75" hidden="false" customHeight="false" outlineLevel="0" collapsed="false">
      <c r="B990" s="20"/>
    </row>
    <row r="991" customFormat="false" ht="15.75" hidden="false" customHeight="false" outlineLevel="0" collapsed="false">
      <c r="B991" s="20"/>
    </row>
    <row r="992" customFormat="false" ht="15.75" hidden="false" customHeight="false" outlineLevel="0" collapsed="false">
      <c r="B992" s="20"/>
    </row>
    <row r="993" customFormat="false" ht="15.75" hidden="false" customHeight="false" outlineLevel="0" collapsed="false">
      <c r="B993" s="20"/>
    </row>
    <row r="994" customFormat="false" ht="15.75" hidden="false" customHeight="false" outlineLevel="0" collapsed="false">
      <c r="B994" s="20"/>
    </row>
    <row r="995" customFormat="false" ht="15.75" hidden="false" customHeight="false" outlineLevel="0" collapsed="false">
      <c r="B995" s="20"/>
    </row>
    <row r="996" customFormat="false" ht="15.75" hidden="false" customHeight="false" outlineLevel="0" collapsed="false">
      <c r="B996" s="20"/>
    </row>
    <row r="997" customFormat="false" ht="15.75" hidden="false" customHeight="false" outlineLevel="0" collapsed="false">
      <c r="B997" s="20"/>
    </row>
    <row r="998" customFormat="false" ht="15.75" hidden="false" customHeight="false" outlineLevel="0" collapsed="false">
      <c r="B998" s="20"/>
    </row>
    <row r="999" customFormat="false" ht="15.75" hidden="false" customHeight="false" outlineLevel="0" collapsed="false">
      <c r="B999" s="20"/>
    </row>
    <row r="1000" customFormat="false" ht="15.75" hidden="false" customHeight="false" outlineLevel="0" collapsed="false">
      <c r="B1000" s="20"/>
    </row>
  </sheetData>
  <conditionalFormatting sqref="B1:B21">
    <cfRule type="cellIs" priority="2" operator="equal" aboveAverage="0" equalAverage="0" bottom="0" percent="0" rank="0" text="" dxfId="15">
      <formula>"Legendary"</formula>
    </cfRule>
    <cfRule type="cellIs" priority="3" operator="equal" aboveAverage="0" equalAverage="0" bottom="0" percent="0" rank="0" text="" dxfId="16">
      <formula>"Common"</formula>
    </cfRule>
    <cfRule type="cellIs" priority="4" operator="equal" aboveAverage="0" equalAverage="0" bottom="0" percent="0" rank="0" text="" dxfId="17">
      <formula>"Rare"</formula>
    </cfRule>
    <cfRule type="cellIs" priority="5" operator="equal" aboveAverage="0" equalAverage="0" bottom="0" percent="0" rank="0" text="" dxfId="18">
      <formula>"Epic"</formula>
    </cfRule>
    <cfRule type="cellIs" priority="6" operator="equal" aboveAverage="0" equalAverage="0" bottom="0" percent="0" rank="0" text="" dxfId="19">
      <formula>"Forza Edition"</formula>
    </cfRule>
    <cfRule type="expression" priority="7" aboveAverage="0" equalAverage="0" bottom="0" percent="0" rank="0" text="" dxfId="22">
      <formula>LEN(TRIM(B1))=0</formula>
    </cfRule>
    <cfRule type="cellIs" priority="8" operator="equal" aboveAverage="0" equalAverage="0" bottom="0" percent="0" rank="0" text="" dxfId="20">
      <formula>"Anniversary Edition"</formula>
    </cfRule>
    <cfRule type="cellIs" priority="9" operator="equal" aboveAverage="0" equalAverage="0" bottom="0" percent="0" rank="0" text="" dxfId="21">
      <formula>"Donut Edition"</formula>
    </cfRule>
  </conditionalFormatting>
  <dataValidations count="1">
    <dataValidation allowBlank="true" errorStyle="stop" operator="between" showDropDown="false" showErrorMessage="true" showInputMessage="false" sqref="B1:B1000" type="list">
      <formula1>Rarities!$A$2:$A1000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2025-01-15T01:57:46Z</dcterms:modified>
  <cp:revision>1</cp:revision>
  <dc:subject/>
  <dc:title/>
</cp:coreProperties>
</file>